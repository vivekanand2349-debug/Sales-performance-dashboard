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24226"/>
  <mc:AlternateContent xmlns:mc="http://schemas.openxmlformats.org/markup-compatibility/2006">
    <mc:Choice Requires="x15">
      <x15ac:absPath xmlns:x15ac="http://schemas.microsoft.com/office/spreadsheetml/2010/11/ac" url="https://d.docs.live.net/4e8068f0b110b23d/Desktop/"/>
    </mc:Choice>
  </mc:AlternateContent>
  <xr:revisionPtr revIDLastSave="1781" documentId="8_{72702F15-BF85-4E54-AA14-CF6BD3BEAB24}" xr6:coauthVersionLast="47" xr6:coauthVersionMax="47" xr10:uidLastSave="{C236F31D-8D57-4290-B035-23AA43C8914F}"/>
  <bookViews>
    <workbookView xWindow="-108" yWindow="-108" windowWidth="23256" windowHeight="12456" activeTab="1" xr2:uid="{00000000-000D-0000-FFFF-FFFF00000000}"/>
  </bookViews>
  <sheets>
    <sheet name="Raw_Sales_Export" sheetId="1" r:id="rId1"/>
    <sheet name="Raw_Sales" sheetId="10" r:id="rId2"/>
    <sheet name="Pivot_Tables" sheetId="14" r:id="rId3"/>
    <sheet name="Dashboard" sheetId="16" r:id="rId4"/>
  </sheets>
  <definedNames>
    <definedName name="ExternalData_1" localSheetId="1" hidden="1">'Raw_Sales'!$A$1:$Q$1455</definedName>
    <definedName name="Slicer_Months__Order_Date">#N/A</definedName>
    <definedName name="Slicer_Years__Order_Date">#N/A</definedName>
  </definedNames>
  <calcPr calcId="191029"/>
  <pivotCaches>
    <pivotCache cacheId="0" r:id="rId5"/>
    <pivotCache cacheId="2"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2" i="14" l="1"/>
  <c r="W3" i="10"/>
  <c r="V3" i="10"/>
  <c r="U3"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2DA35C2-FA40-423F-BF24-4A240E81E588}" keepAlive="1" name="Query - Raw_Sales_Export" description="Connection to the 'Raw_Sales_Export' query in the workbook." type="5" refreshedVersion="8" background="1" saveData="1">
    <dbPr connection="Provider=Microsoft.Mashup.OleDb.1;Data Source=$Workbook$;Location=Raw_Sales_Export;Extended Properties=&quot;&quot;" command="SELECT * FROM [Raw_Sales_Export]"/>
  </connection>
  <connection id="2" xr16:uid="{C7F89291-9E33-47C8-B6D9-AB49C168DC4D}"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<sst xmlns="http://schemas.openxmlformats.org/spreadsheetml/2006/main" count="32727" uniqueCount="5509">
  <si>
    <t>OrderID</t>
  </si>
  <si>
    <t>OrderDate</t>
  </si>
  <si>
    <t>CustomerName</t>
  </si>
  <si>
    <t>CustomerEmail</t>
  </si>
  <si>
    <t>Region</t>
  </si>
  <si>
    <t>Country</t>
  </si>
  <si>
    <t>ProductCategory</t>
  </si>
  <si>
    <t>ProductName</t>
  </si>
  <si>
    <t>Quantity</t>
  </si>
  <si>
    <t>UnitPrice</t>
  </si>
  <si>
    <t>Discount</t>
  </si>
  <si>
    <t>ShippingCost</t>
  </si>
  <si>
    <t>SalesRep</t>
  </si>
  <si>
    <t>PaymentMethod</t>
  </si>
  <si>
    <t>OrderStatus</t>
  </si>
  <si>
    <t>ORD-100186</t>
  </si>
  <si>
    <t>ORD-100936</t>
  </si>
  <si>
    <t>ORD-100666</t>
  </si>
  <si>
    <t>ORD-101388</t>
  </si>
  <si>
    <t>ORD-100801</t>
  </si>
  <si>
    <t>ORD-100564</t>
  </si>
  <si>
    <t>ORD-100346</t>
  </si>
  <si>
    <t>ORD-101344</t>
  </si>
  <si>
    <t>ORD-100577</t>
  </si>
  <si>
    <t>ORD-100791</t>
  </si>
  <si>
    <t>ORD-100840</t>
  </si>
  <si>
    <t>ORD-100095</t>
  </si>
  <si>
    <t>ORD-100348</t>
  </si>
  <si>
    <t>ORD-101257</t>
  </si>
  <si>
    <t>ORD-100285</t>
  </si>
  <si>
    <t>ORD-101062</t>
  </si>
  <si>
    <t>ORD-100975</t>
  </si>
  <si>
    <t>ORD-101026</t>
  </si>
  <si>
    <t>ORD-100249</t>
  </si>
  <si>
    <t>ORD-100652</t>
  </si>
  <si>
    <t>ORD-100354</t>
  </si>
  <si>
    <t>ORD-101075</t>
  </si>
  <si>
    <t>ORD-101369</t>
  </si>
  <si>
    <t>ORD-100369</t>
  </si>
  <si>
    <t>ORD-100921</t>
  </si>
  <si>
    <t>ORD-100111</t>
  </si>
  <si>
    <t>ORD-100071</t>
  </si>
  <si>
    <t>ORD-100935</t>
  </si>
  <si>
    <t>ORD-100517</t>
  </si>
  <si>
    <t>ORD-100602</t>
  </si>
  <si>
    <t>ORD-100432</t>
  </si>
  <si>
    <t>ORD-100804</t>
  </si>
  <si>
    <t>ORD-100718</t>
  </si>
  <si>
    <t>ORD-100828</t>
  </si>
  <si>
    <t>ORD-100063</t>
  </si>
  <si>
    <t>ORD-101288</t>
  </si>
  <si>
    <t>ORD-100691</t>
  </si>
  <si>
    <t>ORD-101280</t>
  </si>
  <si>
    <t>ORD-100758</t>
  </si>
  <si>
    <t>ORD-100945</t>
  </si>
  <si>
    <t>ORD-100363</t>
  </si>
  <si>
    <t>ORD-100294</t>
  </si>
  <si>
    <t>ORD-101318</t>
  </si>
  <si>
    <t>ORD-100640</t>
  </si>
  <si>
    <t>ORD-100779</t>
  </si>
  <si>
    <t>ORD-100782</t>
  </si>
  <si>
    <t>ORD-100478</t>
  </si>
  <si>
    <t>ORD-101097</t>
  </si>
  <si>
    <t>ORD-101346</t>
  </si>
  <si>
    <t>ORD-100009</t>
  </si>
  <si>
    <t>ORD-101293</t>
  </si>
  <si>
    <t>ORD-100284</t>
  </si>
  <si>
    <t>ORD-100451</t>
  </si>
  <si>
    <t>ORD-100925</t>
  </si>
  <si>
    <t>ORD-101297</t>
  </si>
  <si>
    <t>ORD-100963</t>
  </si>
  <si>
    <t>ORD-101079</t>
  </si>
  <si>
    <t>ORD-100665</t>
  </si>
  <si>
    <t>ORD-100017</t>
  </si>
  <si>
    <t>ORD-100473</t>
  </si>
  <si>
    <t>ORD-100765</t>
  </si>
  <si>
    <t>ORD-101025</t>
  </si>
  <si>
    <t>ORD-100768</t>
  </si>
  <si>
    <t>ORD-100118</t>
  </si>
  <si>
    <t>ORD-100300</t>
  </si>
  <si>
    <t>ORD-100671</t>
  </si>
  <si>
    <t>ORD-100677</t>
  </si>
  <si>
    <t>ORD-101194</t>
  </si>
  <si>
    <t>ORD-100324</t>
  </si>
  <si>
    <t>ORD-100252</t>
  </si>
  <si>
    <t>ORD-100313</t>
  </si>
  <si>
    <t>ORD-100656</t>
  </si>
  <si>
    <t>ORD-100669</t>
  </si>
  <si>
    <t>ORD-100562</t>
  </si>
  <si>
    <t>ORD-100263</t>
  </si>
  <si>
    <t>ORD-100903</t>
  </si>
  <si>
    <t>ORD-100101</t>
  </si>
  <si>
    <t>ORD-100378</t>
  </si>
  <si>
    <t>ORD-100210</t>
  </si>
  <si>
    <t>ORD-100835</t>
  </si>
  <si>
    <t>ORD-100043</t>
  </si>
  <si>
    <t>ORD-101227</t>
  </si>
  <si>
    <t>ORD-100408</t>
  </si>
  <si>
    <t>ORD-100816</t>
  </si>
  <si>
    <t>ORD-100146</t>
  </si>
  <si>
    <t>ORD-101201</t>
  </si>
  <si>
    <t>ORD-100416</t>
  </si>
  <si>
    <t>ORD-100410</t>
  </si>
  <si>
    <t>ORD-100185</t>
  </si>
  <si>
    <t>ORD-100715</t>
  </si>
  <si>
    <t>ORD-100572</t>
  </si>
  <si>
    <t>ORD-100447</t>
  </si>
  <si>
    <t>ORD-101051</t>
  </si>
  <si>
    <t>ORD-101336</t>
  </si>
  <si>
    <t>ORD-101164</t>
  </si>
  <si>
    <t>ORD-101238</t>
  </si>
  <si>
    <t>ORD-101071</t>
  </si>
  <si>
    <t>ORD-100013</t>
  </si>
  <si>
    <t>ORD-101233</t>
  </si>
  <si>
    <t>ORD-101343</t>
  </si>
  <si>
    <t>ORD-101300</t>
  </si>
  <si>
    <t>ORD-100585</t>
  </si>
  <si>
    <t>ORD-100034</t>
  </si>
  <si>
    <t>ORD-100179</t>
  </si>
  <si>
    <t>ORD-101301</t>
  </si>
  <si>
    <t>ORD-100098</t>
  </si>
  <si>
    <t>ORD-101146</t>
  </si>
  <si>
    <t>ORD-100414</t>
  </si>
  <si>
    <t>ORD-101039</t>
  </si>
  <si>
    <t>ORD-100650</t>
  </si>
  <si>
    <t>ORD-100977</t>
  </si>
  <si>
    <t>ORD-100611</t>
  </si>
  <si>
    <t>ORD-100207</t>
  </si>
  <si>
    <t>ORD-100877</t>
  </si>
  <si>
    <t>ORD-101132</t>
  </si>
  <si>
    <t>ORD-100330</t>
  </si>
  <si>
    <t>ORD-100367</t>
  </si>
  <si>
    <t>ORD-100754</t>
  </si>
  <si>
    <t>ORD-100720</t>
  </si>
  <si>
    <t>ORD-100204</t>
  </si>
  <si>
    <t>ORD-100058</t>
  </si>
  <si>
    <t>ORD-101391</t>
  </si>
  <si>
    <t>ORD-100719</t>
  </si>
  <si>
    <t>ORD-100024</t>
  </si>
  <si>
    <t>ORD-100110</t>
  </si>
  <si>
    <t>ORD-100015</t>
  </si>
  <si>
    <t>ORD-101152</t>
  </si>
  <si>
    <t>ORD-101303</t>
  </si>
  <si>
    <t>ORD-101385</t>
  </si>
  <si>
    <t>ORD-100683</t>
  </si>
  <si>
    <t>ORD-101237</t>
  </si>
  <si>
    <t>ORD-100141</t>
  </si>
  <si>
    <t>ORD-100351</t>
  </si>
  <si>
    <t>ORD-100713</t>
  </si>
  <si>
    <t>ORD-100099</t>
  </si>
  <si>
    <t>ORD-100684</t>
  </si>
  <si>
    <t>ORD-100046</t>
  </si>
  <si>
    <t>ORD-100830</t>
  </si>
  <si>
    <t>ORD-100259</t>
  </si>
  <si>
    <t>ORD-100344</t>
  </si>
  <si>
    <t>ORD-101122</t>
  </si>
  <si>
    <t>ORD-100901</t>
  </si>
  <si>
    <t>ORD-100829</t>
  </si>
  <si>
    <t>ORD-101375</t>
  </si>
  <si>
    <t>ORD-100668</t>
  </si>
  <si>
    <t>ORD-100571</t>
  </si>
  <si>
    <t>ORD-100113</t>
  </si>
  <si>
    <t>ORD-100051</t>
  </si>
  <si>
    <t>ORD-100392</t>
  </si>
  <si>
    <t>ORD-100164</t>
  </si>
  <si>
    <t>ORD-100586</t>
  </si>
  <si>
    <t>ORD-100700</t>
  </si>
  <si>
    <t>ORD-100506</t>
  </si>
  <si>
    <t>ORD-101188</t>
  </si>
  <si>
    <t>ORD-100172</t>
  </si>
  <si>
    <t>ORD-100308</t>
  </si>
  <si>
    <t>ORD-100756</t>
  </si>
  <si>
    <t>ORD-100930</t>
  </si>
  <si>
    <t>ORD-100531</t>
  </si>
  <si>
    <t>ORD-101013</t>
  </si>
  <si>
    <t>ORD-101020</t>
  </si>
  <si>
    <t>ORD-100702</t>
  </si>
  <si>
    <t>ORD-101190</t>
  </si>
  <si>
    <t>ORD-100262</t>
  </si>
  <si>
    <t>ORD-100687</t>
  </si>
  <si>
    <t>ORD-100020</t>
  </si>
  <si>
    <t>ORD-100510</t>
  </si>
  <si>
    <t>ORD-101149</t>
  </si>
  <si>
    <t>ORD-100881</t>
  </si>
  <si>
    <t>ORD-100740</t>
  </si>
  <si>
    <t>ORD-100802</t>
  </si>
  <si>
    <t>ORD-101113</t>
  </si>
  <si>
    <t>ORD-100985</t>
  </si>
  <si>
    <t>ORD-100955</t>
  </si>
  <si>
    <t>ORD-101094</t>
  </si>
  <si>
    <t>ORD-100619</t>
  </si>
  <si>
    <t>ORD-101111</t>
  </si>
  <si>
    <t>ORD-100648</t>
  </si>
  <si>
    <t>ORD-100484</t>
  </si>
  <si>
    <t>ORD-100962</t>
  </si>
  <si>
    <t>ORD-100926</t>
  </si>
  <si>
    <t>ORD-100838</t>
  </si>
  <si>
    <t>ORD-100809</t>
  </si>
  <si>
    <t>ORD-100128</t>
  </si>
  <si>
    <t>ORD-101105</t>
  </si>
  <si>
    <t>ORD-101222</t>
  </si>
  <si>
    <t>ORD-101305</t>
  </si>
  <si>
    <t>ORD-100389</t>
  </si>
  <si>
    <t>ORD-100593</t>
  </si>
  <si>
    <t>ORD-100800</t>
  </si>
  <si>
    <t>ORD-101206</t>
  </si>
  <si>
    <t>ORD-100370</t>
  </si>
  <si>
    <t>ORD-100037</t>
  </si>
  <si>
    <t>ORD-101189</t>
  </si>
  <si>
    <t>ORD-100736</t>
  </si>
  <si>
    <t>ORD-101384</t>
  </si>
  <si>
    <t>ORD-100947</t>
  </si>
  <si>
    <t>ORD-101389</t>
  </si>
  <si>
    <t>ORD-100151</t>
  </si>
  <si>
    <t>ORD-100027</t>
  </si>
  <si>
    <t>ORD-101028</t>
  </si>
  <si>
    <t>ORD-100361</t>
  </si>
  <si>
    <t>ORD-100680</t>
  </si>
  <si>
    <t>ORD-101223</t>
  </si>
  <si>
    <t>ORD-100228</t>
  </si>
  <si>
    <t>ORD-101352</t>
  </si>
  <si>
    <t>ORD-100108</t>
  </si>
  <si>
    <t>ORD-100488</t>
  </si>
  <si>
    <t>ORD-100748</t>
  </si>
  <si>
    <t>ORD-101041</t>
  </si>
  <si>
    <t>ORD-100350</t>
  </si>
  <si>
    <t>ORD-100468</t>
  </si>
  <si>
    <t>ORD-100241</t>
  </si>
  <si>
    <t>ORD-101314</t>
  </si>
  <si>
    <t>ORD-100409</t>
  </si>
  <si>
    <t>ORD-100609</t>
  </si>
  <si>
    <t>ORD-100377</t>
  </si>
  <si>
    <t>ORD-101228</t>
  </si>
  <si>
    <t>ORD-101225</t>
  </si>
  <si>
    <t>ORD-100992</t>
  </si>
  <si>
    <t>ORD-101078</t>
  </si>
  <si>
    <t>ORD-100939</t>
  </si>
  <si>
    <t>ORD-100328</t>
  </si>
  <si>
    <t>ORD-100474</t>
  </si>
  <si>
    <t>ORD-100275</t>
  </si>
  <si>
    <t>ORD-100127</t>
  </si>
  <si>
    <t>ORD-101366</t>
  </si>
  <si>
    <t>ORD-101236</t>
  </si>
  <si>
    <t>ORD-101203</t>
  </si>
  <si>
    <t>ORD-100813</t>
  </si>
  <si>
    <t>ORD-101367</t>
  </si>
  <si>
    <t>ORD-100507</t>
  </si>
  <si>
    <t>ORD-100454</t>
  </si>
  <si>
    <t>ORD-100004</t>
  </si>
  <si>
    <t>ORD-100170</t>
  </si>
  <si>
    <t>ORD-100060</t>
  </si>
  <si>
    <t>ORD-100547</t>
  </si>
  <si>
    <t>ORD-101150</t>
  </si>
  <si>
    <t>ORD-100492</t>
  </si>
  <si>
    <t>ORD-100907</t>
  </si>
  <si>
    <t>ORD-100708</t>
  </si>
  <si>
    <t>ORD-100189</t>
  </si>
  <si>
    <t>ORD-100325</t>
  </si>
  <si>
    <t>ORD-101329</t>
  </si>
  <si>
    <t>ORD-101241</t>
  </si>
  <si>
    <t>ORD-100597</t>
  </si>
  <si>
    <t>ORD-100412</t>
  </si>
  <si>
    <t>ORD-100463</t>
  </si>
  <si>
    <t>ORD-101308</t>
  </si>
  <si>
    <t>ORD-100383</t>
  </si>
  <si>
    <t>ORD-100658</t>
  </si>
  <si>
    <t>ORD-100681</t>
  </si>
  <si>
    <t>ORD-101304</t>
  </si>
  <si>
    <t>ORD-100462</t>
  </si>
  <si>
    <t>ORD-100511</t>
  </si>
  <si>
    <t>ORD-100385</t>
  </si>
  <si>
    <t>ORD-100693</t>
  </si>
  <si>
    <t>ORD-101086</t>
  </si>
  <si>
    <t>ORD-101160</t>
  </si>
  <si>
    <t>ORD-100213</t>
  </si>
  <si>
    <t>ORD-100968</t>
  </si>
  <si>
    <t>ORD-101007</t>
  </si>
  <si>
    <t>ORD-100340</t>
  </si>
  <si>
    <t>ORD-100635</t>
  </si>
  <si>
    <t>ORD-100199</t>
  </si>
  <si>
    <t>ORD-101023</t>
  </si>
  <si>
    <t>ORD-100856</t>
  </si>
  <si>
    <t>ORD-100394</t>
  </si>
  <si>
    <t>ORD-100216</t>
  </si>
  <si>
    <t>ORD-100734</t>
  </si>
  <si>
    <t>ORD-100253</t>
  </si>
  <si>
    <t>ORD-100152</t>
  </si>
  <si>
    <t>ORD-100194</t>
  </si>
  <si>
    <t>ORD-101249</t>
  </si>
  <si>
    <t>ORD-100068</t>
  </si>
  <si>
    <t>ORD-100504</t>
  </si>
  <si>
    <t>ORD-100874</t>
  </si>
  <si>
    <t>ORD-101166</t>
  </si>
  <si>
    <t>ORD-100895</t>
  </si>
  <si>
    <t>ORD-101208</t>
  </si>
  <si>
    <t>ORD-100672</t>
  </si>
  <si>
    <t>ORD-100415</t>
  </si>
  <si>
    <t>ORD-100240</t>
  </si>
  <si>
    <t>ORD-100817</t>
  </si>
  <si>
    <t>ORD-100187</t>
  </si>
  <si>
    <t>ORD-100664</t>
  </si>
  <si>
    <t>ORD-100498</t>
  </si>
  <si>
    <t>ORD-100993</t>
  </si>
  <si>
    <t>ORD-100558</t>
  </si>
  <si>
    <t>ORD-100906</t>
  </si>
  <si>
    <t>ORD-100283</t>
  </si>
  <si>
    <t>ORD-101138</t>
  </si>
  <si>
    <t>ORD-101259</t>
  </si>
  <si>
    <t>ORD-100452</t>
  </si>
  <si>
    <t>ORD-100445</t>
  </si>
  <si>
    <t>ORD-100109</t>
  </si>
  <si>
    <t>ORD-101263</t>
  </si>
  <si>
    <t>ORD-100122</t>
  </si>
  <si>
    <t>ORD-100431</t>
  </si>
  <si>
    <t>ORD-100280</t>
  </si>
  <si>
    <t>ORD-100637</t>
  </si>
  <si>
    <t>ORD-100698</t>
  </si>
  <si>
    <t>ORD-100845</t>
  </si>
  <si>
    <t>ORD-100920</t>
  </si>
  <si>
    <t>ORD-101325</t>
  </si>
  <si>
    <t>ORD-100735</t>
  </si>
  <si>
    <t>ORD-101048</t>
  </si>
  <si>
    <t>ORD-101011</t>
  </si>
  <si>
    <t>ORD-100326</t>
  </si>
  <si>
    <t>ORD-101089</t>
  </si>
  <si>
    <t>ORD-100067</t>
  </si>
  <si>
    <t>ORD-100518</t>
  </si>
  <si>
    <t>ORD-100396</t>
  </si>
  <si>
    <t>ORD-100751</t>
  </si>
  <si>
    <t>ORD-100546</t>
  </si>
  <si>
    <t>ORD-100752</t>
  </si>
  <si>
    <t>ORD-101357</t>
  </si>
  <si>
    <t>ORD-100318</t>
  </si>
  <si>
    <t>ORD-100739</t>
  </si>
  <si>
    <t>ORD-100960</t>
  </si>
  <si>
    <t>ORD-101044</t>
  </si>
  <si>
    <t>ORD-100501</t>
  </si>
  <si>
    <t>ORD-100132</t>
  </si>
  <si>
    <t>ORD-100651</t>
  </si>
  <si>
    <t>ORD-101183</t>
  </si>
  <si>
    <t>ORD-100467</t>
  </si>
  <si>
    <t>ORD-100407</t>
  </si>
  <si>
    <t>ORD-101242</t>
  </si>
  <si>
    <t>ORD-101145</t>
  </si>
  <si>
    <t>ORD-100125</t>
  </si>
  <si>
    <t>ORD-101088</t>
  </si>
  <si>
    <t>ORD-101232</t>
  </si>
  <si>
    <t>ORD-101121</t>
  </si>
  <si>
    <t>ORD-101331</t>
  </si>
  <si>
    <t>ORD-100760</t>
  </si>
  <si>
    <t>ORD-100289</t>
  </si>
  <si>
    <t>ORD-100019</t>
  </si>
  <si>
    <t>ORD-100946</t>
  </si>
  <si>
    <t>ORD-100918</t>
  </si>
  <si>
    <t>ORD-100053</t>
  </si>
  <si>
    <t>ORD-101392</t>
  </si>
  <si>
    <t>ORD-101338</t>
  </si>
  <si>
    <t>ORD-101134</t>
  </si>
  <si>
    <t>ORD-101072</t>
  </si>
  <si>
    <t>ORD-100040</t>
  </si>
  <si>
    <t>ORD-100339</t>
  </si>
  <si>
    <t>ORD-100660</t>
  </si>
  <si>
    <t>ORD-100820</t>
  </si>
  <si>
    <t>ORD-101084</t>
  </si>
  <si>
    <t>ORD-100450</t>
  </si>
  <si>
    <t>ORD-100083</t>
  </si>
  <si>
    <t>ORD-100115</t>
  </si>
  <si>
    <t>ORD-101287</t>
  </si>
  <si>
    <t>ORD-100927</t>
  </si>
  <si>
    <t>ORD-100372</t>
  </si>
  <si>
    <t>ORD-101264</t>
  </si>
  <si>
    <t>ORD-101095</t>
  </si>
  <si>
    <t>ORD-100270</t>
  </si>
  <si>
    <t>ORD-101027</t>
  </si>
  <si>
    <t>ORD-101211</t>
  </si>
  <si>
    <t>ORD-100540</t>
  </si>
  <si>
    <t>ORD-100770</t>
  </si>
  <si>
    <t>ORD-100500</t>
  </si>
  <si>
    <t>ORD-100096</t>
  </si>
  <si>
    <t>ORD-100781</t>
  </si>
  <si>
    <t>ORD-101324</t>
  </si>
  <si>
    <t>ORD-101370</t>
  </si>
  <si>
    <t>ORD-100048</t>
  </si>
  <si>
    <t>ORD-101298</t>
  </si>
  <si>
    <t>ORD-101080</t>
  </si>
  <si>
    <t>ORD-100153</t>
  </si>
  <si>
    <t>ORD-100237</t>
  </si>
  <si>
    <t>ORD-100054</t>
  </si>
  <si>
    <t>ORD-100123</t>
  </si>
  <si>
    <t>ORD-100595</t>
  </si>
  <si>
    <t>ORD-100134</t>
  </si>
  <si>
    <t>ORD-100268</t>
  </si>
  <si>
    <t>ORD-100097</t>
  </si>
  <si>
    <t>ORD-100220</t>
  </si>
  <si>
    <t>ORD-100041</t>
  </si>
  <si>
    <t>ORD-100943</t>
  </si>
  <si>
    <t>ORD-100464</t>
  </si>
  <si>
    <t>ORD-100810</t>
  </si>
  <si>
    <t>ORD-100777</t>
  </si>
  <si>
    <t>ORD-100762</t>
  </si>
  <si>
    <t>ORD-101354</t>
  </si>
  <si>
    <t>ORD-100012</t>
  </si>
  <si>
    <t>ORD-100990</t>
  </si>
  <si>
    <t>ORD-100568</t>
  </si>
  <si>
    <t>ORD-100397</t>
  </si>
  <si>
    <t>ORD-101021</t>
  </si>
  <si>
    <t>ORD-100731</t>
  </si>
  <si>
    <t>ORD-100738</t>
  </si>
  <si>
    <t>ORD-101143</t>
  </si>
  <si>
    <t>ORD-101282</t>
  </si>
  <si>
    <t>ORD-100673</t>
  </si>
  <si>
    <t>ORD-101179</t>
  </si>
  <si>
    <t>ORD-101273</t>
  </si>
  <si>
    <t>ORD-101286</t>
  </si>
  <si>
    <t>ORD-100876</t>
  </si>
  <si>
    <t>ORD-100548</t>
  </si>
  <si>
    <t>ORD-100430</t>
  </si>
  <si>
    <t>ORD-101005</t>
  </si>
  <si>
    <t>ORD-100336</t>
  </si>
  <si>
    <t>ORD-100232</t>
  </si>
  <si>
    <t>ORD-100530</t>
  </si>
  <si>
    <t>ORD-100617</t>
  </si>
  <si>
    <t>ORD-100643</t>
  </si>
  <si>
    <t>ORD-101186</t>
  </si>
  <si>
    <t>ORD-100297</t>
  </si>
  <si>
    <t>ORD-101387</t>
  </si>
  <si>
    <t>ORD-101034</t>
  </si>
  <si>
    <t>ORD-100642</t>
  </si>
  <si>
    <t>ORD-100205</t>
  </si>
  <si>
    <t>ORD-100471</t>
  </si>
  <si>
    <t>ORD-100426</t>
  </si>
  <si>
    <t>ORD-101396</t>
  </si>
  <si>
    <t>ORD-100769</t>
  </si>
  <si>
    <t>ORD-101106</t>
  </si>
  <si>
    <t>ORD-101217</t>
  </si>
  <si>
    <t>ORD-100786</t>
  </si>
  <si>
    <t>ORD-100933</t>
  </si>
  <si>
    <t>ORD-100697</t>
  </si>
  <si>
    <t>ORD-101332</t>
  </si>
  <si>
    <t>ORD-101141</t>
  </si>
  <si>
    <t>ORD-100535</t>
  </si>
  <si>
    <t>ORD-100905</t>
  </si>
  <si>
    <t>ORD-100556</t>
  </si>
  <si>
    <t>ORD-101394</t>
  </si>
  <si>
    <t>ORD-101351</t>
  </si>
  <si>
    <t>ORD-101371</t>
  </si>
  <si>
    <t>ORD-100157</t>
  </si>
  <si>
    <t>ORD-101337</t>
  </si>
  <si>
    <t>ORD-101251</t>
  </si>
  <si>
    <t>ORD-100140</t>
  </si>
  <si>
    <t>ORD-100160</t>
  </si>
  <si>
    <t>ORD-100305</t>
  </si>
  <si>
    <t>ORD-101069</t>
  </si>
  <si>
    <t>ORD-100732</t>
  </si>
  <si>
    <t>ORD-100395</t>
  </si>
  <si>
    <t>ORD-100541</t>
  </si>
  <si>
    <t>ORD-100399</t>
  </si>
  <si>
    <t>ORD-100941</t>
  </si>
  <si>
    <t>ORD-100513</t>
  </si>
  <si>
    <t>ORD-101047</t>
  </si>
  <si>
    <t>ORD-100967</t>
  </si>
  <si>
    <t>ORD-101386</t>
  </si>
  <si>
    <t>ORD-100224</t>
  </si>
  <si>
    <t>ORD-100287</t>
  </si>
  <si>
    <t>ORD-101212</t>
  </si>
  <si>
    <t>ORD-100355</t>
  </si>
  <si>
    <t>ORD-100878</t>
  </si>
  <si>
    <t>ORD-101321</t>
  </si>
  <si>
    <t>ORD-100655</t>
  </si>
  <si>
    <t>ORD-100869</t>
  </si>
  <si>
    <t>ORD-100699</t>
  </si>
  <si>
    <t>ORD-100705</t>
  </si>
  <si>
    <t>ORD-100457</t>
  </si>
  <si>
    <t>ORD-100489</t>
  </si>
  <si>
    <t>ORD-100026</t>
  </si>
  <si>
    <t>ORD-101074</t>
  </si>
  <si>
    <t>ORD-100358</t>
  </si>
  <si>
    <t>ORD-100278</t>
  </si>
  <si>
    <t>ORD-100882</t>
  </si>
  <si>
    <t>ORD-101340</t>
  </si>
  <si>
    <t>ORD-100003</t>
  </si>
  <si>
    <t>ORD-100023</t>
  </si>
  <si>
    <t>ORD-101082</t>
  </si>
  <si>
    <t>ORD-101177</t>
  </si>
  <si>
    <t>ORD-100347</t>
  </si>
  <si>
    <t>ORD-100534</t>
  </si>
  <si>
    <t>ORD-101050</t>
  </si>
  <si>
    <t>ORD-100880</t>
  </si>
  <si>
    <t>ORD-100972</t>
  </si>
  <si>
    <t>ORD-100755</t>
  </si>
  <si>
    <t>ORD-100446</t>
  </si>
  <si>
    <t>ORD-100621</t>
  </si>
  <si>
    <t>ORD-101296</t>
  </si>
  <si>
    <t>ORD-100379</t>
  </si>
  <si>
    <t>ORD-100837</t>
  </si>
  <si>
    <t>ORD-100374</t>
  </si>
  <si>
    <t>ORD-101261</t>
  </si>
  <si>
    <t>ORD-101198</t>
  </si>
  <si>
    <t>ORD-100913</t>
  </si>
  <si>
    <t>ORD-100866</t>
  </si>
  <si>
    <t>ORD-100503</t>
  </si>
  <si>
    <t>ORD-100525</t>
  </si>
  <si>
    <t>ORD-100231</t>
  </si>
  <si>
    <t>ORD-100147</t>
  </si>
  <si>
    <t>ORD-100382</t>
  </si>
  <si>
    <t>ORD-100167</t>
  </si>
  <si>
    <t>ORD-100630</t>
  </si>
  <si>
    <t>ORD-100072</t>
  </si>
  <si>
    <t>ORD-100070</t>
  </si>
  <si>
    <t>ORD-100799</t>
  </si>
  <si>
    <t>ORD-101299</t>
  </si>
  <si>
    <t>ORD-100171</t>
  </si>
  <si>
    <t>ORD-100130</t>
  </si>
  <si>
    <t>ORD-100168</t>
  </si>
  <si>
    <t>ORD-100493</t>
  </si>
  <si>
    <t>ORD-100264</t>
  </si>
  <si>
    <t>ORD-101284</t>
  </si>
  <si>
    <t>ORD-101158</t>
  </si>
  <si>
    <t>ORD-101016</t>
  </si>
  <si>
    <t>ORD-100272</t>
  </si>
  <si>
    <t>ORD-101289</t>
  </si>
  <si>
    <t>ORD-100420</t>
  </si>
  <si>
    <t>ORD-100094</t>
  </si>
  <si>
    <t>ORD-100954</t>
  </si>
  <si>
    <t>ORD-101153</t>
  </si>
  <si>
    <t>ORD-100042</t>
  </si>
  <si>
    <t>ORD-100056</t>
  </si>
  <si>
    <t>ORD-101156</t>
  </si>
  <si>
    <t>ORD-100638</t>
  </si>
  <si>
    <t>ORD-100038</t>
  </si>
  <si>
    <t>ORD-100306</t>
  </si>
  <si>
    <t>ORD-100620</t>
  </si>
  <si>
    <t>ORD-100581</t>
  </si>
  <si>
    <t>ORD-100166</t>
  </si>
  <si>
    <t>ORD-101214</t>
  </si>
  <si>
    <t>ORD-101378</t>
  </si>
  <si>
    <t>ORD-101033</t>
  </si>
  <si>
    <t>ORD-101368</t>
  </si>
  <si>
    <t>ORD-100649</t>
  </si>
  <si>
    <t>ORD-100587</t>
  </si>
  <si>
    <t>ORD-100316</t>
  </si>
  <si>
    <t>ORD-100892</t>
  </si>
  <si>
    <t>ORD-101246</t>
  </si>
  <si>
    <t>ORD-100984</t>
  </si>
  <si>
    <t>ORD-100598</t>
  </si>
  <si>
    <t>ORD-100533</t>
  </si>
  <si>
    <t>ORD-100832</t>
  </si>
  <si>
    <t>ORD-100565</t>
  </si>
  <si>
    <t>ORD-100744</t>
  </si>
  <si>
    <t>ORD-100974</t>
  </si>
  <si>
    <t>ORD-101256</t>
  </si>
  <si>
    <t>ORD-100610</t>
  </si>
  <si>
    <t>ORD-100603</t>
  </si>
  <si>
    <t>ORD-100061</t>
  </si>
  <si>
    <t>ORD-100978</t>
  </si>
  <si>
    <t>ORD-100536</t>
  </si>
  <si>
    <t>ORD-100953</t>
  </si>
  <si>
    <t>ORD-100244</t>
  </si>
  <si>
    <t>ORD-100025</t>
  </si>
  <si>
    <t>ORD-100222</t>
  </si>
  <si>
    <t>ORD-100860</t>
  </si>
  <si>
    <t>ORD-100105</t>
  </si>
  <si>
    <t>ORD-101008</t>
  </si>
  <si>
    <t>ORD-100509</t>
  </si>
  <si>
    <t>ORD-100131</t>
  </si>
  <si>
    <t>ORD-100964</t>
  </si>
  <si>
    <t>ORD-100606</t>
  </si>
  <si>
    <t>ORD-100508</t>
  </si>
  <si>
    <t>ORD-101350</t>
  </si>
  <si>
    <t>ORD-100075</t>
  </si>
  <si>
    <t>ORD-100036</t>
  </si>
  <si>
    <t>ORD-101279</t>
  </si>
  <si>
    <t>ORD-100057</t>
  </si>
  <si>
    <t>ORD-100196</t>
  </si>
  <si>
    <t>ORD-101199</t>
  </si>
  <si>
    <t>ORD-100788</t>
  </si>
  <si>
    <t>ORD-100783</t>
  </si>
  <si>
    <t>ORD-100477</t>
  </si>
  <si>
    <t>ORD-100086</t>
  </si>
  <si>
    <t>ORD-100561</t>
  </si>
  <si>
    <t>ORD-100334</t>
  </si>
  <si>
    <t>ORD-100976</t>
  </si>
  <si>
    <t>ORD-101275</t>
  </si>
  <si>
    <t>ORD-101240</t>
  </si>
  <si>
    <t>ORD-101123</t>
  </si>
  <si>
    <t>ORD-101128</t>
  </si>
  <si>
    <t>ORD-100538</t>
  </si>
  <si>
    <t>ORD-100717</t>
  </si>
  <si>
    <t>ORD-100418</t>
  </si>
  <si>
    <t>ORD-101140</t>
  </si>
  <si>
    <t>ORD-101356</t>
  </si>
  <si>
    <t>ORD-100928</t>
  </si>
  <si>
    <t>ORD-100573</t>
  </si>
  <si>
    <t>ORD-101322</t>
  </si>
  <si>
    <t>ORD-101229</t>
  </si>
  <si>
    <t>ORD-100332</t>
  </si>
  <si>
    <t>ORD-101316</t>
  </si>
  <si>
    <t>ORD-100574</t>
  </si>
  <si>
    <t>ORD-101244</t>
  </si>
  <si>
    <t>ORD-101063</t>
  </si>
  <si>
    <t>ORD-101058</t>
  </si>
  <si>
    <t>ORD-101171</t>
  </si>
  <si>
    <t>ORD-100008</t>
  </si>
  <si>
    <t>ORD-100867</t>
  </si>
  <si>
    <t>ORD-101247</t>
  </si>
  <si>
    <t>ORD-100746</t>
  </si>
  <si>
    <t>ORD-100948</t>
  </si>
  <si>
    <t>ORD-101093</t>
  </si>
  <si>
    <t>ORD-100074</t>
  </si>
  <si>
    <t>ORD-100798</t>
  </si>
  <si>
    <t>ORD-100522</t>
  </si>
  <si>
    <t>ORD-100335</t>
  </si>
  <si>
    <t>ORD-100569</t>
  </si>
  <si>
    <t>ORD-100590</t>
  </si>
  <si>
    <t>ORD-100088</t>
  </si>
  <si>
    <t>ORD-100841</t>
  </si>
  <si>
    <t>ORD-100217</t>
  </si>
  <si>
    <t>ORD-100961</t>
  </si>
  <si>
    <t>ORD-100173</t>
  </si>
  <si>
    <t>ORD-101260</t>
  </si>
  <si>
    <t>ORD-100982</t>
  </si>
  <si>
    <t>ORD-100319</t>
  </si>
  <si>
    <t>ORD-101265</t>
  </si>
  <si>
    <t>ORD-100747</t>
  </si>
  <si>
    <t>ORD-100266</t>
  </si>
  <si>
    <t>ORD-100006</t>
  </si>
  <si>
    <t>ORD-100138</t>
  </si>
  <si>
    <t>ORD-100163</t>
  </si>
  <si>
    <t>ORD-101193</t>
  </si>
  <si>
    <t>ORD-100594</t>
  </si>
  <si>
    <t>ORD-101281</t>
  </si>
  <si>
    <t>ORD-101054</t>
  </si>
  <si>
    <t>ORD-101380</t>
  </si>
  <si>
    <t>ORD-100523</t>
  </si>
  <si>
    <t>ORD-100797</t>
  </si>
  <si>
    <t>ORD-101399</t>
  </si>
  <si>
    <t>ORD-100578</t>
  </si>
  <si>
    <t>ORD-100716</t>
  </si>
  <si>
    <t>ORD-101393</t>
  </si>
  <si>
    <t>ORD-100633</t>
  </si>
  <si>
    <t>ORD-100712</t>
  </si>
  <si>
    <t>ORD-100618</t>
  </si>
  <si>
    <t>ORD-101169</t>
  </si>
  <si>
    <t>ORD-101081</t>
  </si>
  <si>
    <t>ORD-100137</t>
  </si>
  <si>
    <t>ORD-100557</t>
  </si>
  <si>
    <t>ORD-101187</t>
  </si>
  <si>
    <t>ORD-100674</t>
  </si>
  <si>
    <t>ORD-101328</t>
  </si>
  <si>
    <t>ORD-100368</t>
  </si>
  <si>
    <t>ORD-101365</t>
  </si>
  <si>
    <t>ORD-101142</t>
  </si>
  <si>
    <t>ORD-100327</t>
  </si>
  <si>
    <t>ORD-100317</t>
  </si>
  <si>
    <t>ORD-101103</t>
  </si>
  <si>
    <t>ORD-101070</t>
  </si>
  <si>
    <t>ORD-100528</t>
  </si>
  <si>
    <t>ORD-100526</t>
  </si>
  <si>
    <t>ORD-100087</t>
  </si>
  <si>
    <t>ORD-100479</t>
  </si>
  <si>
    <t>ORD-100338</t>
  </si>
  <si>
    <t>ORD-100707</t>
  </si>
  <si>
    <t>ORD-100657</t>
  </si>
  <si>
    <t>ORD-100148</t>
  </si>
  <si>
    <t>ORD-101174</t>
  </si>
  <si>
    <t>ORD-101339</t>
  </si>
  <si>
    <t>ORD-100028</t>
  </si>
  <si>
    <t>ORD-100246</t>
  </si>
  <si>
    <t>ORD-100365</t>
  </si>
  <si>
    <t>ORD-101120</t>
  </si>
  <si>
    <t>ORD-101090</t>
  </si>
  <si>
    <t>ORD-100198</t>
  </si>
  <si>
    <t>ORD-100728</t>
  </si>
  <si>
    <t>ORD-100862</t>
  </si>
  <si>
    <t>ORD-100404</t>
  </si>
  <si>
    <t>ORD-100742</t>
  </si>
  <si>
    <t>ORD-100483</t>
  </si>
  <si>
    <t>ORD-100158</t>
  </si>
  <si>
    <t>ORD-100315</t>
  </si>
  <si>
    <t>ORD-100256</t>
  </si>
  <si>
    <t>ORD-100007</t>
  </si>
  <si>
    <t>ORD-101382</t>
  </si>
  <si>
    <t>ORD-100384</t>
  </si>
  <si>
    <t>ORD-100177</t>
  </si>
  <si>
    <t>ORD-100704</t>
  </si>
  <si>
    <t>ORD-100314</t>
  </si>
  <si>
    <t>ORD-100357</t>
  </si>
  <si>
    <t>ORD-100298</t>
  </si>
  <si>
    <t>ORD-100455</t>
  </si>
  <si>
    <t>ORD-100543</t>
  </si>
  <si>
    <t>ORD-100662</t>
  </si>
  <si>
    <t>ORD-101173</t>
  </si>
  <si>
    <t>ORD-100885</t>
  </si>
  <si>
    <t>ORD-100527</t>
  </si>
  <si>
    <t>ORD-100682</t>
  </si>
  <si>
    <t>ORD-100159</t>
  </si>
  <si>
    <t>ORD-100999</t>
  </si>
  <si>
    <t>ORD-100360</t>
  </si>
  <si>
    <t>ORD-101278</t>
  </si>
  <si>
    <t>ORD-100202</t>
  </si>
  <si>
    <t>ORD-100851</t>
  </si>
  <si>
    <t>ORD-100861</t>
  </si>
  <si>
    <t>ORD-100112</t>
  </si>
  <si>
    <t>ORD-100833</t>
  </si>
  <si>
    <t>ORD-100307</t>
  </si>
  <si>
    <t>ORD-100789</t>
  </si>
  <si>
    <t>ORD-100422</t>
  </si>
  <si>
    <t>ORD-100737</t>
  </si>
  <si>
    <t>ORD-101073</t>
  </si>
  <si>
    <t>ORD-100883</t>
  </si>
  <si>
    <t>ORD-100459</t>
  </si>
  <si>
    <t>ORD-100915</t>
  </si>
  <si>
    <t>ORD-101306</t>
  </si>
  <si>
    <t>ORD-100871</t>
  </si>
  <si>
    <t>ORD-100858</t>
  </si>
  <si>
    <t>ORD-100449</t>
  </si>
  <si>
    <t>ORD-100679</t>
  </si>
  <si>
    <t>ORD-100692</t>
  </si>
  <si>
    <t>ORD-100912</t>
  </si>
  <si>
    <t>ORD-100080</t>
  </si>
  <si>
    <t>ORD-101268</t>
  </si>
  <si>
    <t>ORD-100922</t>
  </si>
  <si>
    <t>ORD-100215</t>
  </si>
  <si>
    <t>ORD-100893</t>
  </si>
  <si>
    <t>ORD-100030</t>
  </si>
  <si>
    <t>ORD-100242</t>
  </si>
  <si>
    <t>ORD-101330</t>
  </si>
  <si>
    <t>ORD-100641</t>
  </si>
  <si>
    <t>ORD-100696</t>
  </si>
  <si>
    <t>ORD-100209</t>
  </si>
  <si>
    <t>ORD-100887</t>
  </si>
  <si>
    <t>ORD-100435</t>
  </si>
  <si>
    <t>ORD-101015</t>
  </si>
  <si>
    <t>ORD-101358</t>
  </si>
  <si>
    <t>ORD-101172</t>
  </si>
  <si>
    <t>ORD-101323</t>
  </si>
  <si>
    <t>ORD-100688</t>
  </si>
  <si>
    <t>ORD-100551</t>
  </si>
  <si>
    <t>ORD-100544</t>
  </si>
  <si>
    <t>ORD-100995</t>
  </si>
  <si>
    <t>ORD-100983</t>
  </si>
  <si>
    <t>ORD-100806</t>
  </si>
  <si>
    <t>ORD-101038</t>
  </si>
  <si>
    <t>ORD-100403</t>
  </si>
  <si>
    <t>ORD-100362</t>
  </si>
  <si>
    <t>ORD-100271</t>
  </si>
  <si>
    <t>ORD-100466</t>
  </si>
  <si>
    <t>ORD-101294</t>
  </si>
  <si>
    <t>ORD-101290</t>
  </si>
  <si>
    <t>ORD-100277</t>
  </si>
  <si>
    <t>ORD-101292</t>
  </si>
  <si>
    <t>ORD-101376</t>
  </si>
  <si>
    <t>ORD-100899</t>
  </si>
  <si>
    <t>ORD-101002</t>
  </si>
  <si>
    <t>ORD-101390</t>
  </si>
  <si>
    <t>ORD-101114</t>
  </si>
  <si>
    <t>ORD-100442</t>
  </si>
  <si>
    <t>ORD-100299</t>
  </si>
  <si>
    <t>ORD-100879</t>
  </si>
  <si>
    <t>ORD-100375</t>
  </si>
  <si>
    <t>ORD-100956</t>
  </si>
  <si>
    <t>ORD-101083</t>
  </si>
  <si>
    <t>ORD-100872</t>
  </si>
  <si>
    <t>ORD-101076</t>
  </si>
  <si>
    <t>ORD-100472</t>
  </si>
  <si>
    <t>ORD-100825</t>
  </si>
  <si>
    <t>ORD-100563</t>
  </si>
  <si>
    <t>ORD-101315</t>
  </si>
  <si>
    <t>ORD-100750</t>
  </si>
  <si>
    <t>ORD-100388</t>
  </si>
  <si>
    <t>ORD-100022</t>
  </si>
  <si>
    <t>ORD-100771</t>
  </si>
  <si>
    <t>ORD-100124</t>
  </si>
  <si>
    <t>ORD-100423</t>
  </si>
  <si>
    <t>ORD-100773</t>
  </si>
  <si>
    <t>ORD-101302</t>
  </si>
  <si>
    <t>ORD-100470</t>
  </si>
  <si>
    <t>ORD-100721</t>
  </si>
  <si>
    <t>ORD-101250</t>
  </si>
  <si>
    <t>ORD-100142</t>
  </si>
  <si>
    <t>ORD-100050</t>
  </si>
  <si>
    <t>ORD-101353</t>
  </si>
  <si>
    <t>ORD-101115</t>
  </si>
  <si>
    <t>ORD-100623</t>
  </si>
  <si>
    <t>ORD-101053</t>
  </si>
  <si>
    <t>ORD-100081</t>
  </si>
  <si>
    <t>ORD-100703</t>
  </si>
  <si>
    <t>ORD-100482</t>
  </si>
  <si>
    <t>ORD-100321</t>
  </si>
  <si>
    <t>ORD-100505</t>
  </si>
  <si>
    <t>ORD-101379</t>
  </si>
  <si>
    <t>ORD-100066</t>
  </si>
  <si>
    <t>ORD-100857</t>
  </si>
  <si>
    <t>ORD-101283</t>
  </si>
  <si>
    <t>ORD-101064</t>
  </si>
  <si>
    <t>ORD-100031</t>
  </si>
  <si>
    <t>ORD-100795</t>
  </si>
  <si>
    <t>ORD-100417</t>
  </si>
  <si>
    <t>ORD-100632</t>
  </si>
  <si>
    <t>ORD-101192</t>
  </si>
  <si>
    <t>ORD-100064</t>
  </si>
  <si>
    <t>ORD-100139</t>
  </si>
  <si>
    <t>ORD-101167</t>
  </si>
  <si>
    <t>ORD-100077</t>
  </si>
  <si>
    <t>ORD-100491</t>
  </si>
  <si>
    <t>ORD-101018</t>
  </si>
  <si>
    <t>ORD-100532</t>
  </si>
  <si>
    <t>ORD-100065</t>
  </si>
  <si>
    <t>ORD-101221</t>
  </si>
  <si>
    <t>ORD-100848</t>
  </si>
  <si>
    <t>ORD-101216</t>
  </si>
  <si>
    <t>ORD-100296</t>
  </si>
  <si>
    <t>ORD-100591</t>
  </si>
  <si>
    <t>ORD-100419</t>
  </si>
  <si>
    <t>ORD-100767</t>
  </si>
  <si>
    <t>ORD-100438</t>
  </si>
  <si>
    <t>ORD-100261</t>
  </si>
  <si>
    <t>ORD-101383</t>
  </si>
  <si>
    <t>ORD-100724</t>
  </si>
  <si>
    <t>ORD-101342</t>
  </si>
  <si>
    <t>ORD-100281</t>
  </si>
  <si>
    <t>ORD-100626</t>
  </si>
  <si>
    <t>ORD-101362</t>
  </si>
  <si>
    <t>ORD-101049</t>
  </si>
  <si>
    <t>ORD-100188</t>
  </si>
  <si>
    <t>ORD-101165</t>
  </si>
  <si>
    <t>ORD-100251</t>
  </si>
  <si>
    <t>ORD-100583</t>
  </si>
  <si>
    <t>ORD-100980</t>
  </si>
  <si>
    <t>ORD-101312</t>
  </si>
  <si>
    <t>ORD-101269</t>
  </si>
  <si>
    <t>ORD-100514</t>
  </si>
  <si>
    <t>ORD-100863</t>
  </si>
  <si>
    <t>ORD-100888</t>
  </si>
  <si>
    <t>ORD-100706</t>
  </si>
  <si>
    <t>ORD-100487</t>
  </si>
  <si>
    <t>ORD-100663</t>
  </si>
  <si>
    <t>ORD-101098</t>
  </si>
  <si>
    <t>ORD-100273</t>
  </si>
  <si>
    <t>ORD-100685</t>
  </si>
  <si>
    <t>ORD-101205</t>
  </si>
  <si>
    <t>ORD-101277</t>
  </si>
  <si>
    <t>ORD-101307</t>
  </si>
  <si>
    <t>ORD-100448</t>
  </si>
  <si>
    <t>ORD-100411</t>
  </si>
  <si>
    <t>ORD-100458</t>
  </si>
  <si>
    <t>ORD-100376</t>
  </si>
  <si>
    <t>ORD-101267</t>
  </si>
  <si>
    <t>ORD-100667</t>
  </si>
  <si>
    <t>ORD-101200</t>
  </si>
  <si>
    <t>ORD-100149</t>
  </si>
  <si>
    <t>ORD-100868</t>
  </si>
  <si>
    <t>ORD-101159</t>
  </si>
  <si>
    <t>ORD-100733</t>
  </si>
  <si>
    <t>ORD-100218</t>
  </si>
  <si>
    <t>ORD-100239</t>
  </si>
  <si>
    <t>ORD-101046</t>
  </si>
  <si>
    <t>ORD-100725</t>
  </si>
  <si>
    <t>ORD-100192</t>
  </si>
  <si>
    <t>ORD-100792</t>
  </si>
  <si>
    <t>ORD-100191</t>
  </si>
  <si>
    <t>ORD-101126</t>
  </si>
  <si>
    <t>ORD-100898</t>
  </si>
  <si>
    <t>ORD-100902</t>
  </si>
  <si>
    <t>ORD-100644</t>
  </si>
  <si>
    <t>ORD-100359</t>
  </si>
  <si>
    <t>ORD-101022</t>
  </si>
  <si>
    <t>ORD-100236</t>
  </si>
  <si>
    <t>ORD-100016</t>
  </si>
  <si>
    <t>ORD-100333</t>
  </si>
  <si>
    <t>ORD-101168</t>
  </si>
  <si>
    <t>ORD-100582</t>
  </si>
  <si>
    <t>ORD-101377</t>
  </si>
  <si>
    <t>ORD-101037</t>
  </si>
  <si>
    <t>ORD-100839</t>
  </si>
  <si>
    <t>ORD-100627</t>
  </si>
  <si>
    <t>ORD-101347</t>
  </si>
  <si>
    <t>ORD-100323</t>
  </si>
  <si>
    <t>ORD-100824</t>
  </si>
  <si>
    <t>ORD-101276</t>
  </si>
  <si>
    <t>ORD-100631</t>
  </si>
  <si>
    <t>ORD-100981</t>
  </si>
  <si>
    <t>ORD-101139</t>
  </si>
  <si>
    <t>ORD-100778</t>
  </si>
  <si>
    <t>ORD-100986</t>
  </si>
  <si>
    <t>ORD-101326</t>
  </si>
  <si>
    <t>ORD-100437</t>
  </si>
  <si>
    <t>ORD-100119</t>
  </si>
  <si>
    <t>ORD-101024</t>
  </si>
  <si>
    <t>ORD-101127</t>
  </si>
  <si>
    <t>ORD-100790</t>
  </si>
  <si>
    <t>ORD-100341</t>
  </si>
  <si>
    <t>ORD-100815</t>
  </si>
  <si>
    <t>ORD-100002</t>
  </si>
  <si>
    <t>ORD-100229</t>
  </si>
  <si>
    <t>ORD-101144</t>
  </si>
  <si>
    <t>ORD-101397</t>
  </si>
  <si>
    <t>ORD-100076</t>
  </si>
  <si>
    <t>ORD-101137</t>
  </si>
  <si>
    <t>ORD-101170</t>
  </si>
  <si>
    <t>ORD-100371</t>
  </si>
  <si>
    <t>ORD-100180</t>
  </si>
  <si>
    <t>ORD-101042</t>
  </si>
  <si>
    <t>ORD-101017</t>
  </si>
  <si>
    <t>ORD-101061</t>
  </si>
  <si>
    <t>ORD-101077</t>
  </si>
  <si>
    <t>ORD-101361</t>
  </si>
  <si>
    <t>ORD-100970</t>
  </si>
  <si>
    <t>ORD-100589</t>
  </si>
  <si>
    <t>ORD-100886</t>
  </si>
  <si>
    <t>ORD-101085</t>
  </si>
  <si>
    <t>ORD-100785</t>
  </si>
  <si>
    <t>ORD-101117</t>
  </si>
  <si>
    <t>ORD-100311</t>
  </si>
  <si>
    <t>ORD-101162</t>
  </si>
  <si>
    <t>ORD-100301</t>
  </si>
  <si>
    <t>ORD-100722</t>
  </si>
  <si>
    <t>ORD-100689</t>
  </si>
  <si>
    <t>ORD-100812</t>
  </si>
  <si>
    <t>ORD-100353</t>
  </si>
  <si>
    <t>ORD-101333</t>
  </si>
  <si>
    <t>ORD-100714</t>
  </si>
  <si>
    <t>ORD-101210</t>
  </si>
  <si>
    <t>ORD-100729</t>
  </si>
  <si>
    <t>ORD-101195</t>
  </si>
  <si>
    <t>ORD-100499</t>
  </si>
  <si>
    <t>ORD-101197</t>
  </si>
  <si>
    <t>ORD-100553</t>
  </si>
  <si>
    <t>ORD-100055</t>
  </si>
  <si>
    <t>ORD-100302</t>
  </si>
  <si>
    <t>ORD-100794</t>
  </si>
  <si>
    <t>ORD-100286</t>
  </si>
  <si>
    <t>ORD-101104</t>
  </si>
  <si>
    <t>ORD-100219</t>
  </si>
  <si>
    <t>ORD-100900</t>
  </si>
  <si>
    <t>ORD-100957</t>
  </si>
  <si>
    <t>ORD-100934</t>
  </si>
  <si>
    <t>ORD-100387</t>
  </si>
  <si>
    <t>ORD-100304</t>
  </si>
  <si>
    <t>ORD-100390</t>
  </si>
  <si>
    <t>ORD-100971</t>
  </si>
  <si>
    <t>ORD-100352</t>
  </si>
  <si>
    <t>ORD-100193</t>
  </si>
  <si>
    <t>ORD-100235</t>
  </si>
  <si>
    <t>ORD-101231</t>
  </si>
  <si>
    <t>ORD-100694</t>
  </si>
  <si>
    <t>ORD-100480</t>
  </si>
  <si>
    <t>ORD-100567</t>
  </si>
  <si>
    <t>ORD-100116</t>
  </si>
  <si>
    <t>ORD-101151</t>
  </si>
  <si>
    <t>ORD-100653</t>
  </si>
  <si>
    <t>ORD-101215</t>
  </si>
  <si>
    <t>ORD-101345</t>
  </si>
  <si>
    <t>ORD-100757</t>
  </si>
  <si>
    <t>ORD-100444</t>
  </si>
  <si>
    <t>ORD-101130</t>
  </si>
  <si>
    <t>ORD-100120</t>
  </si>
  <si>
    <t>ORD-101196</t>
  </si>
  <si>
    <t>ORD-101245</t>
  </si>
  <si>
    <t>ORD-101087</t>
  </si>
  <si>
    <t>ORD-100062</t>
  </si>
  <si>
    <t>ORD-100743</t>
  </si>
  <si>
    <t>ORD-100997</t>
  </si>
  <si>
    <t>ORD-100453</t>
  </si>
  <si>
    <t>ORD-101360</t>
  </si>
  <si>
    <t>ORD-100515</t>
  </si>
  <si>
    <t>ORD-100570</t>
  </si>
  <si>
    <t>ORD-100223</t>
  </si>
  <si>
    <t>ORD-101067</t>
  </si>
  <si>
    <t>ORD-100613</t>
  </si>
  <si>
    <t>ORD-100843</t>
  </si>
  <si>
    <t>ORD-100221</t>
  </si>
  <si>
    <t>ORD-101010</t>
  </si>
  <si>
    <t>ORD-100516</t>
  </si>
  <si>
    <t>ORD-100465</t>
  </si>
  <si>
    <t>ORD-100052</t>
  </si>
  <si>
    <t>ORD-100485</t>
  </si>
  <si>
    <t>ORD-100875</t>
  </si>
  <si>
    <t>ORD-101381</t>
  </si>
  <si>
    <t>ORD-100818</t>
  </si>
  <si>
    <t>ORD-100386</t>
  </si>
  <si>
    <t>ORD-100155</t>
  </si>
  <si>
    <t>ORD-101182</t>
  </si>
  <si>
    <t>ORD-100600</t>
  </si>
  <si>
    <t>ORD-101157</t>
  </si>
  <si>
    <t>ORD-100248</t>
  </si>
  <si>
    <t>ORD-100761</t>
  </si>
  <si>
    <t>ORD-100870</t>
  </si>
  <si>
    <t>ORD-100855</t>
  </si>
  <si>
    <t>ORD-101125</t>
  </si>
  <si>
    <t>ORD-100441</t>
  </si>
  <si>
    <t>ORD-101319</t>
  </si>
  <si>
    <t>ORD-101334</t>
  </si>
  <si>
    <t>ORD-100542</t>
  </si>
  <si>
    <t>ORD-100793</t>
  </si>
  <si>
    <t>ORD-100951</t>
  </si>
  <si>
    <t>ORD-100701</t>
  </si>
  <si>
    <t>ORD-100117</t>
  </si>
  <si>
    <t>ORD-101056</t>
  </si>
  <si>
    <t>ORD-100628</t>
  </si>
  <si>
    <t>ORD-100150</t>
  </si>
  <si>
    <t>ORD-100206</t>
  </si>
  <si>
    <t>ORD-100291</t>
  </si>
  <si>
    <t>ORD-101271</t>
  </si>
  <si>
    <t>ORD-100381</t>
  </si>
  <si>
    <t>ORD-100819</t>
  </si>
  <si>
    <t>ORD-100686</t>
  </si>
  <si>
    <t>ORD-101109</t>
  </si>
  <si>
    <t>ORD-100200</t>
  </si>
  <si>
    <t>ORD-100596</t>
  </si>
  <si>
    <t>ORD-100897</t>
  </si>
  <si>
    <t>ORD-101224</t>
  </si>
  <si>
    <t>ORD-100854</t>
  </si>
  <si>
    <t>ORD-101262</t>
  </si>
  <si>
    <t>ORD-100891</t>
  </si>
  <si>
    <t>ORD-100615</t>
  </si>
  <si>
    <t>ORD-100154</t>
  </si>
  <si>
    <t>ORD-100322</t>
  </si>
  <si>
    <t>ORD-101116</t>
  </si>
  <si>
    <t>ORD-100082</t>
  </si>
  <si>
    <t>ORD-100512</t>
  </si>
  <si>
    <t>ORD-101309</t>
  </si>
  <si>
    <t>ORD-100929</t>
  </si>
  <si>
    <t>ORD-101180</t>
  </si>
  <si>
    <t>ORD-100010</t>
  </si>
  <si>
    <t>ORD-100831</t>
  </si>
  <si>
    <t>ORD-100032</t>
  </si>
  <si>
    <t>ORD-100413</t>
  </si>
  <si>
    <t>ORD-100580</t>
  </si>
  <si>
    <t>ORD-101118</t>
  </si>
  <si>
    <t>ORD-101374</t>
  </si>
  <si>
    <t>ORD-100614</t>
  </si>
  <si>
    <t>ORD-101045</t>
  </si>
  <si>
    <t>ORD-101014</t>
  </si>
  <si>
    <t>ORD-100089</t>
  </si>
  <si>
    <t>ORD-101226</t>
  </si>
  <si>
    <t>ORD-100601</t>
  </si>
  <si>
    <t>ORD-100133</t>
  </si>
  <si>
    <t>ORD-100555</t>
  </si>
  <si>
    <t>ORD-101031</t>
  </si>
  <si>
    <t>ORD-101131</t>
  </si>
  <si>
    <t>ORD-100320</t>
  </si>
  <si>
    <t>ORD-101274</t>
  </si>
  <si>
    <t>ORD-101253</t>
  </si>
  <si>
    <t>ORD-100634</t>
  </si>
  <si>
    <t>ORD-100552</t>
  </si>
  <si>
    <t>ORD-101055</t>
  </si>
  <si>
    <t>ORD-101124</t>
  </si>
  <si>
    <t>ORD-100796</t>
  </si>
  <si>
    <t>ORD-101202</t>
  </si>
  <si>
    <t>ORD-100174</t>
  </si>
  <si>
    <t>ORD-100766</t>
  </si>
  <si>
    <t>ORD-100245</t>
  </si>
  <si>
    <t>ORD-101252</t>
  </si>
  <si>
    <t>ORD-100145</t>
  </si>
  <si>
    <t>ORD-100090</t>
  </si>
  <si>
    <t>ORD-100310</t>
  </si>
  <si>
    <t>ORD-100093</t>
  </si>
  <si>
    <t>ORD-101133</t>
  </si>
  <si>
    <t>ORD-100924</t>
  </si>
  <si>
    <t>ORD-100675</t>
  </si>
  <si>
    <t>ORD-101035</t>
  </si>
  <si>
    <t>ORD-100243</t>
  </si>
  <si>
    <t>ORD-100214</t>
  </si>
  <si>
    <t>ORD-100998</t>
  </si>
  <si>
    <t>ORD-100853</t>
  </si>
  <si>
    <t>ORD-100425</t>
  </si>
  <si>
    <t>ORD-101270</t>
  </si>
  <si>
    <t>ORD-100226</t>
  </si>
  <si>
    <t>ORD-101178</t>
  </si>
  <si>
    <t>ORD-100000</t>
  </si>
  <si>
    <t>ORD-100401</t>
  </si>
  <si>
    <t>ORD-100084</t>
  </si>
  <si>
    <t>ORD-100162</t>
  </si>
  <si>
    <t>ORD-100114</t>
  </si>
  <si>
    <t>ORD-100670</t>
  </si>
  <si>
    <t>ORD-101102</t>
  </si>
  <si>
    <t>ORD-100889</t>
  </si>
  <si>
    <t>ORD-100625</t>
  </si>
  <si>
    <t>ORD-100952</t>
  </si>
  <si>
    <t>ORD-100807</t>
  </si>
  <si>
    <t>ORD-100258</t>
  </si>
  <si>
    <t>ORD-100624</t>
  </si>
  <si>
    <t>ORD-100826</t>
  </si>
  <si>
    <t>ORD-100234</t>
  </si>
  <si>
    <t>ORD-100135</t>
  </si>
  <si>
    <t>ORD-100616</t>
  </si>
  <si>
    <t>ORD-100836</t>
  </si>
  <si>
    <t>ORD-100842</t>
  </si>
  <si>
    <t>ORD-100959</t>
  </si>
  <si>
    <t>ORD-100592</t>
  </si>
  <si>
    <t>ORD-100343</t>
  </si>
  <si>
    <t>ORD-100293</t>
  </si>
  <si>
    <t>ORD-100364</t>
  </si>
  <si>
    <t>ORD-100178</t>
  </si>
  <si>
    <t>ORD-100659</t>
  </si>
  <si>
    <t>ORD-100996</t>
  </si>
  <si>
    <t>ORD-100014</t>
  </si>
  <si>
    <t>ORD-101110</t>
  </si>
  <si>
    <t>ORD-100165</t>
  </si>
  <si>
    <t>ORD-100059</t>
  </si>
  <si>
    <t>ORD-100709</t>
  </si>
  <si>
    <t>ORD-100676</t>
  </si>
  <si>
    <t>ORD-100780</t>
  </si>
  <si>
    <t>ORD-100424</t>
  </si>
  <si>
    <t>ORD-100292</t>
  </si>
  <si>
    <t>ORD-101065</t>
  </si>
  <si>
    <t>ORD-101291</t>
  </si>
  <si>
    <t>ORD-100329</t>
  </si>
  <si>
    <t>ORD-100429</t>
  </si>
  <si>
    <t>ORD-101012</t>
  </si>
  <si>
    <t>ORD-100079</t>
  </si>
  <si>
    <t>ORD-101052</t>
  </si>
  <si>
    <t>ORD-100937</t>
  </si>
  <si>
    <t>ORD-100834</t>
  </si>
  <si>
    <t>ORD-100749</t>
  </si>
  <si>
    <t>ORD-100890</t>
  </si>
  <si>
    <t>ORD-100254</t>
  </si>
  <si>
    <t>ORD-101108</t>
  </si>
  <si>
    <t>ORD-100136</t>
  </si>
  <si>
    <t>ORD-101135</t>
  </si>
  <si>
    <t>ORD-100852</t>
  </si>
  <si>
    <t>ORD-100723</t>
  </si>
  <si>
    <t>ORD-100859</t>
  </si>
  <si>
    <t>ORD-100969</t>
  </si>
  <si>
    <t>ORD-100496</t>
  </si>
  <si>
    <t>ORD-100950</t>
  </si>
  <si>
    <t>ORD-100805</t>
  </si>
  <si>
    <t>ORD-100129</t>
  </si>
  <si>
    <t>ORD-100337</t>
  </si>
  <si>
    <t>ORD-100608</t>
  </si>
  <si>
    <t>ORD-101148</t>
  </si>
  <si>
    <t>ORD-100195</t>
  </si>
  <si>
    <t>ORD-100909</t>
  </si>
  <si>
    <t>ORD-100584</t>
  </si>
  <si>
    <t>ORD-100103</t>
  </si>
  <si>
    <t>ORD-101335</t>
  </si>
  <si>
    <t>ORD-100884</t>
  </si>
  <si>
    <t>ORD-100776</t>
  </si>
  <si>
    <t>ORD-100849</t>
  </si>
  <si>
    <t>ORD-100894</t>
  </si>
  <si>
    <t>ORD-100227</t>
  </si>
  <si>
    <t>ORD-101359</t>
  </si>
  <si>
    <t>ORD-100126</t>
  </si>
  <si>
    <t>ORD-100405</t>
  </si>
  <si>
    <t>ORD-100775</t>
  </si>
  <si>
    <t>ORD-100821</t>
  </si>
  <si>
    <t>ORD-100711</t>
  </si>
  <si>
    <t>ORD-101363</t>
  </si>
  <si>
    <t>ORD-101060</t>
  </si>
  <si>
    <t>ORD-101163</t>
  </si>
  <si>
    <t>ORD-100303</t>
  </si>
  <si>
    <t>ORD-100267</t>
  </si>
  <si>
    <t>ORD-100545</t>
  </si>
  <si>
    <t>ORD-100212</t>
  </si>
  <si>
    <t>ORD-100896</t>
  </si>
  <si>
    <t>ORD-100916</t>
  </si>
  <si>
    <t>ORD-100814</t>
  </si>
  <si>
    <t>ORD-100342</t>
  </si>
  <si>
    <t>ORD-100549</t>
  </si>
  <si>
    <t>ORD-100966</t>
  </si>
  <si>
    <t>ORD-100295</t>
  </si>
  <si>
    <t>ORD-100695</t>
  </si>
  <si>
    <t>ORD-100073</t>
  </si>
  <si>
    <t>ORD-100605</t>
  </si>
  <si>
    <t>ORD-100104</t>
  </si>
  <si>
    <t>ORD-100645</t>
  </si>
  <si>
    <t>ORD-101040</t>
  </si>
  <si>
    <t>ORD-100439</t>
  </si>
  <si>
    <t>ORD-101019</t>
  </si>
  <si>
    <t>ORD-100091</t>
  </si>
  <si>
    <t>ORD-101112</t>
  </si>
  <si>
    <t>ORD-101266</t>
  </si>
  <si>
    <t>ORD-100908</t>
  </si>
  <si>
    <t>ORD-100102</t>
  </si>
  <si>
    <t>ORD-100238</t>
  </si>
  <si>
    <t>ORD-101230</t>
  </si>
  <si>
    <t>ORD-100942</t>
  </si>
  <si>
    <t>ORD-100938</t>
  </si>
  <si>
    <t>ORD-101181</t>
  </si>
  <si>
    <t>ORD-100005</t>
  </si>
  <si>
    <t>ORD-101311</t>
  </si>
  <si>
    <t>ORD-100965</t>
  </si>
  <si>
    <t>ORD-100018</t>
  </si>
  <si>
    <t>ORD-100121</t>
  </si>
  <si>
    <t>ORD-100661</t>
  </si>
  <si>
    <t>ORD-101218</t>
  </si>
  <si>
    <t>ORD-100274</t>
  </si>
  <si>
    <t>ORD-100433</t>
  </si>
  <si>
    <t>ORD-100811</t>
  </si>
  <si>
    <t>ORD-101364</t>
  </si>
  <si>
    <t>ORD-100181</t>
  </si>
  <si>
    <t>ORD-100184</t>
  </si>
  <si>
    <t>ORD-100406</t>
  </si>
  <si>
    <t>ORD-100865</t>
  </si>
  <si>
    <t>ORD-100520</t>
  </si>
  <si>
    <t>ORD-101003</t>
  </si>
  <si>
    <t>ORD-100380</t>
  </si>
  <si>
    <t>ORD-100427</t>
  </si>
  <si>
    <t>ORD-100078</t>
  </si>
  <si>
    <t>ORD-101009</t>
  </si>
  <si>
    <t>ORD-100607</t>
  </si>
  <si>
    <t>ORD-101285</t>
  </si>
  <si>
    <t>ORD-101317</t>
  </si>
  <si>
    <t>ORD-101057</t>
  </si>
  <si>
    <t>ORD-101091</t>
  </si>
  <si>
    <t>ORD-101101</t>
  </si>
  <si>
    <t>ORD-101129</t>
  </si>
  <si>
    <t>ORD-101235</t>
  </si>
  <si>
    <t>ORD-101272</t>
  </si>
  <si>
    <t>ORD-100958</t>
  </si>
  <si>
    <t>ORD-100559</t>
  </si>
  <si>
    <t>ORD-100846</t>
  </si>
  <si>
    <t>ORD-100690</t>
  </si>
  <si>
    <t>ORD-101348</t>
  </si>
  <si>
    <t>ORD-100436</t>
  </si>
  <si>
    <t>ORD-100490</t>
  </si>
  <si>
    <t>ORD-101327</t>
  </si>
  <si>
    <t>ORD-100069</t>
  </si>
  <si>
    <t>ORD-100808</t>
  </si>
  <si>
    <t>ORD-101184</t>
  </si>
  <si>
    <t>ORD-100011</t>
  </si>
  <si>
    <t>ORD-100144</t>
  </si>
  <si>
    <t>ORD-100917</t>
  </si>
  <si>
    <t>ORD-100639</t>
  </si>
  <si>
    <t>ORD-100176</t>
  </si>
  <si>
    <t>ORD-100994</t>
  </si>
  <si>
    <t>ORD-100440</t>
  </si>
  <si>
    <t>ORD-100521</t>
  </si>
  <si>
    <t>ORD-101004</t>
  </si>
  <si>
    <t>ORD-101255</t>
  </si>
  <si>
    <t>ORD-101234</t>
  </si>
  <si>
    <t>ORD-100143</t>
  </si>
  <si>
    <t>ORD-100753</t>
  </si>
  <si>
    <t>ORD-100519</t>
  </si>
  <si>
    <t>ORD-100822</t>
  </si>
  <si>
    <t>ORD-100428</t>
  </si>
  <si>
    <t>ORD-100612</t>
  </si>
  <si>
    <t>ORD-101032</t>
  </si>
  <si>
    <t>ORD-100156</t>
  </si>
  <si>
    <t>ORD-100539</t>
  </si>
  <si>
    <t>ORD-100461</t>
  </si>
  <si>
    <t>ORD-100576</t>
  </si>
  <si>
    <t>ORD-100255</t>
  </si>
  <si>
    <t>ORD-100979</t>
  </si>
  <si>
    <t>ORD-101185</t>
  </si>
  <si>
    <t>ORD-101006</t>
  </si>
  <si>
    <t>ORD-100560</t>
  </si>
  <si>
    <t>ORD-100208</t>
  </si>
  <si>
    <t>ORD-100910</t>
  </si>
  <si>
    <t>ORD-100001</t>
  </si>
  <si>
    <t>ORD-100269</t>
  </si>
  <si>
    <t>ORD-100265</t>
  </si>
  <si>
    <t>ORD-100914</t>
  </si>
  <si>
    <t>ORD-100230</t>
  </si>
  <si>
    <t>ORD-101119</t>
  </si>
  <si>
    <t>ORD-100864</t>
  </si>
  <si>
    <t>ORD-101066</t>
  </si>
  <si>
    <t>ORD-100873</t>
  </si>
  <si>
    <t>ORD-101295</t>
  </si>
  <si>
    <t>ORD-100398</t>
  </si>
  <si>
    <t>ORD-101320</t>
  </si>
  <si>
    <t>ORD-100045</t>
  </si>
  <si>
    <t>ORD-100161</t>
  </si>
  <si>
    <t>ORD-100991</t>
  </si>
  <si>
    <t>ORD-100727</t>
  </si>
  <si>
    <t>ORD-100629</t>
  </si>
  <si>
    <t>ORD-100288</t>
  </si>
  <si>
    <t>ORD-101059</t>
  </si>
  <si>
    <t>ORD-100919</t>
  </si>
  <si>
    <t>ORD-100575</t>
  </si>
  <si>
    <t>ORD-100850</t>
  </si>
  <si>
    <t>ORD-100911</t>
  </si>
  <si>
    <t>ORD-101254</t>
  </si>
  <si>
    <t>ORD-101313</t>
  </si>
  <si>
    <t>ORD-100932</t>
  </si>
  <si>
    <t>ORD-101100</t>
  </si>
  <si>
    <t>ORD-101207</t>
  </si>
  <si>
    <t>ORD-100247</t>
  </si>
  <si>
    <t>ORD-100476</t>
  </si>
  <si>
    <t>ORD-100085</t>
  </si>
  <si>
    <t>ORD-100469</t>
  </si>
  <si>
    <t>ORD-100225</t>
  </si>
  <si>
    <t>ORD-100774</t>
  </si>
  <si>
    <t>ORD-100331</t>
  </si>
  <si>
    <t>ORD-100233</t>
  </si>
  <si>
    <t>ORD-100588</t>
  </si>
  <si>
    <t>ORD-100475</t>
  </si>
  <si>
    <t>ORD-100599</t>
  </si>
  <si>
    <t>ORD-100421</t>
  </si>
  <si>
    <t>ORD-100182</t>
  </si>
  <si>
    <t>ORD-100988</t>
  </si>
  <si>
    <t>ORD-101000</t>
  </si>
  <si>
    <t>ORD-100049</t>
  </si>
  <si>
    <t>ORD-101355</t>
  </si>
  <si>
    <t>ORD-101029</t>
  </si>
  <si>
    <t>ORD-100529</t>
  </si>
  <si>
    <t>ORD-101258</t>
  </si>
  <si>
    <t>ORD-100486</t>
  </si>
  <si>
    <t>ORD-100497</t>
  </si>
  <si>
    <t>ORD-100106</t>
  </si>
  <si>
    <t>ORD-100443</t>
  </si>
  <si>
    <t>ORD-100646</t>
  </si>
  <si>
    <t>ORD-101036</t>
  </si>
  <si>
    <t>ORD-100726</t>
  </si>
  <si>
    <t>ORD-100190</t>
  </si>
  <si>
    <t>ORD-100282</t>
  </si>
  <si>
    <t>ORD-100029</t>
  </si>
  <si>
    <t>ORD-100169</t>
  </si>
  <si>
    <t>ORD-101001</t>
  </si>
  <si>
    <t>ORD-101204</t>
  </si>
  <si>
    <t>ORD-100100</t>
  </si>
  <si>
    <t>ORD-100197</t>
  </si>
  <si>
    <t>ORD-100495</t>
  </si>
  <si>
    <t>ORD-100647</t>
  </si>
  <si>
    <t>ORD-100987</t>
  </si>
  <si>
    <t>ORD-100044</t>
  </si>
  <si>
    <t>ORD-100710</t>
  </si>
  <si>
    <t>ORD-100373</t>
  </si>
  <si>
    <t>ORD-100678</t>
  </si>
  <si>
    <t>ORD-100566</t>
  </si>
  <si>
    <t>ORD-100847</t>
  </si>
  <si>
    <t>ORD-100460</t>
  </si>
  <si>
    <t>ORD-101155</t>
  </si>
  <si>
    <t>ORD-100039</t>
  </si>
  <si>
    <t>ORD-100434</t>
  </si>
  <si>
    <t>ORD-100973</t>
  </si>
  <si>
    <t>ORD-101239</t>
  </si>
  <si>
    <t>ORD-100456</t>
  </si>
  <si>
    <t>ORD-100260</t>
  </si>
  <si>
    <t>ORD-100035</t>
  </si>
  <si>
    <t>ORD-100827</t>
  </si>
  <si>
    <t>ORD-100309</t>
  </si>
  <si>
    <t>ORD-100276</t>
  </si>
  <si>
    <t>ORD-100636</t>
  </si>
  <si>
    <t>ORD-100654</t>
  </si>
  <si>
    <t>ORD-100622</t>
  </si>
  <si>
    <t>ORD-100844</t>
  </si>
  <si>
    <t>ORD-100393</t>
  </si>
  <si>
    <t>ORD-100107</t>
  </si>
  <si>
    <t>ORD-100349</t>
  </si>
  <si>
    <t>ORD-100524</t>
  </si>
  <si>
    <t>ORD-100784</t>
  </si>
  <si>
    <t>ORD-100047</t>
  </si>
  <si>
    <t>ORD-100203</t>
  </si>
  <si>
    <t>ORD-100021</t>
  </si>
  <si>
    <t>ORD-100402</t>
  </si>
  <si>
    <t>ORD-101107</t>
  </si>
  <si>
    <t>ORD-101154</t>
  </si>
  <si>
    <t>ORD-100989</t>
  </si>
  <si>
    <t>ORD-100741</t>
  </si>
  <si>
    <t>ORD-101310</t>
  </si>
  <si>
    <t>ORD-101147</t>
  </si>
  <si>
    <t>ORD-100033</t>
  </si>
  <si>
    <t>ORD-100787</t>
  </si>
  <si>
    <t>ORD-100923</t>
  </si>
  <si>
    <t>ORD-101043</t>
  </si>
  <si>
    <t>ORD-101395</t>
  </si>
  <si>
    <t>ORD-101243</t>
  </si>
  <si>
    <t>ORD-100579</t>
  </si>
  <si>
    <t>ORD-100481</t>
  </si>
  <si>
    <t>ORD-100931</t>
  </si>
  <si>
    <t>ORD-100356</t>
  </si>
  <si>
    <t>ORD-101248</t>
  </si>
  <si>
    <t>ORD-100759</t>
  </si>
  <si>
    <t>ORD-100092</t>
  </si>
  <si>
    <t>ORD-101175</t>
  </si>
  <si>
    <t>ORD-101341</t>
  </si>
  <si>
    <t>ORD-100803</t>
  </si>
  <si>
    <t>ORD-100745</t>
  </si>
  <si>
    <t>ORD-100279</t>
  </si>
  <si>
    <t>ORD-100764</t>
  </si>
  <si>
    <t>ORD-100604</t>
  </si>
  <si>
    <t>ORD-101373</t>
  </si>
  <si>
    <t>ORD-101398</t>
  </si>
  <si>
    <t>ORD-100400</t>
  </si>
  <si>
    <t>ORD-100257</t>
  </si>
  <si>
    <t>ORD-100944</t>
  </si>
  <si>
    <t>ORD-101096</t>
  </si>
  <si>
    <t>ORD-101219</t>
  </si>
  <si>
    <t>ORD-101161</t>
  </si>
  <si>
    <t>ORD-100494</t>
  </si>
  <si>
    <t>ORD-100772</t>
  </si>
  <si>
    <t>ORD-100550</t>
  </si>
  <si>
    <t>ORD-100201</t>
  </si>
  <si>
    <t>ORD-100312</t>
  </si>
  <si>
    <t>ORD-100290</t>
  </si>
  <si>
    <t>ORD-101213</t>
  </si>
  <si>
    <t>ORD-100763</t>
  </si>
  <si>
    <t>ORD-101136</t>
  </si>
  <si>
    <t>ORD-100949</t>
  </si>
  <si>
    <t>ORD-100183</t>
  </si>
  <si>
    <t>ORD-101176</t>
  </si>
  <si>
    <t>ORD-101349</t>
  </si>
  <si>
    <t>ORD-101068</t>
  </si>
  <si>
    <t>ORD-101030</t>
  </si>
  <si>
    <t>ORD-100250</t>
  </si>
  <si>
    <t>ORD-100823</t>
  </si>
  <si>
    <t>ORD-101099</t>
  </si>
  <si>
    <t>ORD-100940</t>
  </si>
  <si>
    <t>ORD-100391</t>
  </si>
  <si>
    <t>ORD-101092</t>
  </si>
  <si>
    <t>ORD-101191</t>
  </si>
  <si>
    <t>ORD-100904</t>
  </si>
  <si>
    <t>ORD-100730</t>
  </si>
  <si>
    <t>ORD-100554</t>
  </si>
  <si>
    <t>ORD-100366</t>
  </si>
  <si>
    <t>ORD-100345</t>
  </si>
  <si>
    <t>ORD-101209</t>
  </si>
  <si>
    <t>ORD-101372</t>
  </si>
  <si>
    <t>ORD-100211</t>
  </si>
  <si>
    <t>ORD-100502</t>
  </si>
  <si>
    <t>ORD-100537</t>
  </si>
  <si>
    <t>ORD-101220</t>
  </si>
  <si>
    <t>ORD-100175</t>
  </si>
  <si>
    <t>14-03-2025</t>
  </si>
  <si>
    <t>06-01-2024</t>
  </si>
  <si>
    <t>August 10, 2024</t>
  </si>
  <si>
    <t>06 Nov 2024</t>
  </si>
  <si>
    <t>May 15, 2025</t>
  </si>
  <si>
    <t>December 25, 2025</t>
  </si>
  <si>
    <t>10/07/25</t>
  </si>
  <si>
    <t>10-04-2024</t>
  </si>
  <si>
    <t>2025-08-16</t>
  </si>
  <si>
    <t>25 Aug 2025</t>
  </si>
  <si>
    <t>09/21/25</t>
  </si>
  <si>
    <t>2025-11-14</t>
  </si>
  <si>
    <t>10/30/25</t>
  </si>
  <si>
    <t>25 Mar 2025</t>
  </si>
  <si>
    <t>12/24/25</t>
  </si>
  <si>
    <t>06 Aug 2025</t>
  </si>
  <si>
    <t>08-01-2024</t>
  </si>
  <si>
    <t>03/04/25</t>
  </si>
  <si>
    <t>25 Jul 2024</t>
  </si>
  <si>
    <t>28 Nov 2024</t>
  </si>
  <si>
    <t>03/28/25</t>
  </si>
  <si>
    <t>February 07, 2024</t>
  </si>
  <si>
    <t>02 Nov 2025</t>
  </si>
  <si>
    <t>16 Jul 2024</t>
  </si>
  <si>
    <t>02/17/2024</t>
  </si>
  <si>
    <t>20 Jul 2025</t>
  </si>
  <si>
    <t>27-05-2024</t>
  </si>
  <si>
    <t>04/02/2025</t>
  </si>
  <si>
    <t>04/23/25</t>
  </si>
  <si>
    <t>14-05-2024</t>
  </si>
  <si>
    <t>06 May 2024</t>
  </si>
  <si>
    <t>11/07/2025</t>
  </si>
  <si>
    <t>04/05/2025</t>
  </si>
  <si>
    <t>15-03-2025</t>
  </si>
  <si>
    <t>April 02, 2024</t>
  </si>
  <si>
    <t>05/08/2024</t>
  </si>
  <si>
    <t>19-07-2025</t>
  </si>
  <si>
    <t>01/03/2024</t>
  </si>
  <si>
    <t>2024-10-20</t>
  </si>
  <si>
    <t>11 Jun 2025</t>
  </si>
  <si>
    <t>2024-04-03</t>
  </si>
  <si>
    <t>2025-07-06</t>
  </si>
  <si>
    <t>April 27, 2025</t>
  </si>
  <si>
    <t>November 19, 2024</t>
  </si>
  <si>
    <t>2025-08-31</t>
  </si>
  <si>
    <t>19 May 2025</t>
  </si>
  <si>
    <t>01/01/2025</t>
  </si>
  <si>
    <t>03/27/24</t>
  </si>
  <si>
    <t>07-04-2024</t>
  </si>
  <si>
    <t>09/11/2024</t>
  </si>
  <si>
    <t>September 20, 2025</t>
  </si>
  <si>
    <t>26-06-2024</t>
  </si>
  <si>
    <t>2025-01-05</t>
  </si>
  <si>
    <t>12/29/2024</t>
  </si>
  <si>
    <t>2024-08-02</t>
  </si>
  <si>
    <t>08/09/25</t>
  </si>
  <si>
    <t>18 Mar 2025</t>
  </si>
  <si>
    <t>09/09/25</t>
  </si>
  <si>
    <t>12-03-2024</t>
  </si>
  <si>
    <t>April 15, 2025</t>
  </si>
  <si>
    <t>16 Mar 2025</t>
  </si>
  <si>
    <t>08 May 2024</t>
  </si>
  <si>
    <t>November 17, 2024</t>
  </si>
  <si>
    <t>December 08, 2025</t>
  </si>
  <si>
    <t>28-03-2025</t>
  </si>
  <si>
    <t>04-09-2025</t>
  </si>
  <si>
    <t>2024-04-04</t>
  </si>
  <si>
    <t>December 30, 2025</t>
  </si>
  <si>
    <t>30-01-2024</t>
  </si>
  <si>
    <t>2024-02-20</t>
  </si>
  <si>
    <t>05/02/25</t>
  </si>
  <si>
    <t>08/09/2025</t>
  </si>
  <si>
    <t>December 12, 2025</t>
  </si>
  <si>
    <t>2025-05-07</t>
  </si>
  <si>
    <t>02/05/2025</t>
  </si>
  <si>
    <t>08/29/2025</t>
  </si>
  <si>
    <t>08/27/24</t>
  </si>
  <si>
    <t>10/16/2025</t>
  </si>
  <si>
    <t>19 Nov 2024</t>
  </si>
  <si>
    <t>14-09-2025</t>
  </si>
  <si>
    <t>10/21/2024</t>
  </si>
  <si>
    <t>21 Mar 2024</t>
  </si>
  <si>
    <t>22-03-2024</t>
  </si>
  <si>
    <t>01-11-2025</t>
  </si>
  <si>
    <t>29 Feb 2024</t>
  </si>
  <si>
    <t>2024-01-17</t>
  </si>
  <si>
    <t>21-05-2025</t>
  </si>
  <si>
    <t>May 05, 2024</t>
  </si>
  <si>
    <t>01/14/24</t>
  </si>
  <si>
    <t>05 Apr 2024</t>
  </si>
  <si>
    <t>10 Aug 2024</t>
  </si>
  <si>
    <t>April 15, 2024</t>
  </si>
  <si>
    <t>08 Jun 2025</t>
  </si>
  <si>
    <t>27 May 2024</t>
  </si>
  <si>
    <t>February 11, 2024</t>
  </si>
  <si>
    <t>February 02, 2024</t>
  </si>
  <si>
    <t>05/06/2025</t>
  </si>
  <si>
    <t>07/10/25</t>
  </si>
  <si>
    <t>2024-12-13</t>
  </si>
  <si>
    <t>2024-01-04</t>
  </si>
  <si>
    <t>01/01/25</t>
  </si>
  <si>
    <t>2024-07-02</t>
  </si>
  <si>
    <t>August 05, 2025</t>
  </si>
  <si>
    <t>11/05/2025</t>
  </si>
  <si>
    <t>December 01, 2024</t>
  </si>
  <si>
    <t>09-03-2025</t>
  </si>
  <si>
    <t>30-05-2024</t>
  </si>
  <si>
    <t>02/10/2024</t>
  </si>
  <si>
    <t>30-11-2025</t>
  </si>
  <si>
    <t>April 20, 2024</t>
  </si>
  <si>
    <t>2025-01-26</t>
  </si>
  <si>
    <t>06/28/24</t>
  </si>
  <si>
    <t>11 May 2024</t>
  </si>
  <si>
    <t>24-02-2025</t>
  </si>
  <si>
    <t>03/18/2025</t>
  </si>
  <si>
    <t>12/04/25</t>
  </si>
  <si>
    <t>09-04-2024</t>
  </si>
  <si>
    <t>2025-06-16</t>
  </si>
  <si>
    <t>10 Mar 2025</t>
  </si>
  <si>
    <t>August 24, 2024</t>
  </si>
  <si>
    <t>February 02, 2025</t>
  </si>
  <si>
    <t>07/05/25</t>
  </si>
  <si>
    <t>November 24, 2025</t>
  </si>
  <si>
    <t>August 19, 2025</t>
  </si>
  <si>
    <t>16-03-2024</t>
  </si>
  <si>
    <t>16-04-2024</t>
  </si>
  <si>
    <t>08/15/24</t>
  </si>
  <si>
    <t>10 Nov 2025</t>
  </si>
  <si>
    <t>11/11/2025</t>
  </si>
  <si>
    <t>30-11-2024</t>
  </si>
  <si>
    <t>06/06/24</t>
  </si>
  <si>
    <t>06/01/24</t>
  </si>
  <si>
    <t>07/06/2025</t>
  </si>
  <si>
    <t>18-08-2024</t>
  </si>
  <si>
    <t>23-05-2025</t>
  </si>
  <si>
    <t>March 08, 2025</t>
  </si>
  <si>
    <t>2024-05-26</t>
  </si>
  <si>
    <t>11/04/25</t>
  </si>
  <si>
    <t>10/29/25</t>
  </si>
  <si>
    <t>2024-11-08</t>
  </si>
  <si>
    <t>February 12, 2024</t>
  </si>
  <si>
    <t>2025-07-09</t>
  </si>
  <si>
    <t>03/03/25</t>
  </si>
  <si>
    <t>2025-03-01</t>
  </si>
  <si>
    <t>September 05, 2024</t>
  </si>
  <si>
    <t>08/01/2025</t>
  </si>
  <si>
    <t>2025-07-20</t>
  </si>
  <si>
    <t>02/17/25</t>
  </si>
  <si>
    <t>11/27/2024</t>
  </si>
  <si>
    <t>March 16, 2024</t>
  </si>
  <si>
    <t>14 Jun 2024</t>
  </si>
  <si>
    <t>2024-01-28</t>
  </si>
  <si>
    <t>06/19/2025</t>
  </si>
  <si>
    <t>04/29/2024</t>
  </si>
  <si>
    <t>2025-02-02</t>
  </si>
  <si>
    <t>07 Sep 2024</t>
  </si>
  <si>
    <t>06/09/25</t>
  </si>
  <si>
    <t>07 Jun 2024</t>
  </si>
  <si>
    <t>30 May 2024</t>
  </si>
  <si>
    <t>24 Dec 2024</t>
  </si>
  <si>
    <t>2025-01-13</t>
  </si>
  <si>
    <t>12/06/2024</t>
  </si>
  <si>
    <t>14-07-2024</t>
  </si>
  <si>
    <t>08/28/24</t>
  </si>
  <si>
    <t>05/05/2025</t>
  </si>
  <si>
    <t>August 22, 2025</t>
  </si>
  <si>
    <t>03/01/25</t>
  </si>
  <si>
    <t>08/02/2024</t>
  </si>
  <si>
    <t>10-08-2025</t>
  </si>
  <si>
    <t>October 26, 2024</t>
  </si>
  <si>
    <t>08/03/2025</t>
  </si>
  <si>
    <t>October 23, 2024</t>
  </si>
  <si>
    <t>05/21/2024</t>
  </si>
  <si>
    <t>April 04, 2025</t>
  </si>
  <si>
    <t>03/26/25</t>
  </si>
  <si>
    <t>22 Mar 2024</t>
  </si>
  <si>
    <t>2025-05-21</t>
  </si>
  <si>
    <t>08/10/24</t>
  </si>
  <si>
    <t>01/19/2025</t>
  </si>
  <si>
    <t>05-05-2025</t>
  </si>
  <si>
    <t>23 Jan 2024</t>
  </si>
  <si>
    <t>17-10-2024</t>
  </si>
  <si>
    <t>17 Sep 2024</t>
  </si>
  <si>
    <t>December 11, 2024</t>
  </si>
  <si>
    <t>20 Nov 2025</t>
  </si>
  <si>
    <t>30 Nov 2024</t>
  </si>
  <si>
    <t>07/05/24</t>
  </si>
  <si>
    <t>April 24, 2025</t>
  </si>
  <si>
    <t>18-01-2024</t>
  </si>
  <si>
    <t>15 Oct 2025</t>
  </si>
  <si>
    <t>2025-10-15</t>
  </si>
  <si>
    <t>September 08, 2025</t>
  </si>
  <si>
    <t>01/22/25</t>
  </si>
  <si>
    <t>02-04-2025</t>
  </si>
  <si>
    <t>October 07, 2024</t>
  </si>
  <si>
    <t>27 Feb 2025</t>
  </si>
  <si>
    <t>04/27/2024</t>
  </si>
  <si>
    <t>2024-12-18</t>
  </si>
  <si>
    <t>December 13, 2024</t>
  </si>
  <si>
    <t>05/15/24</t>
  </si>
  <si>
    <t>02/16/24</t>
  </si>
  <si>
    <t>September 05, 2025</t>
  </si>
  <si>
    <t>12/11/2025</t>
  </si>
  <si>
    <t>30 Sep 2024</t>
  </si>
  <si>
    <t>27-07-2024</t>
  </si>
  <si>
    <t>18 Feb 2025</t>
  </si>
  <si>
    <t>12/02/25</t>
  </si>
  <si>
    <t>December 07, 2025</t>
  </si>
  <si>
    <t>2025-09-27</t>
  </si>
  <si>
    <t>06-11-2025</t>
  </si>
  <si>
    <t>27 Jan 2025</t>
  </si>
  <si>
    <t>29 Sep 2024</t>
  </si>
  <si>
    <t>12/27/25</t>
  </si>
  <si>
    <t>07/24/24</t>
  </si>
  <si>
    <t>21 Nov 2024</t>
  </si>
  <si>
    <t>May 18, 2025</t>
  </si>
  <si>
    <t>April 02, 2025</t>
  </si>
  <si>
    <t>15-12-2025</t>
  </si>
  <si>
    <t>08/19/24</t>
  </si>
  <si>
    <t>03/25/25</t>
  </si>
  <si>
    <t>06/13/2024</t>
  </si>
  <si>
    <t>09/17/25</t>
  </si>
  <si>
    <t>05/14/2025</t>
  </si>
  <si>
    <t>02/18/2024</t>
  </si>
  <si>
    <t>2025-05-31</t>
  </si>
  <si>
    <t>2024-12-06</t>
  </si>
  <si>
    <t>20 Feb 2024</t>
  </si>
  <si>
    <t>07 Aug 2025</t>
  </si>
  <si>
    <t>07/21/25</t>
  </si>
  <si>
    <t>2024-02-18</t>
  </si>
  <si>
    <t>12/29/25</t>
  </si>
  <si>
    <t>May 20, 2024</t>
  </si>
  <si>
    <t>27 Jan 2024</t>
  </si>
  <si>
    <t>November 26, 2025</t>
  </si>
  <si>
    <t>17 Oct 2024</t>
  </si>
  <si>
    <t>03-08-2025</t>
  </si>
  <si>
    <t>04/08/2024</t>
  </si>
  <si>
    <t>2025-05-27</t>
  </si>
  <si>
    <t>08/19/25</t>
  </si>
  <si>
    <t>April 27, 2024</t>
  </si>
  <si>
    <t>06 Mar 2025</t>
  </si>
  <si>
    <t>21 Jun 2024</t>
  </si>
  <si>
    <t>10/17/2025</t>
  </si>
  <si>
    <t>08/03/24</t>
  </si>
  <si>
    <t>September 17, 2024</t>
  </si>
  <si>
    <t>07/23/24</t>
  </si>
  <si>
    <t>01 Jan 2025</t>
  </si>
  <si>
    <t>14-12-2025</t>
  </si>
  <si>
    <t>2024-04-21</t>
  </si>
  <si>
    <t>31 Jan 2025</t>
  </si>
  <si>
    <t>05/21/24</t>
  </si>
  <si>
    <t>08-07-2025</t>
  </si>
  <si>
    <t>12/03/2024</t>
  </si>
  <si>
    <t>22 Sep 2024</t>
  </si>
  <si>
    <t>14 Jun 2025</t>
  </si>
  <si>
    <t>May 17, 2024</t>
  </si>
  <si>
    <t>01/08/2024</t>
  </si>
  <si>
    <t>04/16/24</t>
  </si>
  <si>
    <t>2025-09-10</t>
  </si>
  <si>
    <t>16-09-2024</t>
  </si>
  <si>
    <t>2025-05-23</t>
  </si>
  <si>
    <t>02/04/2025</t>
  </si>
  <si>
    <t>04-05-2024</t>
  </si>
  <si>
    <t>22-04-2024</t>
  </si>
  <si>
    <t>04/27/2025</t>
  </si>
  <si>
    <t>December 12, 2024</t>
  </si>
  <si>
    <t>11 Aug 2024</t>
  </si>
  <si>
    <t>02/23/24</t>
  </si>
  <si>
    <t>December 22, 2024</t>
  </si>
  <si>
    <t>20-03-2024</t>
  </si>
  <si>
    <t>11/20/2025</t>
  </si>
  <si>
    <t>January 28, 2024</t>
  </si>
  <si>
    <t>07-03-2024</t>
  </si>
  <si>
    <t>03 Jan 2025</t>
  </si>
  <si>
    <t>08/27/2025</t>
  </si>
  <si>
    <t>September 21, 2024</t>
  </si>
  <si>
    <t>23 May 2025</t>
  </si>
  <si>
    <t>2025-06-17</t>
  </si>
  <si>
    <t>06/05/2025</t>
  </si>
  <si>
    <t>26-02-2024</t>
  </si>
  <si>
    <t>18 Dec 2024</t>
  </si>
  <si>
    <t>February 14, 2025</t>
  </si>
  <si>
    <t>04/03/24</t>
  </si>
  <si>
    <t>April 12, 2025</t>
  </si>
  <si>
    <t>07/08/2024</t>
  </si>
  <si>
    <t>2024-06-28</t>
  </si>
  <si>
    <t>12/21/2025</t>
  </si>
  <si>
    <t>2025-02-16</t>
  </si>
  <si>
    <t>2025-08-02</t>
  </si>
  <si>
    <t>November 26, 2024</t>
  </si>
  <si>
    <t>09 Jul 2024</t>
  </si>
  <si>
    <t>April 19, 2025</t>
  </si>
  <si>
    <t>02-01-2025</t>
  </si>
  <si>
    <t>02/24/25</t>
  </si>
  <si>
    <t>May 27, 2025</t>
  </si>
  <si>
    <t>2024-02-07</t>
  </si>
  <si>
    <t>11/18/2024</t>
  </si>
  <si>
    <t>31-01-2025</t>
  </si>
  <si>
    <t>06/26/2025</t>
  </si>
  <si>
    <t>04/07/25</t>
  </si>
  <si>
    <t>17 Jul 2025</t>
  </si>
  <si>
    <t>26 Mar 2025</t>
  </si>
  <si>
    <t>2024-11-05</t>
  </si>
  <si>
    <t>March 30, 2025</t>
  </si>
  <si>
    <t>09/27/2024</t>
  </si>
  <si>
    <t>10/01/2025</t>
  </si>
  <si>
    <t>June 23, 2024</t>
  </si>
  <si>
    <t>10/13/2024</t>
  </si>
  <si>
    <t>03-02-2025</t>
  </si>
  <si>
    <t>12/21/2024</t>
  </si>
  <si>
    <t>10-01-2025</t>
  </si>
  <si>
    <t>March 31, 2024</t>
  </si>
  <si>
    <t>14 Jan 2025</t>
  </si>
  <si>
    <t>April 12, 2024</t>
  </si>
  <si>
    <t>23-10-2024</t>
  </si>
  <si>
    <t>10-09-2024</t>
  </si>
  <si>
    <t>2025-11-25</t>
  </si>
  <si>
    <t>19 Nov 2025</t>
  </si>
  <si>
    <t>17 Dec 2025</t>
  </si>
  <si>
    <t>10/22/24</t>
  </si>
  <si>
    <t>16-01-2025</t>
  </si>
  <si>
    <t>06/09/24</t>
  </si>
  <si>
    <t>08/30/2024</t>
  </si>
  <si>
    <t>January 09, 2025</t>
  </si>
  <si>
    <t>March 22, 2025</t>
  </si>
  <si>
    <t>2025-03-22</t>
  </si>
  <si>
    <t>02/13/2024</t>
  </si>
  <si>
    <t>26-07-2024</t>
  </si>
  <si>
    <t>11/24/25</t>
  </si>
  <si>
    <t>2024-08-14</t>
  </si>
  <si>
    <t>2025-01-10</t>
  </si>
  <si>
    <t>2024-02-01</t>
  </si>
  <si>
    <t>2025-11-13</t>
  </si>
  <si>
    <t>04 Jul 2025</t>
  </si>
  <si>
    <t>08-03-2024</t>
  </si>
  <si>
    <t>04/28/2025</t>
  </si>
  <si>
    <t>08 Sep 2025</t>
  </si>
  <si>
    <t>2024-05-06</t>
  </si>
  <si>
    <t>September 21, 2025</t>
  </si>
  <si>
    <t>2025-08-23</t>
  </si>
  <si>
    <t>21-02-2024</t>
  </si>
  <si>
    <t>May 17, 2025</t>
  </si>
  <si>
    <t>2024-04-15</t>
  </si>
  <si>
    <t>May 26, 2025</t>
  </si>
  <si>
    <t>March 06, 2025</t>
  </si>
  <si>
    <t>2025-09-29</t>
  </si>
  <si>
    <t>04 Aug 2025</t>
  </si>
  <si>
    <t>2025-09-26</t>
  </si>
  <si>
    <t>13 Mar 2025</t>
  </si>
  <si>
    <t>2025-09-13</t>
  </si>
  <si>
    <t>2025-02-04</t>
  </si>
  <si>
    <t>08/11/2024</t>
  </si>
  <si>
    <t>03-04-2024</t>
  </si>
  <si>
    <t>08/11/2025</t>
  </si>
  <si>
    <t>2025-01-09</t>
  </si>
  <si>
    <t>01-05-2025</t>
  </si>
  <si>
    <t>2025-07-28</t>
  </si>
  <si>
    <t>August 08, 2025</t>
  </si>
  <si>
    <t>18-03-2025</t>
  </si>
  <si>
    <t>04/11/24</t>
  </si>
  <si>
    <t>30 Oct 2025</t>
  </si>
  <si>
    <t>11/06/2024</t>
  </si>
  <si>
    <t>19 Dec 2025</t>
  </si>
  <si>
    <t>07/12/2025</t>
  </si>
  <si>
    <t>04/29/24</t>
  </si>
  <si>
    <t>October 16, 2025</t>
  </si>
  <si>
    <t>11-04-2025</t>
  </si>
  <si>
    <t>2024-11-07</t>
  </si>
  <si>
    <t>11/01/24</t>
  </si>
  <si>
    <t>May 23, 2025</t>
  </si>
  <si>
    <t>August 25, 2025</t>
  </si>
  <si>
    <t>16-12-2024</t>
  </si>
  <si>
    <t>24-10-2025</t>
  </si>
  <si>
    <t>11/17/2024</t>
  </si>
  <si>
    <t>September 10, 2025</t>
  </si>
  <si>
    <t>February 16, 2024</t>
  </si>
  <si>
    <t>2024-02-14</t>
  </si>
  <si>
    <t>2024-08-26</t>
  </si>
  <si>
    <t>15 Jan 2024</t>
  </si>
  <si>
    <t>14-01-2025</t>
  </si>
  <si>
    <t>February 29, 2024</t>
  </si>
  <si>
    <t>24 Mar 2024</t>
  </si>
  <si>
    <t>09 Oct 2025</t>
  </si>
  <si>
    <t>15-04-2025</t>
  </si>
  <si>
    <t>25 Dec 2025</t>
  </si>
  <si>
    <t>04/19/25</t>
  </si>
  <si>
    <t>10-10-2025</t>
  </si>
  <si>
    <t>22 May 2025</t>
  </si>
  <si>
    <t>24-03-2025</t>
  </si>
  <si>
    <t>2024-06-01</t>
  </si>
  <si>
    <t>06/17/2025</t>
  </si>
  <si>
    <t>17 Aug 2025</t>
  </si>
  <si>
    <t>28-03-2024</t>
  </si>
  <si>
    <t>05/19/25</t>
  </si>
  <si>
    <t>December 14, 2025</t>
  </si>
  <si>
    <t>27-08-2024</t>
  </si>
  <si>
    <t>05/14/2024</t>
  </si>
  <si>
    <t>04/26/24</t>
  </si>
  <si>
    <t>05/09/2025</t>
  </si>
  <si>
    <t>April 07, 2024</t>
  </si>
  <si>
    <t>18 Apr 2025</t>
  </si>
  <si>
    <t>November 14, 2025</t>
  </si>
  <si>
    <t>05-11-2024</t>
  </si>
  <si>
    <t>24 Jan 2024</t>
  </si>
  <si>
    <t>April 18, 2024</t>
  </si>
  <si>
    <t>July 19, 2024</t>
  </si>
  <si>
    <t>26-05-2025</t>
  </si>
  <si>
    <t>09/06/24</t>
  </si>
  <si>
    <t>11 Mar 2025</t>
  </si>
  <si>
    <t>09/08/2025</t>
  </si>
  <si>
    <t>10/05/2025</t>
  </si>
  <si>
    <t>2025-10-24</t>
  </si>
  <si>
    <t>06/03/25</t>
  </si>
  <si>
    <t>December 18, 2025</t>
  </si>
  <si>
    <t>08/25/2024</t>
  </si>
  <si>
    <t>05/30/2025</t>
  </si>
  <si>
    <t>16 Jun 2025</t>
  </si>
  <si>
    <t>May 18, 2024</t>
  </si>
  <si>
    <t>May 07, 2025</t>
  </si>
  <si>
    <t>August 28, 2025</t>
  </si>
  <si>
    <t>2025-03-23</t>
  </si>
  <si>
    <t>01/21/2025</t>
  </si>
  <si>
    <t>20-05-2025</t>
  </si>
  <si>
    <t>04 Jun 2024</t>
  </si>
  <si>
    <t>September 09, 2024</t>
  </si>
  <si>
    <t>September 13, 2024</t>
  </si>
  <si>
    <t>February 03, 2024</t>
  </si>
  <si>
    <t>2025-03-16</t>
  </si>
  <si>
    <t>29-03-2024</t>
  </si>
  <si>
    <t>2025-02-05</t>
  </si>
  <si>
    <t>07-01-2025</t>
  </si>
  <si>
    <t>June 25, 2024</t>
  </si>
  <si>
    <t>10/12/2025</t>
  </si>
  <si>
    <t>01-03-2024</t>
  </si>
  <si>
    <t>March 15, 2025</t>
  </si>
  <si>
    <t>11-05-2024</t>
  </si>
  <si>
    <t>2024-05-30</t>
  </si>
  <si>
    <t>01-01-2024</t>
  </si>
  <si>
    <t>March 04, 2025</t>
  </si>
  <si>
    <t>02/04/25</t>
  </si>
  <si>
    <t>2024-12-08</t>
  </si>
  <si>
    <t>08/17/24</t>
  </si>
  <si>
    <t>09 Dec 2025</t>
  </si>
  <si>
    <t>06/15/2024</t>
  </si>
  <si>
    <t>July 24, 2024</t>
  </si>
  <si>
    <t>2025-08-04</t>
  </si>
  <si>
    <t>July 17, 2025</t>
  </si>
  <si>
    <t>August 04, 2024</t>
  </si>
  <si>
    <t>15 May 2024</t>
  </si>
  <si>
    <t>2025-03-30</t>
  </si>
  <si>
    <t>23-10-2025</t>
  </si>
  <si>
    <t>29 Jun 2024</t>
  </si>
  <si>
    <t>August 29, 2025</t>
  </si>
  <si>
    <t>18 Feb 2024</t>
  </si>
  <si>
    <t>09-04-2025</t>
  </si>
  <si>
    <t>May 06, 2024</t>
  </si>
  <si>
    <t>2024-01-10</t>
  </si>
  <si>
    <t>07/18/2024</t>
  </si>
  <si>
    <t>13 Jun 2025</t>
  </si>
  <si>
    <t>2025-01-03</t>
  </si>
  <si>
    <t>05/10/2024</t>
  </si>
  <si>
    <t>2025-03-28</t>
  </si>
  <si>
    <t>09/11/2025</t>
  </si>
  <si>
    <t>16 Oct 2025</t>
  </si>
  <si>
    <t>06-07-2024</t>
  </si>
  <si>
    <t>30-07-2025</t>
  </si>
  <si>
    <t>01/16/2024</t>
  </si>
  <si>
    <t>12/21/25</t>
  </si>
  <si>
    <t>04/20/2025</t>
  </si>
  <si>
    <t>2024-07-03</t>
  </si>
  <si>
    <t>03/08/25</t>
  </si>
  <si>
    <t>17-01-2024</t>
  </si>
  <si>
    <t>08/08/2024</t>
  </si>
  <si>
    <t>10/23/2024</t>
  </si>
  <si>
    <t>12/23/25</t>
  </si>
  <si>
    <t>12/12/25</t>
  </si>
  <si>
    <t>2025-03-31</t>
  </si>
  <si>
    <t>2024-01-05</t>
  </si>
  <si>
    <t>2024-10-22</t>
  </si>
  <si>
    <t>19-04-2024</t>
  </si>
  <si>
    <t>February 23, 2024</t>
  </si>
  <si>
    <t>16 Oct 2024</t>
  </si>
  <si>
    <t>02 Mar 2025</t>
  </si>
  <si>
    <t>28-01-2024</t>
  </si>
  <si>
    <t>December 19, 2024</t>
  </si>
  <si>
    <t>August 09, 2025</t>
  </si>
  <si>
    <t>19 Feb 2025</t>
  </si>
  <si>
    <t>04-04-2024</t>
  </si>
  <si>
    <t>2025-07-11</t>
  </si>
  <si>
    <t>03 Nov 2025</t>
  </si>
  <si>
    <t>July 11, 2024</t>
  </si>
  <si>
    <t>12/30/2025</t>
  </si>
  <si>
    <t>2024-11-27</t>
  </si>
  <si>
    <t>04 Jan 2025</t>
  </si>
  <si>
    <t>21-11-2025</t>
  </si>
  <si>
    <t>08/21/24</t>
  </si>
  <si>
    <t>August 20, 2025</t>
  </si>
  <si>
    <t>2025-06-28</t>
  </si>
  <si>
    <t>May 28, 2025</t>
  </si>
  <si>
    <t>11-01-2024</t>
  </si>
  <si>
    <t>03 Mar 2025</t>
  </si>
  <si>
    <t>05/06/24</t>
  </si>
  <si>
    <t>05-04-2025</t>
  </si>
  <si>
    <t>09-07-2025</t>
  </si>
  <si>
    <t>10/25/25</t>
  </si>
  <si>
    <t>06/09/2025</t>
  </si>
  <si>
    <t>06/10/25</t>
  </si>
  <si>
    <t>May 11, 2024</t>
  </si>
  <si>
    <t>15-10-2025</t>
  </si>
  <si>
    <t>11 Sep 2024</t>
  </si>
  <si>
    <t>27-10-2024</t>
  </si>
  <si>
    <t>2024-07-01</t>
  </si>
  <si>
    <t>July 16, 2024</t>
  </si>
  <si>
    <t>16-11-2024</t>
  </si>
  <si>
    <t>03/05/25</t>
  </si>
  <si>
    <t>2025-10-10</t>
  </si>
  <si>
    <t>31-08-2025</t>
  </si>
  <si>
    <t>2025-01-23</t>
  </si>
  <si>
    <t>July 04, 2024</t>
  </si>
  <si>
    <t>05/28/24</t>
  </si>
  <si>
    <t>12/11/25</t>
  </si>
  <si>
    <t>12/18/2024</t>
  </si>
  <si>
    <t>08/14/24</t>
  </si>
  <si>
    <t>February 04, 2025</t>
  </si>
  <si>
    <t>07-03-2025</t>
  </si>
  <si>
    <t>04/20/25</t>
  </si>
  <si>
    <t>30 Oct 2024</t>
  </si>
  <si>
    <t>15 Jun 2025</t>
  </si>
  <si>
    <t>25 Dec 2024</t>
  </si>
  <si>
    <t>06-12-2025</t>
  </si>
  <si>
    <t>May 26, 2024</t>
  </si>
  <si>
    <t>06 Jul 2025</t>
  </si>
  <si>
    <t>03/25/2024</t>
  </si>
  <si>
    <t>2024-07-26</t>
  </si>
  <si>
    <t>2025-01-12</t>
  </si>
  <si>
    <t>03/15/2025</t>
  </si>
  <si>
    <t>April 30, 2025</t>
  </si>
  <si>
    <t>09/15/2025</t>
  </si>
  <si>
    <t>11/01/25</t>
  </si>
  <si>
    <t>June 29, 2025</t>
  </si>
  <si>
    <t>02/24/2024</t>
  </si>
  <si>
    <t>01/27/24</t>
  </si>
  <si>
    <t>2024-10-03</t>
  </si>
  <si>
    <t>16 Jan 2025</t>
  </si>
  <si>
    <t>07 May 2024</t>
  </si>
  <si>
    <t>05 Jul 2024</t>
  </si>
  <si>
    <t>08 Dec 2024</t>
  </si>
  <si>
    <t>08 Jul 2024</t>
  </si>
  <si>
    <t>March 26, 2024</t>
  </si>
  <si>
    <t>10/21/24</t>
  </si>
  <si>
    <t>2024-12-19</t>
  </si>
  <si>
    <t>June 19, 2024</t>
  </si>
  <si>
    <t>01-02-2025</t>
  </si>
  <si>
    <t>December 17, 2025</t>
  </si>
  <si>
    <t>13 Feb 2024</t>
  </si>
  <si>
    <t>27 Jun 2024</t>
  </si>
  <si>
    <t>16 Nov 2025</t>
  </si>
  <si>
    <t>01/29/2024</t>
  </si>
  <si>
    <t>28-02-2024</t>
  </si>
  <si>
    <t>02-06-2024</t>
  </si>
  <si>
    <t>11-11-2025</t>
  </si>
  <si>
    <t>04/29/2025</t>
  </si>
  <si>
    <t>12/13/2024</t>
  </si>
  <si>
    <t>03/18/24</t>
  </si>
  <si>
    <t>January 22, 2025</t>
  </si>
  <si>
    <t>29-04-2024</t>
  </si>
  <si>
    <t>17 Nov 2024</t>
  </si>
  <si>
    <t>November 01, 2025</t>
  </si>
  <si>
    <t>03/07/25</t>
  </si>
  <si>
    <t>June 25, 2025</t>
  </si>
  <si>
    <t>24 Aug 2024</t>
  </si>
  <si>
    <t>07/08/2025</t>
  </si>
  <si>
    <t>03 Jul 2024</t>
  </si>
  <si>
    <t>12/11/2024</t>
  </si>
  <si>
    <t>2024-03-23</t>
  </si>
  <si>
    <t>October 22, 2024</t>
  </si>
  <si>
    <t>08/17/25</t>
  </si>
  <si>
    <t>2024-09-02</t>
  </si>
  <si>
    <t>2025-02-14</t>
  </si>
  <si>
    <t>February 10, 2025</t>
  </si>
  <si>
    <t>15 Apr 2024</t>
  </si>
  <si>
    <t>11/12/2025</t>
  </si>
  <si>
    <t>March 19, 2024</t>
  </si>
  <si>
    <t>07/27/2024</t>
  </si>
  <si>
    <t>2024-10-08</t>
  </si>
  <si>
    <t>10/27/2024</t>
  </si>
  <si>
    <t>04/25/2025</t>
  </si>
  <si>
    <t>08/31/25</t>
  </si>
  <si>
    <t>12/06/24</t>
  </si>
  <si>
    <t>02/18/24</t>
  </si>
  <si>
    <t>2024-05-11</t>
  </si>
  <si>
    <t>08-06-2025</t>
  </si>
  <si>
    <t>01/07/25</t>
  </si>
  <si>
    <t>07 Jan 2025</t>
  </si>
  <si>
    <t>03/31/25</t>
  </si>
  <si>
    <t>02/21/25</t>
  </si>
  <si>
    <t>27 Mar 2024</t>
  </si>
  <si>
    <t>07/23/25</t>
  </si>
  <si>
    <t>04/29/25</t>
  </si>
  <si>
    <t>06/27/24</t>
  </si>
  <si>
    <t>2025-11-09</t>
  </si>
  <si>
    <t>08/05/25</t>
  </si>
  <si>
    <t>29-09-2025</t>
  </si>
  <si>
    <t>07/01/2024</t>
  </si>
  <si>
    <t>30-12-2025</t>
  </si>
  <si>
    <t>20-08-2025</t>
  </si>
  <si>
    <t>2024-08-10</t>
  </si>
  <si>
    <t>18-04-2024</t>
  </si>
  <si>
    <t>December 02, 2024</t>
  </si>
  <si>
    <t>02/02/2025</t>
  </si>
  <si>
    <t>12/14/24</t>
  </si>
  <si>
    <t>June 09, 2024</t>
  </si>
  <si>
    <t>08/15/25</t>
  </si>
  <si>
    <t>25-10-2025</t>
  </si>
  <si>
    <t>16-01-2024</t>
  </si>
  <si>
    <t>2025-11-22</t>
  </si>
  <si>
    <t>October 14, 2025</t>
  </si>
  <si>
    <t>04/15/24</t>
  </si>
  <si>
    <t>07/08/24</t>
  </si>
  <si>
    <t>07/15/2025</t>
  </si>
  <si>
    <t>January 29, 2025</t>
  </si>
  <si>
    <t>12-10-2024</t>
  </si>
  <si>
    <t>21 Aug 2025</t>
  </si>
  <si>
    <t>25-06-2024</t>
  </si>
  <si>
    <t>2024-05-17</t>
  </si>
  <si>
    <t>04-12-2024</t>
  </si>
  <si>
    <t>11/18/25</t>
  </si>
  <si>
    <t>18-02-2025</t>
  </si>
  <si>
    <t>2025-10-22</t>
  </si>
  <si>
    <t>2024-10-11</t>
  </si>
  <si>
    <t>14 May 2025</t>
  </si>
  <si>
    <t>05/05/2024</t>
  </si>
  <si>
    <t>07/05/2024</t>
  </si>
  <si>
    <t>10 Dec 2025</t>
  </si>
  <si>
    <t>14 Jul 2025</t>
  </si>
  <si>
    <t>03/02/25</t>
  </si>
  <si>
    <t>30 Mar 2024</t>
  </si>
  <si>
    <t>February 10, 2024</t>
  </si>
  <si>
    <t>03/26/2024</t>
  </si>
  <si>
    <t>2025-07-27</t>
  </si>
  <si>
    <t>17-05-2024</t>
  </si>
  <si>
    <t>09-05-2025</t>
  </si>
  <si>
    <t>October 19, 2025</t>
  </si>
  <si>
    <t>01/17/2024</t>
  </si>
  <si>
    <t>March 05, 2025</t>
  </si>
  <si>
    <t>17 Sep 2025</t>
  </si>
  <si>
    <t>03-01-2025</t>
  </si>
  <si>
    <t>20 Jan 2025</t>
  </si>
  <si>
    <t>12/26/2024</t>
  </si>
  <si>
    <t>2024-03-30</t>
  </si>
  <si>
    <t>2024-02-05</t>
  </si>
  <si>
    <t>28 Jul 2024</t>
  </si>
  <si>
    <t>07-02-2025</t>
  </si>
  <si>
    <t>2024-04-09</t>
  </si>
  <si>
    <t>2024-08-11</t>
  </si>
  <si>
    <t>07-05-2025</t>
  </si>
  <si>
    <t>15 Mar 2024</t>
  </si>
  <si>
    <t>2025-12-15</t>
  </si>
  <si>
    <t>2024-03-19</t>
  </si>
  <si>
    <t>04/22/24</t>
  </si>
  <si>
    <t>09/16/2025</t>
  </si>
  <si>
    <t>09/11/25</t>
  </si>
  <si>
    <t>17 May 2025</t>
  </si>
  <si>
    <t>10/19/25</t>
  </si>
  <si>
    <t>13-05-2025</t>
  </si>
  <si>
    <t>10/06/25</t>
  </si>
  <si>
    <t>20 Feb 2025</t>
  </si>
  <si>
    <t>2024-06-09</t>
  </si>
  <si>
    <t>09/16/24</t>
  </si>
  <si>
    <t>20 Aug 2025</t>
  </si>
  <si>
    <t>25 May 2024</t>
  </si>
  <si>
    <t>March 15, 2024</t>
  </si>
  <si>
    <t>02/03/25</t>
  </si>
  <si>
    <t>06/07/2025</t>
  </si>
  <si>
    <t>15-03-2024</t>
  </si>
  <si>
    <t>23 Aug 2024</t>
  </si>
  <si>
    <t>21 Jun 2025</t>
  </si>
  <si>
    <t>05/27/24</t>
  </si>
  <si>
    <t>04/30/24</t>
  </si>
  <si>
    <t>04-03-2024</t>
  </si>
  <si>
    <t>28 Apr 2025</t>
  </si>
  <si>
    <t>2025-03-13</t>
  </si>
  <si>
    <t>January 02, 2025</t>
  </si>
  <si>
    <t>07/25/25</t>
  </si>
  <si>
    <t>July 12, 2024</t>
  </si>
  <si>
    <t>14-03-2024</t>
  </si>
  <si>
    <t>05/03/24</t>
  </si>
  <si>
    <t>12 Jan 2024</t>
  </si>
  <si>
    <t>2025-08-15</t>
  </si>
  <si>
    <t>August 14, 2025</t>
  </si>
  <si>
    <t>28 Oct 2024</t>
  </si>
  <si>
    <t>August 21, 2025</t>
  </si>
  <si>
    <t>15-10-2024</t>
  </si>
  <si>
    <t>26 Jan 2024</t>
  </si>
  <si>
    <t>31-05-2024</t>
  </si>
  <si>
    <t>June 15, 2024</t>
  </si>
  <si>
    <t>2024-07-31</t>
  </si>
  <si>
    <t>10/28/25</t>
  </si>
  <si>
    <t>February 08, 2024</t>
  </si>
  <si>
    <t>29 Apr 2024</t>
  </si>
  <si>
    <t>13 May 2024</t>
  </si>
  <si>
    <t>28-07-2025</t>
  </si>
  <si>
    <t>10/31/25</t>
  </si>
  <si>
    <t>04/01/2025</t>
  </si>
  <si>
    <t>15 Oct 2024</t>
  </si>
  <si>
    <t>2025-08-09</t>
  </si>
  <si>
    <t>2025-12-05</t>
  </si>
  <si>
    <t>2025-04-20</t>
  </si>
  <si>
    <t>06-09-2025</t>
  </si>
  <si>
    <t>November 15, 2025</t>
  </si>
  <si>
    <t>12/08/2025</t>
  </si>
  <si>
    <t>11/07/24</t>
  </si>
  <si>
    <t>02/03/24</t>
  </si>
  <si>
    <t>01/28/2024</t>
  </si>
  <si>
    <t>2025-01-17</t>
  </si>
  <si>
    <t>2024-03-03</t>
  </si>
  <si>
    <t>2024-01-30</t>
  </si>
  <si>
    <t>December 29, 2025</t>
  </si>
  <si>
    <t>January 12, 2025</t>
  </si>
  <si>
    <t>2024-03-06</t>
  </si>
  <si>
    <t>2025-06-12</t>
  </si>
  <si>
    <t>07/15/2024</t>
  </si>
  <si>
    <t>2024-10-13</t>
  </si>
  <si>
    <t>2025-08-08</t>
  </si>
  <si>
    <t>March 14, 2024</t>
  </si>
  <si>
    <t>05/24/2025</t>
  </si>
  <si>
    <t>December 26, 2024</t>
  </si>
  <si>
    <t>June 19, 2025</t>
  </si>
  <si>
    <t>09/08/2024</t>
  </si>
  <si>
    <t>21 Dec 2025</t>
  </si>
  <si>
    <t>December 03, 2025</t>
  </si>
  <si>
    <t>28 May 2024</t>
  </si>
  <si>
    <t>04/26/2025</t>
  </si>
  <si>
    <t>11/13/24</t>
  </si>
  <si>
    <t>2024-06-06</t>
  </si>
  <si>
    <t>11/22/24</t>
  </si>
  <si>
    <t>18-05-2025</t>
  </si>
  <si>
    <t>24-01-2024</t>
  </si>
  <si>
    <t>22-09-2024</t>
  </si>
  <si>
    <t>2024-09-07</t>
  </si>
  <si>
    <t>13-05-2024</t>
  </si>
  <si>
    <t>October 17, 2024</t>
  </si>
  <si>
    <t>2024-03-24</t>
  </si>
  <si>
    <t>07/18/25</t>
  </si>
  <si>
    <t>27 Apr 2024</t>
  </si>
  <si>
    <t>03/24/25</t>
  </si>
  <si>
    <t>12/13/2025</t>
  </si>
  <si>
    <t>04/07/24</t>
  </si>
  <si>
    <t>08/31/2024</t>
  </si>
  <si>
    <t>01 Nov 2025</t>
  </si>
  <si>
    <t>19 Jan 2024</t>
  </si>
  <si>
    <t>2024-01-23</t>
  </si>
  <si>
    <t>12-05-2025</t>
  </si>
  <si>
    <t>21 Feb 2024</t>
  </si>
  <si>
    <t>2024-05-09</t>
  </si>
  <si>
    <t>27-05-2025</t>
  </si>
  <si>
    <t>03/16/2025</t>
  </si>
  <si>
    <t>29 Aug 2024</t>
  </si>
  <si>
    <t>21 Oct 2024</t>
  </si>
  <si>
    <t>06/06/25</t>
  </si>
  <si>
    <t>October 09, 2024</t>
  </si>
  <si>
    <t>2024-12-07</t>
  </si>
  <si>
    <t>02/13/25</t>
  </si>
  <si>
    <t>08/08/24</t>
  </si>
  <si>
    <t>2024-05-20</t>
  </si>
  <si>
    <t>02/16/2024</t>
  </si>
  <si>
    <t>2024-04-19</t>
  </si>
  <si>
    <t>03/23/25</t>
  </si>
  <si>
    <t>12/18/25</t>
  </si>
  <si>
    <t>10-04-2025</t>
  </si>
  <si>
    <t>01/24/2024</t>
  </si>
  <si>
    <t>02/15/2024</t>
  </si>
  <si>
    <t>July 21, 2024</t>
  </si>
  <si>
    <t>March 17, 2024</t>
  </si>
  <si>
    <t>July 20, 2025</t>
  </si>
  <si>
    <t>08/23/25</t>
  </si>
  <si>
    <t>25 Jan 2024</t>
  </si>
  <si>
    <t>November 25, 2025</t>
  </si>
  <si>
    <t>16-02-2024</t>
  </si>
  <si>
    <t>16-05-2025</t>
  </si>
  <si>
    <t>2025-05-22</t>
  </si>
  <si>
    <t>08/20/24</t>
  </si>
  <si>
    <t>06 Dec 2024</t>
  </si>
  <si>
    <t>2024-03-28</t>
  </si>
  <si>
    <t>09/03/2024</t>
  </si>
  <si>
    <t>15-09-2025</t>
  </si>
  <si>
    <t>2024-03-16</t>
  </si>
  <si>
    <t>05-01-2025</t>
  </si>
  <si>
    <t>28 Jul 2025</t>
  </si>
  <si>
    <t>June 01, 2024</t>
  </si>
  <si>
    <t>10/11/2025</t>
  </si>
  <si>
    <t>21-01-2025</t>
  </si>
  <si>
    <t>05 Jan 2025</t>
  </si>
  <si>
    <t>2024-08-16</t>
  </si>
  <si>
    <t>04-11-2024</t>
  </si>
  <si>
    <t>11/23/24</t>
  </si>
  <si>
    <t>23-12-2024</t>
  </si>
  <si>
    <t>August 17, 2024</t>
  </si>
  <si>
    <t>11 Jul 2024</t>
  </si>
  <si>
    <t>03/04/2025</t>
  </si>
  <si>
    <t>02/15/24</t>
  </si>
  <si>
    <t>17-07-2025</t>
  </si>
  <si>
    <t>01/14/2024</t>
  </si>
  <si>
    <t>December 04, 2024</t>
  </si>
  <si>
    <t>15 Dec 2024</t>
  </si>
  <si>
    <t>2025-05-01</t>
  </si>
  <si>
    <t>08/02/24</t>
  </si>
  <si>
    <t>November 05, 2025</t>
  </si>
  <si>
    <t>04 Oct 2024</t>
  </si>
  <si>
    <t>03 Sep 2024</t>
  </si>
  <si>
    <t>05-08-2024</t>
  </si>
  <si>
    <t>01/24/24</t>
  </si>
  <si>
    <t>2024-12-12</t>
  </si>
  <si>
    <t>05/30/2024</t>
  </si>
  <si>
    <t>May 01, 2025</t>
  </si>
  <si>
    <t>06/18/25</t>
  </si>
  <si>
    <t>17-09-2025</t>
  </si>
  <si>
    <t>09-01-2024</t>
  </si>
  <si>
    <t>23 Aug 2025</t>
  </si>
  <si>
    <t>04/16/2025</t>
  </si>
  <si>
    <t>10/26/2025</t>
  </si>
  <si>
    <t>2024-09-23</t>
  </si>
  <si>
    <t>02/03/2025</t>
  </si>
  <si>
    <t>07/19/2025</t>
  </si>
  <si>
    <t>05 Jul 2025</t>
  </si>
  <si>
    <t>08-10-2025</t>
  </si>
  <si>
    <t>February 13, 2024</t>
  </si>
  <si>
    <t>10/08/25</t>
  </si>
  <si>
    <t>April 10, 2025</t>
  </si>
  <si>
    <t>19 Sep 2025</t>
  </si>
  <si>
    <t>02/01/2025</t>
  </si>
  <si>
    <t>01/08/2025</t>
  </si>
  <si>
    <t>06/22/2025</t>
  </si>
  <si>
    <t>22 Dec 2024</t>
  </si>
  <si>
    <t>24 May 2024</t>
  </si>
  <si>
    <t>05/28/2024</t>
  </si>
  <si>
    <t>04-07-2025</t>
  </si>
  <si>
    <t>04/19/2025</t>
  </si>
  <si>
    <t>10/09/2024</t>
  </si>
  <si>
    <t>09/23/24</t>
  </si>
  <si>
    <t>21 May 2024</t>
  </si>
  <si>
    <t>2025-08-03</t>
  </si>
  <si>
    <t>2024-08-31</t>
  </si>
  <si>
    <t>10/24/2024</t>
  </si>
  <si>
    <t>28 Aug 2025</t>
  </si>
  <si>
    <t>07/07/24</t>
  </si>
  <si>
    <t>03/24/2024</t>
  </si>
  <si>
    <t>July 01, 2025</t>
  </si>
  <si>
    <t>05/25/2024</t>
  </si>
  <si>
    <t>20 Dec 2025</t>
  </si>
  <si>
    <t>October 02, 2024</t>
  </si>
  <si>
    <t>09/20/2025</t>
  </si>
  <si>
    <t>23 Sep 2025</t>
  </si>
  <si>
    <t>10/20/25</t>
  </si>
  <si>
    <t>07/01/2025</t>
  </si>
  <si>
    <t>04/26/25</t>
  </si>
  <si>
    <t>2024-03-27</t>
  </si>
  <si>
    <t>2024-07-09</t>
  </si>
  <si>
    <t>2024-06-25</t>
  </si>
  <si>
    <t>August 02, 2024</t>
  </si>
  <si>
    <t>February 24, 2024</t>
  </si>
  <si>
    <t>2024-11-02</t>
  </si>
  <si>
    <t>08/14/2025</t>
  </si>
  <si>
    <t>10-12-2024</t>
  </si>
  <si>
    <t>July 28, 2025</t>
  </si>
  <si>
    <t>August 31, 2024</t>
  </si>
  <si>
    <t>10-03-2024</t>
  </si>
  <si>
    <t>April 28, 2025</t>
  </si>
  <si>
    <t>2024-12-14</t>
  </si>
  <si>
    <t>08/26/2025</t>
  </si>
  <si>
    <t>01 Feb 2024</t>
  </si>
  <si>
    <t>12/23/2024</t>
  </si>
  <si>
    <t>12/09/2024</t>
  </si>
  <si>
    <t>07-11-2024</t>
  </si>
  <si>
    <t>23 Feb 2024</t>
  </si>
  <si>
    <t>11/27/2025</t>
  </si>
  <si>
    <t>17 Mar 2024</t>
  </si>
  <si>
    <t>08/01/24</t>
  </si>
  <si>
    <t>22 Aug 2025</t>
  </si>
  <si>
    <t>June 02, 2024</t>
  </si>
  <si>
    <t>07/22/25</t>
  </si>
  <si>
    <t>June 16, 2025</t>
  </si>
  <si>
    <t>07 Sep 2025</t>
  </si>
  <si>
    <t>02/09/2025</t>
  </si>
  <si>
    <t>04/21/2024</t>
  </si>
  <si>
    <t>11-07-2024</t>
  </si>
  <si>
    <t>16 Apr 2024</t>
  </si>
  <si>
    <t>02/23/2024</t>
  </si>
  <si>
    <t>04 Feb 2024</t>
  </si>
  <si>
    <t>11/21/2025</t>
  </si>
  <si>
    <t>07 Jun 2025</t>
  </si>
  <si>
    <t>2025-06-23</t>
  </si>
  <si>
    <t>06/14/24</t>
  </si>
  <si>
    <t>04/05/2024</t>
  </si>
  <si>
    <t>04/02/24</t>
  </si>
  <si>
    <t>03-12-2024</t>
  </si>
  <si>
    <t>16 Jul 2025</t>
  </si>
  <si>
    <t>03/18/2024</t>
  </si>
  <si>
    <t>10/04/25</t>
  </si>
  <si>
    <t>03/02/2024</t>
  </si>
  <si>
    <t>12/20/2024</t>
  </si>
  <si>
    <t>June 04, 2024</t>
  </si>
  <si>
    <t>05/18/24</t>
  </si>
  <si>
    <t>06/30/2025</t>
  </si>
  <si>
    <t>10/10/25</t>
  </si>
  <si>
    <t>05/08/2025</t>
  </si>
  <si>
    <t>09-02-2024</t>
  </si>
  <si>
    <t>19 Dec 2024</t>
  </si>
  <si>
    <t>11/28/25</t>
  </si>
  <si>
    <t>07/06/24</t>
  </si>
  <si>
    <t>08/07/2025</t>
  </si>
  <si>
    <t>2025-06-24</t>
  </si>
  <si>
    <t>08/05/2025</t>
  </si>
  <si>
    <t>08/23/2025</t>
  </si>
  <si>
    <t>03-05-2024</t>
  </si>
  <si>
    <t>29-07-2024</t>
  </si>
  <si>
    <t>2024-03-31</t>
  </si>
  <si>
    <t>22-07-2025</t>
  </si>
  <si>
    <t>2025-03-25</t>
  </si>
  <si>
    <t>05/28/2025</t>
  </si>
  <si>
    <t>19-09-2025</t>
  </si>
  <si>
    <t>05/10/2025</t>
  </si>
  <si>
    <t>22-01-2024</t>
  </si>
  <si>
    <t>05-04-2024</t>
  </si>
  <si>
    <t>11/29/24</t>
  </si>
  <si>
    <t>23-09-2025</t>
  </si>
  <si>
    <t>2025-05-05</t>
  </si>
  <si>
    <t>November 23, 2025</t>
  </si>
  <si>
    <t>18 Oct 2024</t>
  </si>
  <si>
    <t>27 Jun 2025</t>
  </si>
  <si>
    <t>2024-01-25</t>
  </si>
  <si>
    <t>08/28/2024</t>
  </si>
  <si>
    <t>06/17/25</t>
  </si>
  <si>
    <t>28 Mar 2025</t>
  </si>
  <si>
    <t>June 18, 2025</t>
  </si>
  <si>
    <t>December 01, 2025</t>
  </si>
  <si>
    <t>09 Aug 2024</t>
  </si>
  <si>
    <t>June 12, 2024</t>
  </si>
  <si>
    <t>2025-09-08</t>
  </si>
  <si>
    <t>August 29, 2024</t>
  </si>
  <si>
    <t>August 08, 2024</t>
  </si>
  <si>
    <t>2025-06-09</t>
  </si>
  <si>
    <t>2025-04-13</t>
  </si>
  <si>
    <t>27-12-2025</t>
  </si>
  <si>
    <t>14 Jan 2024</t>
  </si>
  <si>
    <t>June 07, 2024</t>
  </si>
  <si>
    <t>12 Sep 2024</t>
  </si>
  <si>
    <t>2025-11-01</t>
  </si>
  <si>
    <t>15 Jan 2025</t>
  </si>
  <si>
    <t>30 Jun 2024</t>
  </si>
  <si>
    <t>21 Sep 2024</t>
  </si>
  <si>
    <t>2024-11-18</t>
  </si>
  <si>
    <t>28 Apr 2024</t>
  </si>
  <si>
    <t>September 08, 2024</t>
  </si>
  <si>
    <t>2024-01-29</t>
  </si>
  <si>
    <t>2024-01-13</t>
  </si>
  <si>
    <t>August 21, 2024</t>
  </si>
  <si>
    <t>October 16, 2024</t>
  </si>
  <si>
    <t>2025-12-02</t>
  </si>
  <si>
    <t>2025-01-19</t>
  </si>
  <si>
    <t>2025-07-16</t>
  </si>
  <si>
    <t>21 Oct 2025</t>
  </si>
  <si>
    <t>01 Jun 2025</t>
  </si>
  <si>
    <t>04 Nov 2025</t>
  </si>
  <si>
    <t>November 04, 2025</t>
  </si>
  <si>
    <t>2024-12-01</t>
  </si>
  <si>
    <t>February 09, 2025</t>
  </si>
  <si>
    <t>09/04/25</t>
  </si>
  <si>
    <t>09/17/24</t>
  </si>
  <si>
    <t>09/19/2024</t>
  </si>
  <si>
    <t>2025-07-19</t>
  </si>
  <si>
    <t>January 15, 2024</t>
  </si>
  <si>
    <t>2025-03-10</t>
  </si>
  <si>
    <t>February 23, 2025</t>
  </si>
  <si>
    <t>11/18/24</t>
  </si>
  <si>
    <t>March 03, 2025</t>
  </si>
  <si>
    <t>11/22/2024</t>
  </si>
  <si>
    <t>February 24, 2025</t>
  </si>
  <si>
    <t>20-11-2024</t>
  </si>
  <si>
    <t>September 22, 2024</t>
  </si>
  <si>
    <t>10/02/24</t>
  </si>
  <si>
    <t>09 Dec 2024</t>
  </si>
  <si>
    <t>2025-01-07</t>
  </si>
  <si>
    <t>07 Feb 2024</t>
  </si>
  <si>
    <t>03 Feb 2024</t>
  </si>
  <si>
    <t>2025-02-26</t>
  </si>
  <si>
    <t>20-05-2024</t>
  </si>
  <si>
    <t>09/29/25</t>
  </si>
  <si>
    <t>11-06-2024</t>
  </si>
  <si>
    <t>2025-10-14</t>
  </si>
  <si>
    <t>July 20, 2024</t>
  </si>
  <si>
    <t>08 Nov 2024</t>
  </si>
  <si>
    <t>October 12, 2025</t>
  </si>
  <si>
    <t>April 04, 2024</t>
  </si>
  <si>
    <t>20 Mar 2025</t>
  </si>
  <si>
    <t>07/13/2024</t>
  </si>
  <si>
    <t>June 24, 2024</t>
  </si>
  <si>
    <t>02/17/2025</t>
  </si>
  <si>
    <t>10-09-2025</t>
  </si>
  <si>
    <t>04/07/2024</t>
  </si>
  <si>
    <t>2024-09-13</t>
  </si>
  <si>
    <t>07-04-2025</t>
  </si>
  <si>
    <t>23 Jun 2024</t>
  </si>
  <si>
    <t>September 13, 2025</t>
  </si>
  <si>
    <t>January 16, 2024</t>
  </si>
  <si>
    <t>04/28/2024</t>
  </si>
  <si>
    <t>27 Aug 2025</t>
  </si>
  <si>
    <t>January 09, 2024</t>
  </si>
  <si>
    <t>08 Oct 2024</t>
  </si>
  <si>
    <t>July 13, 2024</t>
  </si>
  <si>
    <t>2024-05-18</t>
  </si>
  <si>
    <t>01/11/2024</t>
  </si>
  <si>
    <t>29-06-2025</t>
  </si>
  <si>
    <t>2024-07-25</t>
  </si>
  <si>
    <t>December 28, 2024</t>
  </si>
  <si>
    <t>09/10/25</t>
  </si>
  <si>
    <t>2025-08-10</t>
  </si>
  <si>
    <t>01/14/2025</t>
  </si>
  <si>
    <t>2024-04-11</t>
  </si>
  <si>
    <t>18-12-2024</t>
  </si>
  <si>
    <t>April 21, 2024</t>
  </si>
  <si>
    <t>October 18, 2025</t>
  </si>
  <si>
    <t>26-10-2024</t>
  </si>
  <si>
    <t>29-01-2025</t>
  </si>
  <si>
    <t>14 Dec 2025</t>
  </si>
  <si>
    <t>06/20/2025</t>
  </si>
  <si>
    <t>04/12/2024</t>
  </si>
  <si>
    <t>June 03, 2025</t>
  </si>
  <si>
    <t>07 Aug 2024</t>
  </si>
  <si>
    <t>09/19/2025</t>
  </si>
  <si>
    <t>September 26, 2024</t>
  </si>
  <si>
    <t>2024-12-23</t>
  </si>
  <si>
    <t>26 Dec 2025</t>
  </si>
  <si>
    <t>2025-08-24</t>
  </si>
  <si>
    <t>12/31/2025</t>
  </si>
  <si>
    <t>19-05-2024</t>
  </si>
  <si>
    <t>12/27/2025</t>
  </si>
  <si>
    <t>2024-04-23</t>
  </si>
  <si>
    <t>10/29/2024</t>
  </si>
  <si>
    <t>05 Nov 2025</t>
  </si>
  <si>
    <t>18-11-2024</t>
  </si>
  <si>
    <t>09/06/2025</t>
  </si>
  <si>
    <t>04/12/2025</t>
  </si>
  <si>
    <t>06/08/24</t>
  </si>
  <si>
    <t>10/15/2025</t>
  </si>
  <si>
    <t>01-04-2024</t>
  </si>
  <si>
    <t>05 Sep 2024</t>
  </si>
  <si>
    <t>11/24/2024</t>
  </si>
  <si>
    <t>03/05/24</t>
  </si>
  <si>
    <t>11/10/2025</t>
  </si>
  <si>
    <t>01 Mar 2025</t>
  </si>
  <si>
    <t>07-10-2024</t>
  </si>
  <si>
    <t>March 31, 2025</t>
  </si>
  <si>
    <t>2025-08-25</t>
  </si>
  <si>
    <t>November 06, 2025</t>
  </si>
  <si>
    <t>29 May 2024</t>
  </si>
  <si>
    <t>January 26, 2024</t>
  </si>
  <si>
    <t>29-05-2025</t>
  </si>
  <si>
    <t>2024-09-22</t>
  </si>
  <si>
    <t>06 Jan 2024</t>
  </si>
  <si>
    <t>2024-06-10</t>
  </si>
  <si>
    <t>02/21/2024</t>
  </si>
  <si>
    <t>28-10-2025</t>
  </si>
  <si>
    <t>06 Nov 2025</t>
  </si>
  <si>
    <t>03 Mar 2024</t>
  </si>
  <si>
    <t>2025-02-28</t>
  </si>
  <si>
    <t>12/10/2025</t>
  </si>
  <si>
    <t>03/29/2025</t>
  </si>
  <si>
    <t>2024-05-04</t>
  </si>
  <si>
    <t>October 24, 2024</t>
  </si>
  <si>
    <t>2025-07-30</t>
  </si>
  <si>
    <t>03/18/25</t>
  </si>
  <si>
    <t>2025-12-19</t>
  </si>
  <si>
    <t>04/04/2025</t>
  </si>
  <si>
    <t>09/27/24</t>
  </si>
  <si>
    <t>2025-01-29</t>
  </si>
  <si>
    <t>2025-02-27</t>
  </si>
  <si>
    <t>08-08-2024</t>
  </si>
  <si>
    <t>07/19/25</t>
  </si>
  <si>
    <t>05 Aug 2024</t>
  </si>
  <si>
    <t>21-03-2024</t>
  </si>
  <si>
    <t>04/11/25</t>
  </si>
  <si>
    <t>2024-12-30</t>
  </si>
  <si>
    <t>2024-07-15</t>
  </si>
  <si>
    <t>2024-05-01</t>
  </si>
  <si>
    <t>04/14/2024</t>
  </si>
  <si>
    <t>11/04/2025</t>
  </si>
  <si>
    <t>25-11-2025</t>
  </si>
  <si>
    <t>18-02-2024</t>
  </si>
  <si>
    <t>2025-05-08</t>
  </si>
  <si>
    <t>April 22, 2024</t>
  </si>
  <si>
    <t>11/02/24</t>
  </si>
  <si>
    <t>03-09-2025</t>
  </si>
  <si>
    <t>15 Nov 2024</t>
  </si>
  <si>
    <t>October 17, 2025</t>
  </si>
  <si>
    <t>11/29/2024</t>
  </si>
  <si>
    <t>04/13/2025</t>
  </si>
  <si>
    <t>14 Aug 2025</t>
  </si>
  <si>
    <t>03/29/24</t>
  </si>
  <si>
    <t>August 06, 2025</t>
  </si>
  <si>
    <t>06-10-2025</t>
  </si>
  <si>
    <t>10 Jul 2025</t>
  </si>
  <si>
    <t>22-03-2025</t>
  </si>
  <si>
    <t>2024-07-24</t>
  </si>
  <si>
    <t>16-07-2024</t>
  </si>
  <si>
    <t>16 Mar 2024</t>
  </si>
  <si>
    <t>20 Apr 2025</t>
  </si>
  <si>
    <t>11/26/2024</t>
  </si>
  <si>
    <t>22-07-2024</t>
  </si>
  <si>
    <t>03/16/25</t>
  </si>
  <si>
    <t>July 25, 2025</t>
  </si>
  <si>
    <t>06/05/2024</t>
  </si>
  <si>
    <t>14-07-2025</t>
  </si>
  <si>
    <t>04 Apr 2024</t>
  </si>
  <si>
    <t>26 Oct 2025</t>
  </si>
  <si>
    <t>07/26/2024</t>
  </si>
  <si>
    <t>29 Aug 2025</t>
  </si>
  <si>
    <t>2025-09-12</t>
  </si>
  <si>
    <t>2025-04-23</t>
  </si>
  <si>
    <t>May 01, 2024</t>
  </si>
  <si>
    <t>2025-03-07</t>
  </si>
  <si>
    <t>13 Jul 2025</t>
  </si>
  <si>
    <t>12/30/2024</t>
  </si>
  <si>
    <t>June 23, 2025</t>
  </si>
  <si>
    <t>07-12-2024</t>
  </si>
  <si>
    <t>September 14, 2024</t>
  </si>
  <si>
    <t>12/11/24</t>
  </si>
  <si>
    <t>16 Feb 2025</t>
  </si>
  <si>
    <t>2024-04-25</t>
  </si>
  <si>
    <t>11/06/2025</t>
  </si>
  <si>
    <t>03/13/2024</t>
  </si>
  <si>
    <t>07/03/2024</t>
  </si>
  <si>
    <t>10/25/2025</t>
  </si>
  <si>
    <t>20 Apr 2024</t>
  </si>
  <si>
    <t>January 29, 2024</t>
  </si>
  <si>
    <t>08-10-2024</t>
  </si>
  <si>
    <t>18-05-2024</t>
  </si>
  <si>
    <t>15 Jul 2025</t>
  </si>
  <si>
    <t>25 Oct 2025</t>
  </si>
  <si>
    <t>11/12/2024</t>
  </si>
  <si>
    <t>11/15/24</t>
  </si>
  <si>
    <t>2025-04-09</t>
  </si>
  <si>
    <t>08/26/2024</t>
  </si>
  <si>
    <t>2024-04-24</t>
  </si>
  <si>
    <t>01-04-2025</t>
  </si>
  <si>
    <t>30 Nov 2025</t>
  </si>
  <si>
    <t>09-03-2024</t>
  </si>
  <si>
    <t>07-11-2025</t>
  </si>
  <si>
    <t>05/09/25</t>
  </si>
  <si>
    <t>19-01-2024</t>
  </si>
  <si>
    <t>20 Jun 2025</t>
  </si>
  <si>
    <t>03/01/2025</t>
  </si>
  <si>
    <t>19 Apr 2024</t>
  </si>
  <si>
    <t>27 Apr 2025</t>
  </si>
  <si>
    <t>02/22/2025</t>
  </si>
  <si>
    <t>08 Apr 2024</t>
  </si>
  <si>
    <t>2025-03-06</t>
  </si>
  <si>
    <t>26-12-2024</t>
  </si>
  <si>
    <t>01 Mar 2024</t>
  </si>
  <si>
    <t>2025-05-18</t>
  </si>
  <si>
    <t>2025-08-13</t>
  </si>
  <si>
    <t>20 Jul 2024</t>
  </si>
  <si>
    <t>2024-10-21</t>
  </si>
  <si>
    <t>2025-11-27</t>
  </si>
  <si>
    <t>28-01-2025</t>
  </si>
  <si>
    <t>16 Nov 2024</t>
  </si>
  <si>
    <t>2024-02-11</t>
  </si>
  <si>
    <t>August 18, 2025</t>
  </si>
  <si>
    <t>08/04/24</t>
  </si>
  <si>
    <t>2024-09-18</t>
  </si>
  <si>
    <t>21-10-2024</t>
  </si>
  <si>
    <t>2024-03-04</t>
  </si>
  <si>
    <t>August 01, 2024</t>
  </si>
  <si>
    <t>2024-07-20</t>
  </si>
  <si>
    <t>2024-01-12</t>
  </si>
  <si>
    <t>07/10/2025</t>
  </si>
  <si>
    <t>01/31/2025</t>
  </si>
  <si>
    <t>09 Jul 2025</t>
  </si>
  <si>
    <t>09/11/24</t>
  </si>
  <si>
    <t>08/14/25</t>
  </si>
  <si>
    <t>31-05-2025</t>
  </si>
  <si>
    <t>06/02/25</t>
  </si>
  <si>
    <t>2024-01-06</t>
  </si>
  <si>
    <t>24 Feb 2024</t>
  </si>
  <si>
    <t>2024-09-26</t>
  </si>
  <si>
    <t>02/01/24</t>
  </si>
  <si>
    <t>2024-11-17</t>
  </si>
  <si>
    <t>05/15/2025</t>
  </si>
  <si>
    <t>19-04-2025</t>
  </si>
  <si>
    <t>06-11-2024</t>
  </si>
  <si>
    <t>11/14/25</t>
  </si>
  <si>
    <t>April 05, 2025</t>
  </si>
  <si>
    <t>16 Dec 2025</t>
  </si>
  <si>
    <t>2024-02-27</t>
  </si>
  <si>
    <t>06/02/2024</t>
  </si>
  <si>
    <t>2024-09-30</t>
  </si>
  <si>
    <t>December 16, 2025</t>
  </si>
  <si>
    <t>January 14, 2025</t>
  </si>
  <si>
    <t>12/07/25</t>
  </si>
  <si>
    <t>06-02-2024</t>
  </si>
  <si>
    <t>01-08-2025</t>
  </si>
  <si>
    <t>10/23/24</t>
  </si>
  <si>
    <t>2024-07-14</t>
  </si>
  <si>
    <t>05/23/2024</t>
  </si>
  <si>
    <t>2025-11-18</t>
  </si>
  <si>
    <t>2024-01-14</t>
  </si>
  <si>
    <t>04-03-2025</t>
  </si>
  <si>
    <t>Ava Williams</t>
  </si>
  <si>
    <t xml:space="preserve">  GRACE THOMAS  </t>
  </si>
  <si>
    <t xml:space="preserve">  ZARA JACKSON  </t>
  </si>
  <si>
    <t xml:space="preserve">  ROHAN WILSON  </t>
  </si>
  <si>
    <t>Ethan Johnson</t>
  </si>
  <si>
    <t>Ava Thomas</t>
  </si>
  <si>
    <t>Ishaan Moore</t>
  </si>
  <si>
    <t>Kabir Reddy</t>
  </si>
  <si>
    <t>Ethan Kapoor</t>
  </si>
  <si>
    <t>Daniel Kapoor</t>
  </si>
  <si>
    <t>Noah Miller</t>
  </si>
  <si>
    <t>mia clark</t>
  </si>
  <si>
    <t>Noah Moore</t>
  </si>
  <si>
    <t>Kabir Wilson</t>
  </si>
  <si>
    <t>ava sharma</t>
  </si>
  <si>
    <t>Noah Wilson</t>
  </si>
  <si>
    <t>Ava Wilson</t>
  </si>
  <si>
    <t>Aarav Jackson</t>
  </si>
  <si>
    <t>Noah Reddy</t>
  </si>
  <si>
    <t xml:space="preserve">  ARJUN DAVIS  </t>
  </si>
  <si>
    <t>Ethan Jackson</t>
  </si>
  <si>
    <t xml:space="preserve">  ARJUN ANDERSON  </t>
  </si>
  <si>
    <t>Ethan Miller</t>
  </si>
  <si>
    <t>Ethan Davis</t>
  </si>
  <si>
    <t xml:space="preserve">  AVA WILSON  </t>
  </si>
  <si>
    <t>Daniel Sharma</t>
  </si>
  <si>
    <t>emma white</t>
  </si>
  <si>
    <t>Advait Clark</t>
  </si>
  <si>
    <t>Rohan Thomas</t>
  </si>
  <si>
    <t>Daniel Jackson</t>
  </si>
  <si>
    <t xml:space="preserve">  CHLOE MILLER  </t>
  </si>
  <si>
    <t xml:space="preserve">  ISHAAN DAVIS  </t>
  </si>
  <si>
    <t>arjun iyer</t>
  </si>
  <si>
    <t>Zara Iyer</t>
  </si>
  <si>
    <t>mia jackson</t>
  </si>
  <si>
    <t>Kabir Gupta</t>
  </si>
  <si>
    <t>Mia Thomas</t>
  </si>
  <si>
    <t>Rohan Kapoor</t>
  </si>
  <si>
    <t>Liam Moore</t>
  </si>
  <si>
    <t>aarav iyer</t>
  </si>
  <si>
    <t xml:space="preserve">  AVA THOMAS  </t>
  </si>
  <si>
    <t>Ella Williams</t>
  </si>
  <si>
    <t>Advait Davis</t>
  </si>
  <si>
    <t>Grace Taylor</t>
  </si>
  <si>
    <t xml:space="preserve">  LIAM NAIR  </t>
  </si>
  <si>
    <t xml:space="preserve">  ETHAN SHARMA  </t>
  </si>
  <si>
    <t>Daniel Nair</t>
  </si>
  <si>
    <t>Kabir Harris</t>
  </si>
  <si>
    <t xml:space="preserve">  OLIVIA BROWN  </t>
  </si>
  <si>
    <t>Chloe Kapoor</t>
  </si>
  <si>
    <t>Emma Clark</t>
  </si>
  <si>
    <t>Arjun Thomas</t>
  </si>
  <si>
    <t>Sophia Nair</t>
  </si>
  <si>
    <t>Ella Sharma</t>
  </si>
  <si>
    <t>arjun sharma</t>
  </si>
  <si>
    <t>Mia Iyer</t>
  </si>
  <si>
    <t>Daniel Iyer</t>
  </si>
  <si>
    <t xml:space="preserve">  SOPHIA WILSON  </t>
  </si>
  <si>
    <t>Liam Gupta</t>
  </si>
  <si>
    <t xml:space="preserve">  AVA MILLER  </t>
  </si>
  <si>
    <t>Sophia Anderson</t>
  </si>
  <si>
    <t xml:space="preserve">  CHLOE THOMAS  </t>
  </si>
  <si>
    <t>Arjun Clark</t>
  </si>
  <si>
    <t>Chloe Moore</t>
  </si>
  <si>
    <t>Ella White</t>
  </si>
  <si>
    <t>Chloe Sharma</t>
  </si>
  <si>
    <t>Liam Clark</t>
  </si>
  <si>
    <t>Ella Thomas</t>
  </si>
  <si>
    <t>Olivia Gupta</t>
  </si>
  <si>
    <t>Rohan Wilson</t>
  </si>
  <si>
    <t>Daniel Clark</t>
  </si>
  <si>
    <t xml:space="preserve">  AVA SHARMA  </t>
  </si>
  <si>
    <t>Daniel Reddy</t>
  </si>
  <si>
    <t xml:space="preserve">  GRACE IYER  </t>
  </si>
  <si>
    <t>Sophia Harris</t>
  </si>
  <si>
    <t>Emma Jackson</t>
  </si>
  <si>
    <t>Chloe Brown</t>
  </si>
  <si>
    <t xml:space="preserve">  DANIEL MOORE  </t>
  </si>
  <si>
    <t>daniel white</t>
  </si>
  <si>
    <t>Olivia Nair</t>
  </si>
  <si>
    <t>Kabir Thomas</t>
  </si>
  <si>
    <t>Arjun White</t>
  </si>
  <si>
    <t>daniel reddy</t>
  </si>
  <si>
    <t>Lily Nair</t>
  </si>
  <si>
    <t>Mia Kapoor</t>
  </si>
  <si>
    <t>Ethan Reddy</t>
  </si>
  <si>
    <t>Arjun Moore</t>
  </si>
  <si>
    <t>Ella Iyer</t>
  </si>
  <si>
    <t>Grace White</t>
  </si>
  <si>
    <t>rohan nair</t>
  </si>
  <si>
    <t>Aarav Thomas</t>
  </si>
  <si>
    <t>Emma Wilson</t>
  </si>
  <si>
    <t>Rohan Nair</t>
  </si>
  <si>
    <t>Noah Anderson</t>
  </si>
  <si>
    <t xml:space="preserve">  NOAH CLARK  </t>
  </si>
  <si>
    <t xml:space="preserve">  NOAH SHARMA  </t>
  </si>
  <si>
    <t>Sophia Iyer</t>
  </si>
  <si>
    <t>Emma Davis</t>
  </si>
  <si>
    <t>Ava Johnson</t>
  </si>
  <si>
    <t>Ethan Iyer</t>
  </si>
  <si>
    <t xml:space="preserve">  SOPHIA CLARK  </t>
  </si>
  <si>
    <t>Grace Wilson</t>
  </si>
  <si>
    <t>Aarav Nair</t>
  </si>
  <si>
    <t>Grace Iyer</t>
  </si>
  <si>
    <t>Noah Davis</t>
  </si>
  <si>
    <t>Ella Nair</t>
  </si>
  <si>
    <t>Liam Harris</t>
  </si>
  <si>
    <t xml:space="preserve">  ETHAN JOHNSON  </t>
  </si>
  <si>
    <t>Mia Williams</t>
  </si>
  <si>
    <t>Lily Harris</t>
  </si>
  <si>
    <t>Emma Moore</t>
  </si>
  <si>
    <t>Chloe Clark</t>
  </si>
  <si>
    <t>Ethan Williams</t>
  </si>
  <si>
    <t>Liam Johnson</t>
  </si>
  <si>
    <t xml:space="preserve">  ROHAN JACKSON  </t>
  </si>
  <si>
    <t>Mia Gupta</t>
  </si>
  <si>
    <t xml:space="preserve">  ELLA KAPOOR  </t>
  </si>
  <si>
    <t>Sophia Moore</t>
  </si>
  <si>
    <t>Zara Davis</t>
  </si>
  <si>
    <t xml:space="preserve">  ETHAN IYER  </t>
  </si>
  <si>
    <t>Ishaan Taylor</t>
  </si>
  <si>
    <t>aarav sharma</t>
  </si>
  <si>
    <t>Ishaan Brown</t>
  </si>
  <si>
    <t xml:space="preserve">  EMMA WILSON  </t>
  </si>
  <si>
    <t>Advait Gupta</t>
  </si>
  <si>
    <t xml:space="preserve">  AARAV TAYLOR  </t>
  </si>
  <si>
    <t>Zara Miller</t>
  </si>
  <si>
    <t>Rohan Sharma</t>
  </si>
  <si>
    <t>Ethan Sharma</t>
  </si>
  <si>
    <t>ishaan nair</t>
  </si>
  <si>
    <t>Kabir Moore</t>
  </si>
  <si>
    <t>Advait Thomas</t>
  </si>
  <si>
    <t>Ishaan Miller</t>
  </si>
  <si>
    <t>Mia Brown</t>
  </si>
  <si>
    <t>Ella Harris</t>
  </si>
  <si>
    <t>Liam Williams</t>
  </si>
  <si>
    <t>Noah Clark</t>
  </si>
  <si>
    <t>Sophia Williams</t>
  </si>
  <si>
    <t>Arjun Anderson</t>
  </si>
  <si>
    <t>Olivia Wilson</t>
  </si>
  <si>
    <t xml:space="preserve">  ARJUN JOHNSON  </t>
  </si>
  <si>
    <t>Lily Kapoor</t>
  </si>
  <si>
    <t>Chloe Davis</t>
  </si>
  <si>
    <t>Zara Williams</t>
  </si>
  <si>
    <t>Sophia Gupta</t>
  </si>
  <si>
    <t>Kabir Miller</t>
  </si>
  <si>
    <t>Ishaan Sharma</t>
  </si>
  <si>
    <t>Ella Reddy</t>
  </si>
  <si>
    <t>Rohan Brown</t>
  </si>
  <si>
    <t>Grace Nair</t>
  </si>
  <si>
    <t>ROHAN MILLER</t>
  </si>
  <si>
    <t xml:space="preserve">  LIAM WILLIAMS  </t>
  </si>
  <si>
    <t>Ella Wilson</t>
  </si>
  <si>
    <t>Rohan Davis</t>
  </si>
  <si>
    <t>noah brown</t>
  </si>
  <si>
    <t xml:space="preserve">  LILY NAIR  </t>
  </si>
  <si>
    <t>Ethan Taylor</t>
  </si>
  <si>
    <t>Ishaan Iyer</t>
  </si>
  <si>
    <t>Zara Taylor</t>
  </si>
  <si>
    <t xml:space="preserve">  LIAM JACKSON  </t>
  </si>
  <si>
    <t xml:space="preserve">  LIAM DAVIS  </t>
  </si>
  <si>
    <t>aarav harris</t>
  </si>
  <si>
    <t>Kabir White</t>
  </si>
  <si>
    <t xml:space="preserve">  KABIR CLARK  </t>
  </si>
  <si>
    <t>Aarav Kapoor</t>
  </si>
  <si>
    <t>Kabir Jackson</t>
  </si>
  <si>
    <t>Emma Harris</t>
  </si>
  <si>
    <t>Chloe Reddy</t>
  </si>
  <si>
    <t>kabir brown</t>
  </si>
  <si>
    <t>Rohan Iyer</t>
  </si>
  <si>
    <t xml:space="preserve">  ZARA WILLIAMS  </t>
  </si>
  <si>
    <t>Daniel Williams</t>
  </si>
  <si>
    <t>Sophia Jackson</t>
  </si>
  <si>
    <t>Olivia Jackson</t>
  </si>
  <si>
    <t>Chloe Miller</t>
  </si>
  <si>
    <t>Sophia White</t>
  </si>
  <si>
    <t>Emma Brown</t>
  </si>
  <si>
    <t xml:space="preserve">  ETHAN REDDY  </t>
  </si>
  <si>
    <t>ethan anderson</t>
  </si>
  <si>
    <t>noah jackson</t>
  </si>
  <si>
    <t>Daniel Anderson</t>
  </si>
  <si>
    <t>Lily Davis</t>
  </si>
  <si>
    <t>olivia jackson</t>
  </si>
  <si>
    <t>lily sharma</t>
  </si>
  <si>
    <t>emma miller</t>
  </si>
  <si>
    <t>Olivia Reddy</t>
  </si>
  <si>
    <t>Ishaan Wilson</t>
  </si>
  <si>
    <t>Lily Iyer</t>
  </si>
  <si>
    <t xml:space="preserve">  ELLA HARRIS  </t>
  </si>
  <si>
    <t>Emma Sharma</t>
  </si>
  <si>
    <t>Chloe Williams</t>
  </si>
  <si>
    <t xml:space="preserve">  ADVAIT JOHNSON  </t>
  </si>
  <si>
    <t>Ava Reddy</t>
  </si>
  <si>
    <t>Zara Johnson</t>
  </si>
  <si>
    <t>Olivia Williams</t>
  </si>
  <si>
    <t>Advait Johnson</t>
  </si>
  <si>
    <t>Advait Wilson</t>
  </si>
  <si>
    <t>Liam Taylor</t>
  </si>
  <si>
    <t xml:space="preserve">  ADVAIT DAVIS  </t>
  </si>
  <si>
    <t>Arjun Reddy</t>
  </si>
  <si>
    <t>sophia gupta</t>
  </si>
  <si>
    <t>noah davis</t>
  </si>
  <si>
    <t xml:space="preserve">  ARJUN JACKSON  </t>
  </si>
  <si>
    <t>Ishaan Williams</t>
  </si>
  <si>
    <t>Aarav Anderson</t>
  </si>
  <si>
    <t>Noah Brown</t>
  </si>
  <si>
    <t>Advait Jackson</t>
  </si>
  <si>
    <t>Liam Reddy</t>
  </si>
  <si>
    <t xml:space="preserve">  SOPHIA MILLER  </t>
  </si>
  <si>
    <t>Zara Thomas</t>
  </si>
  <si>
    <t>Chloe Iyer</t>
  </si>
  <si>
    <t>Noah White</t>
  </si>
  <si>
    <t>chloe brown</t>
  </si>
  <si>
    <t>Noah Iyer</t>
  </si>
  <si>
    <t xml:space="preserve">  ELLA THOMAS  </t>
  </si>
  <si>
    <t xml:space="preserve">  NOAH WHITE  </t>
  </si>
  <si>
    <t>Rohan Gupta</t>
  </si>
  <si>
    <t>Olivia Taylor</t>
  </si>
  <si>
    <t>Zara Reddy</t>
  </si>
  <si>
    <t>Emma Reddy</t>
  </si>
  <si>
    <t>chloe taylor</t>
  </si>
  <si>
    <t>Mia White</t>
  </si>
  <si>
    <t>Ethan Wilson</t>
  </si>
  <si>
    <t>Olivia Moore</t>
  </si>
  <si>
    <t>Daniel Thomas</t>
  </si>
  <si>
    <t>Rohan Miller</t>
  </si>
  <si>
    <t xml:space="preserve">  AARAV NAIR  </t>
  </si>
  <si>
    <t>Zara Harris</t>
  </si>
  <si>
    <t>Daniel Davis</t>
  </si>
  <si>
    <t>Zara Gupta</t>
  </si>
  <si>
    <t xml:space="preserve">  ADVAIT IYER  </t>
  </si>
  <si>
    <t>Ava Sharma</t>
  </si>
  <si>
    <t>Aarav Reddy</t>
  </si>
  <si>
    <t>Ethan Nair</t>
  </si>
  <si>
    <t>Mia Harris</t>
  </si>
  <si>
    <t>Rohan Anderson</t>
  </si>
  <si>
    <t>chloe clark</t>
  </si>
  <si>
    <t>Sophia Clark</t>
  </si>
  <si>
    <t xml:space="preserve">  SOPHIA KAPOOR  </t>
  </si>
  <si>
    <t>Ishaan Clark</t>
  </si>
  <si>
    <t>noah sharma</t>
  </si>
  <si>
    <t>Kabir Davis</t>
  </si>
  <si>
    <t xml:space="preserve">  ISHAAN WILSON  </t>
  </si>
  <si>
    <t xml:space="preserve">  LIAM GUPTA  </t>
  </si>
  <si>
    <t>olivia sharma</t>
  </si>
  <si>
    <t>Sophia Sharma</t>
  </si>
  <si>
    <t>kabir davis</t>
  </si>
  <si>
    <t>Zara Sharma</t>
  </si>
  <si>
    <t>kabir iyer</t>
  </si>
  <si>
    <t xml:space="preserve">  GRACE MILLER  </t>
  </si>
  <si>
    <t>Olivia Anderson</t>
  </si>
  <si>
    <t>lily davis</t>
  </si>
  <si>
    <t xml:space="preserve">  KABIR NAIR  </t>
  </si>
  <si>
    <t>Olivia Thomas</t>
  </si>
  <si>
    <t xml:space="preserve">  ELLA MILLER  </t>
  </si>
  <si>
    <t>Arjun Sharma</t>
  </si>
  <si>
    <t xml:space="preserve">  MIA TAYLOR  </t>
  </si>
  <si>
    <t>Aarav White</t>
  </si>
  <si>
    <t>Kabir Kapoor</t>
  </si>
  <si>
    <t>Lily Johnson</t>
  </si>
  <si>
    <t xml:space="preserve">  ZARA ANDERSON  </t>
  </si>
  <si>
    <t xml:space="preserve">  AARAV BROWN  </t>
  </si>
  <si>
    <t>Ethan White</t>
  </si>
  <si>
    <t>Noah Thomas</t>
  </si>
  <si>
    <t>Emma Taylor</t>
  </si>
  <si>
    <t>Kabir Brown</t>
  </si>
  <si>
    <t>Olivia Kapoor</t>
  </si>
  <si>
    <t xml:space="preserve">  ETHAN ANDERSON  </t>
  </si>
  <si>
    <t>Ella Davis</t>
  </si>
  <si>
    <t>Ishaan Johnson</t>
  </si>
  <si>
    <t>Liam Miller</t>
  </si>
  <si>
    <t>Ishaan Nair</t>
  </si>
  <si>
    <t xml:space="preserve">  DANIEL GUPTA  </t>
  </si>
  <si>
    <t>Mia Moore</t>
  </si>
  <si>
    <t>Zara Kapoor</t>
  </si>
  <si>
    <t>Noah Harris</t>
  </si>
  <si>
    <t>Sophia Kapoor</t>
  </si>
  <si>
    <t>Ava Davis</t>
  </si>
  <si>
    <t>Grace Anderson</t>
  </si>
  <si>
    <t>Ella Brown</t>
  </si>
  <si>
    <t>olivia williams</t>
  </si>
  <si>
    <t>Lily Anderson</t>
  </si>
  <si>
    <t xml:space="preserve">  ETHAN HARRIS  </t>
  </si>
  <si>
    <t>sophia sharma</t>
  </si>
  <si>
    <t>noah reddy</t>
  </si>
  <si>
    <t xml:space="preserve">  AARAV WHITE  </t>
  </si>
  <si>
    <t>Grace Clark</t>
  </si>
  <si>
    <t xml:space="preserve">  ARJUN HARRIS  </t>
  </si>
  <si>
    <t>Arjun Nair</t>
  </si>
  <si>
    <t>Noah Jackson</t>
  </si>
  <si>
    <t xml:space="preserve">  KABIR WHITE  </t>
  </si>
  <si>
    <t xml:space="preserve">  KABIR DAVIS  </t>
  </si>
  <si>
    <t>Aarav Taylor</t>
  </si>
  <si>
    <t>Rohan Williams</t>
  </si>
  <si>
    <t>Ishaan Thomas</t>
  </si>
  <si>
    <t xml:space="preserve">  ARJUN THOMAS  </t>
  </si>
  <si>
    <t>Ava Brown</t>
  </si>
  <si>
    <t>Chloe Harris</t>
  </si>
  <si>
    <t xml:space="preserve">  ADVAIT TAYLOR  </t>
  </si>
  <si>
    <t>Ella Anderson</t>
  </si>
  <si>
    <t xml:space="preserve">  DANIEL KAPOOR  </t>
  </si>
  <si>
    <t>Advait Taylor</t>
  </si>
  <si>
    <t>Chloe Gupta</t>
  </si>
  <si>
    <t>Arjun Davis</t>
  </si>
  <si>
    <t>Rohan Harris</t>
  </si>
  <si>
    <t>Grace Kapoor</t>
  </si>
  <si>
    <t>Olivia Sharma</t>
  </si>
  <si>
    <t>Grace Reddy</t>
  </si>
  <si>
    <t>Liam Kapoor</t>
  </si>
  <si>
    <t>Sophia Davis</t>
  </si>
  <si>
    <t>OLIVIA HARRIS</t>
  </si>
  <si>
    <t>Liam Davis</t>
  </si>
  <si>
    <t xml:space="preserve">  ROHAN IYER  </t>
  </si>
  <si>
    <t>Olivia Iyer</t>
  </si>
  <si>
    <t xml:space="preserve">  LILY CLARK  </t>
  </si>
  <si>
    <t>Mia Taylor</t>
  </si>
  <si>
    <t>Ethan Harris</t>
  </si>
  <si>
    <t>Chloe Johnson</t>
  </si>
  <si>
    <t>Emma Iyer</t>
  </si>
  <si>
    <t>Ethan Anderson</t>
  </si>
  <si>
    <t>Lily White</t>
  </si>
  <si>
    <t>grace wilson</t>
  </si>
  <si>
    <t>Advait Brown</t>
  </si>
  <si>
    <t xml:space="preserve">  OLIVIA TAYLOR  </t>
  </si>
  <si>
    <t>Chloe White</t>
  </si>
  <si>
    <t>Ella Moore</t>
  </si>
  <si>
    <t>Lily Brown</t>
  </si>
  <si>
    <t>Zara Anderson</t>
  </si>
  <si>
    <t>kabir reddy</t>
  </si>
  <si>
    <t>Ava Taylor</t>
  </si>
  <si>
    <t>Kabir Williams</t>
  </si>
  <si>
    <t>Grace Gupta</t>
  </si>
  <si>
    <t xml:space="preserve">  ELLA IYER  </t>
  </si>
  <si>
    <t>Grace Moore</t>
  </si>
  <si>
    <t>daniel johnson</t>
  </si>
  <si>
    <t>Kabir Taylor</t>
  </si>
  <si>
    <t>Sophia Taylor</t>
  </si>
  <si>
    <t xml:space="preserve">  NOAH BROWN  </t>
  </si>
  <si>
    <t xml:space="preserve">  ETHAN WHITE  </t>
  </si>
  <si>
    <t xml:space="preserve">  ELLA BROWN  </t>
  </si>
  <si>
    <t>Emma White</t>
  </si>
  <si>
    <t>Aarav Harris</t>
  </si>
  <si>
    <t xml:space="preserve">  GRACE JOHNSON  </t>
  </si>
  <si>
    <t>Advait Reddy</t>
  </si>
  <si>
    <t>Rohan Johnson</t>
  </si>
  <si>
    <t>Ava Kapoor</t>
  </si>
  <si>
    <t xml:space="preserve">  OLIVIA GUPTA  </t>
  </si>
  <si>
    <t xml:space="preserve">  ROHAN NAIR  </t>
  </si>
  <si>
    <t>Grace Jackson</t>
  </si>
  <si>
    <t xml:space="preserve">  ISHAAN WHITE  </t>
  </si>
  <si>
    <t>Noah Nair</t>
  </si>
  <si>
    <t xml:space="preserve">  DANIEL NAIR  </t>
  </si>
  <si>
    <t>Ava White</t>
  </si>
  <si>
    <t>Olivia White</t>
  </si>
  <si>
    <t>liam johnson</t>
  </si>
  <si>
    <t>Noah Kapoor</t>
  </si>
  <si>
    <t>Mia Reddy</t>
  </si>
  <si>
    <t>Noah Taylor</t>
  </si>
  <si>
    <t>Zara White</t>
  </si>
  <si>
    <t xml:space="preserve">  ETHAN MOORE  </t>
  </si>
  <si>
    <t xml:space="preserve">  AARAV REDDY  </t>
  </si>
  <si>
    <t>ishaan davis</t>
  </si>
  <si>
    <t>Ava Miller</t>
  </si>
  <si>
    <t>Advait White</t>
  </si>
  <si>
    <t>Mia Nair</t>
  </si>
  <si>
    <t xml:space="preserve">  KABIR TAYLOR  </t>
  </si>
  <si>
    <t xml:space="preserve">  ADVAIT HARRIS  </t>
  </si>
  <si>
    <t>Sophia Johnson</t>
  </si>
  <si>
    <t>Ethan Moore</t>
  </si>
  <si>
    <t xml:space="preserve">  ROHAN DAVIS  </t>
  </si>
  <si>
    <t>Ishaan Gupta</t>
  </si>
  <si>
    <t xml:space="preserve">  SOPHIA IYER  </t>
  </si>
  <si>
    <t>Chloe Taylor</t>
  </si>
  <si>
    <t xml:space="preserve">  ZARA MOORE  </t>
  </si>
  <si>
    <t>MIA MILLER</t>
  </si>
  <si>
    <t>Daniel Moore</t>
  </si>
  <si>
    <t>Chloe Wilson</t>
  </si>
  <si>
    <t>Ava Iyer</t>
  </si>
  <si>
    <t>Ishaan Reddy</t>
  </si>
  <si>
    <t xml:space="preserve">  ETHAN KAPOOR  </t>
  </si>
  <si>
    <t>Chloe Anderson</t>
  </si>
  <si>
    <t>Olivia Clark</t>
  </si>
  <si>
    <t>Arjun Harris</t>
  </si>
  <si>
    <t xml:space="preserve">  AVA CLARK  </t>
  </si>
  <si>
    <t>Daniel Wilson</t>
  </si>
  <si>
    <t>Daniel Taylor</t>
  </si>
  <si>
    <t>Lily Taylor</t>
  </si>
  <si>
    <t>Sophia Miller</t>
  </si>
  <si>
    <t>Rohan Reddy</t>
  </si>
  <si>
    <t xml:space="preserve">  ROHAN WHITE  </t>
  </si>
  <si>
    <t>Liam Nair</t>
  </si>
  <si>
    <t>Olivia Brown</t>
  </si>
  <si>
    <t>Daniel Harris</t>
  </si>
  <si>
    <t>Kabir Clark</t>
  </si>
  <si>
    <t>Grace Davis</t>
  </si>
  <si>
    <t xml:space="preserve">  ROHAN GUPTA  </t>
  </si>
  <si>
    <t>Noah Gupta</t>
  </si>
  <si>
    <t xml:space="preserve">  NOAH WILSON  </t>
  </si>
  <si>
    <t>Lily Moore</t>
  </si>
  <si>
    <t>Arjun Jackson</t>
  </si>
  <si>
    <t>noah williams</t>
  </si>
  <si>
    <t>Noah Sharma</t>
  </si>
  <si>
    <t xml:space="preserve">  MIA CLARK  </t>
  </si>
  <si>
    <t>aarav thomas</t>
  </si>
  <si>
    <t>Lily Reddy</t>
  </si>
  <si>
    <t xml:space="preserve">  CHLOE SHARMA  </t>
  </si>
  <si>
    <t>emma kapoor</t>
  </si>
  <si>
    <t>mia white</t>
  </si>
  <si>
    <t>daniel harris</t>
  </si>
  <si>
    <t xml:space="preserve">  LILY KAPOOR  </t>
  </si>
  <si>
    <t xml:space="preserve">  LILY WILLIAMS  </t>
  </si>
  <si>
    <t>Ethan Brown</t>
  </si>
  <si>
    <t>Grace Sharma</t>
  </si>
  <si>
    <t>Mia Davis</t>
  </si>
  <si>
    <t>arjun moore</t>
  </si>
  <si>
    <t xml:space="preserve">  SOPHIA HARRIS  </t>
  </si>
  <si>
    <t xml:space="preserve">  EMMA TAYLOR  </t>
  </si>
  <si>
    <t>Kabir Nair</t>
  </si>
  <si>
    <t>Ella Taylor</t>
  </si>
  <si>
    <t>Arjun Johnson</t>
  </si>
  <si>
    <t xml:space="preserve">  DANIEL JACKSON  </t>
  </si>
  <si>
    <t>Arjun Miller</t>
  </si>
  <si>
    <t>Ava Gupta</t>
  </si>
  <si>
    <t xml:space="preserve">  ROHAN BROWN  </t>
  </si>
  <si>
    <t>Lily Thomas</t>
  </si>
  <si>
    <t>Sophia Reddy</t>
  </si>
  <si>
    <t xml:space="preserve">  CHLOE DAVIS  </t>
  </si>
  <si>
    <t xml:space="preserve">  MIA ANDERSON  </t>
  </si>
  <si>
    <t>Mia Jackson</t>
  </si>
  <si>
    <t>Emma Johnson</t>
  </si>
  <si>
    <t xml:space="preserve">  AVA WHITE  </t>
  </si>
  <si>
    <t xml:space="preserve">  DANIEL ANDERSON  </t>
  </si>
  <si>
    <t>Advait Iyer</t>
  </si>
  <si>
    <t>ethan davis</t>
  </si>
  <si>
    <t xml:space="preserve">  CHLOE WILLIAMS  </t>
  </si>
  <si>
    <t>Zara Brown</t>
  </si>
  <si>
    <t>Ava Jackson</t>
  </si>
  <si>
    <t xml:space="preserve">  CHLOE BROWN  </t>
  </si>
  <si>
    <t>Aarav Johnson</t>
  </si>
  <si>
    <t>GRACE KAPOOR</t>
  </si>
  <si>
    <t xml:space="preserve">  OLIVIA IYER  </t>
  </si>
  <si>
    <t>Noah Williams</t>
  </si>
  <si>
    <t>Advait Miller</t>
  </si>
  <si>
    <t>Emma Gupta</t>
  </si>
  <si>
    <t>Advait Sharma</t>
  </si>
  <si>
    <t>Aarav Iyer</t>
  </si>
  <si>
    <t>Ethan Clark</t>
  </si>
  <si>
    <t xml:space="preserve">  OLIVIA CLARK  </t>
  </si>
  <si>
    <t xml:space="preserve">  LIAM TAYLOR  </t>
  </si>
  <si>
    <t>ella brown</t>
  </si>
  <si>
    <t>Ella Johnson</t>
  </si>
  <si>
    <t>Aarav Gupta</t>
  </si>
  <si>
    <t>Sophia Wilson</t>
  </si>
  <si>
    <t>Kabir Iyer</t>
  </si>
  <si>
    <t>Daniel Gupta</t>
  </si>
  <si>
    <t>Emma Anderson</t>
  </si>
  <si>
    <t xml:space="preserve">  KABIR KAPOOR  </t>
  </si>
  <si>
    <t xml:space="preserve">  KABIR IYER  </t>
  </si>
  <si>
    <t>Ishaan Anderson</t>
  </si>
  <si>
    <t>Ethan Thomas</t>
  </si>
  <si>
    <t>Emma Kapoor</t>
  </si>
  <si>
    <t>Liam Thomas</t>
  </si>
  <si>
    <t>Ishaan Jackson</t>
  </si>
  <si>
    <t>Arjun Gupta</t>
  </si>
  <si>
    <t>Ava Nair</t>
  </si>
  <si>
    <t>Daniel Miller</t>
  </si>
  <si>
    <t>Kabir Johnson</t>
  </si>
  <si>
    <t>Sophia Brown</t>
  </si>
  <si>
    <t>Ishaan Harris</t>
  </si>
  <si>
    <t>Ella Kapoor</t>
  </si>
  <si>
    <t>liam kapoor</t>
  </si>
  <si>
    <t>Aarav Davis</t>
  </si>
  <si>
    <t>arjun nair</t>
  </si>
  <si>
    <t>emma harris</t>
  </si>
  <si>
    <t xml:space="preserve">  ETHAN CLARK  </t>
  </si>
  <si>
    <t xml:space="preserve">  DANIEL TAYLOR  </t>
  </si>
  <si>
    <t>Liam Wilson</t>
  </si>
  <si>
    <t>olivia wilson</t>
  </si>
  <si>
    <t>Grace Williams</t>
  </si>
  <si>
    <t>chloe jackson</t>
  </si>
  <si>
    <t xml:space="preserve">  KABIR ANDERSON  </t>
  </si>
  <si>
    <t>Ethan Gupta</t>
  </si>
  <si>
    <t>Lily Williams</t>
  </si>
  <si>
    <t>Ava Anderson</t>
  </si>
  <si>
    <t>Aarav Brown</t>
  </si>
  <si>
    <t xml:space="preserve">  SOPHIA JACKSON  </t>
  </si>
  <si>
    <t>grace reddy</t>
  </si>
  <si>
    <t>Ella Gupta</t>
  </si>
  <si>
    <t>Lily Sharma</t>
  </si>
  <si>
    <t>aarav reddy</t>
  </si>
  <si>
    <t xml:space="preserve">  EMMA HARRIS  </t>
  </si>
  <si>
    <t>Grace Johnson</t>
  </si>
  <si>
    <t xml:space="preserve">  ZARA WHITE  </t>
  </si>
  <si>
    <t xml:space="preserve">  DANIEL IYER  </t>
  </si>
  <si>
    <t>Zara Nair</t>
  </si>
  <si>
    <t>Zara Wilson</t>
  </si>
  <si>
    <t>liam harris</t>
  </si>
  <si>
    <t>Kabir Sharma</t>
  </si>
  <si>
    <t>Olivia Miller</t>
  </si>
  <si>
    <t>Zara Clark</t>
  </si>
  <si>
    <t>Ella Clark</t>
  </si>
  <si>
    <t xml:space="preserve">  ARJUN WILLIAMS  </t>
  </si>
  <si>
    <t xml:space="preserve">  ADVAIT BROWN  </t>
  </si>
  <si>
    <t>Lily Miller</t>
  </si>
  <si>
    <t xml:space="preserve">  ELLA TAYLOR  </t>
  </si>
  <si>
    <t>grace johnson</t>
  </si>
  <si>
    <t>Liam Anderson</t>
  </si>
  <si>
    <t>Ishaan White</t>
  </si>
  <si>
    <t xml:space="preserve">  ISHAAN KAPOOR  </t>
  </si>
  <si>
    <t>rohan clark</t>
  </si>
  <si>
    <t>grace anderson</t>
  </si>
  <si>
    <t>ishaan reddy</t>
  </si>
  <si>
    <t>Liam Brown</t>
  </si>
  <si>
    <t xml:space="preserve">  ZARA REDDY  </t>
  </si>
  <si>
    <t xml:space="preserve">  MIA DAVIS  </t>
  </si>
  <si>
    <t>Lily Clark</t>
  </si>
  <si>
    <t>Kabir Anderson</t>
  </si>
  <si>
    <t xml:space="preserve">  KABIR THOMAS  </t>
  </si>
  <si>
    <t>Advait Williams</t>
  </si>
  <si>
    <t xml:space="preserve">  ISHAAN MILLER  </t>
  </si>
  <si>
    <t>noah nair</t>
  </si>
  <si>
    <t xml:space="preserve">  ELLA JOHNSON  </t>
  </si>
  <si>
    <t>ethan wilson</t>
  </si>
  <si>
    <t>Chloe Jackson</t>
  </si>
  <si>
    <t xml:space="preserve">  SOPHIA WILLIAMS  </t>
  </si>
  <si>
    <t>emma sharma</t>
  </si>
  <si>
    <t>lily white</t>
  </si>
  <si>
    <t xml:space="preserve">  ZARA THOMAS  </t>
  </si>
  <si>
    <t xml:space="preserve">  OLIVIA MOORE  </t>
  </si>
  <si>
    <t>grace kapoor</t>
  </si>
  <si>
    <t xml:space="preserve">  ADVAIT GUPTA  </t>
  </si>
  <si>
    <t>lily jackson</t>
  </si>
  <si>
    <t>CHLOE MOORE</t>
  </si>
  <si>
    <t>Mia Wilson</t>
  </si>
  <si>
    <t>Advait Anderson</t>
  </si>
  <si>
    <t>DANIEL THOMAS</t>
  </si>
  <si>
    <t>Advait Harris</t>
  </si>
  <si>
    <t>Rohan Clark</t>
  </si>
  <si>
    <t xml:space="preserve">  LIAM CLARK  </t>
  </si>
  <si>
    <t xml:space="preserve">  ARJUN GUPTA  </t>
  </si>
  <si>
    <t>Emma Miller</t>
  </si>
  <si>
    <t>Arjun Kapoor</t>
  </si>
  <si>
    <t xml:space="preserve">  AARAV DAVIS  </t>
  </si>
  <si>
    <t>mia brown</t>
  </si>
  <si>
    <t>Rohan Moore</t>
  </si>
  <si>
    <t>grace jackson</t>
  </si>
  <si>
    <t xml:space="preserve">  CHLOE REDDY  </t>
  </si>
  <si>
    <t xml:space="preserve">  DANIEL CLARK  </t>
  </si>
  <si>
    <t>Grace Thomas</t>
  </si>
  <si>
    <t>Arjun Williams</t>
  </si>
  <si>
    <t xml:space="preserve">  ISHAAN BROWN  </t>
  </si>
  <si>
    <t>Daniel Brown</t>
  </si>
  <si>
    <t>ava moore</t>
  </si>
  <si>
    <t>kabir williams</t>
  </si>
  <si>
    <t xml:space="preserve">  AVA BROWN  </t>
  </si>
  <si>
    <t xml:space="preserve">  NOAH MILLER  </t>
  </si>
  <si>
    <t>Ava Harris</t>
  </si>
  <si>
    <t xml:space="preserve">  AVA REDDY  </t>
  </si>
  <si>
    <t xml:space="preserve">  KABIR MILLER  </t>
  </si>
  <si>
    <t>Aarav Miller</t>
  </si>
  <si>
    <t>mia wilson</t>
  </si>
  <si>
    <t xml:space="preserve">  ADVAIT REDDY  </t>
  </si>
  <si>
    <t>Chloe Thomas</t>
  </si>
  <si>
    <t>Advait Nair</t>
  </si>
  <si>
    <t>advait wilson</t>
  </si>
  <si>
    <t>Olivia Harris</t>
  </si>
  <si>
    <t>Chloe Nair</t>
  </si>
  <si>
    <t>Advait Kapoor</t>
  </si>
  <si>
    <t>Arjun Brown</t>
  </si>
  <si>
    <t xml:space="preserve">  ISHAAN IYER  </t>
  </si>
  <si>
    <t xml:space="preserve">  ISHAAN JACKSON  </t>
  </si>
  <si>
    <t xml:space="preserve">  ARJUN MILLER  </t>
  </si>
  <si>
    <t>sophia clark</t>
  </si>
  <si>
    <t xml:space="preserve">  EMMA JOHNSON  </t>
  </si>
  <si>
    <t>Emma Thomas</t>
  </si>
  <si>
    <t>Grace Miller</t>
  </si>
  <si>
    <t>Mia Miller</t>
  </si>
  <si>
    <t>Rohan White</t>
  </si>
  <si>
    <t xml:space="preserve">  ROHAN THOMAS  </t>
  </si>
  <si>
    <t>chloe davis</t>
  </si>
  <si>
    <t xml:space="preserve">  DANIEL HARRIS  </t>
  </si>
  <si>
    <t xml:space="preserve">  SOPHIA NAIR  </t>
  </si>
  <si>
    <t>ella kapoor</t>
  </si>
  <si>
    <t>Grace Harris</t>
  </si>
  <si>
    <t xml:space="preserve">  ARJUN BROWN  </t>
  </si>
  <si>
    <t>Ella Miller</t>
  </si>
  <si>
    <t>olivia davis</t>
  </si>
  <si>
    <t xml:space="preserve">  OLIVIA THOMAS  </t>
  </si>
  <si>
    <t>GRACE WHITE</t>
  </si>
  <si>
    <t>chloe kapoor</t>
  </si>
  <si>
    <t>ella taylor</t>
  </si>
  <si>
    <t>lily nair</t>
  </si>
  <si>
    <t>Liam White</t>
  </si>
  <si>
    <t xml:space="preserve">  DANIEL BROWN  </t>
  </si>
  <si>
    <t>AVA SHARMA</t>
  </si>
  <si>
    <t>daniel davis</t>
  </si>
  <si>
    <t xml:space="preserve">  ZARA BROWN  </t>
  </si>
  <si>
    <t>ishaan jackson</t>
  </si>
  <si>
    <t>ava taylor</t>
  </si>
  <si>
    <t xml:space="preserve">  GRACE MOORE  </t>
  </si>
  <si>
    <t>Daniel White</t>
  </si>
  <si>
    <t>Rohan Jackson</t>
  </si>
  <si>
    <t>daniel thomas</t>
  </si>
  <si>
    <t>Liam Sharma</t>
  </si>
  <si>
    <t xml:space="preserve">  AVA ANDERSON  </t>
  </si>
  <si>
    <t>Emma Williams</t>
  </si>
  <si>
    <t>ETHAN ANDERSON</t>
  </si>
  <si>
    <t>Zara Jackson</t>
  </si>
  <si>
    <t xml:space="preserve">  SOPHIA TAYLOR  </t>
  </si>
  <si>
    <t xml:space="preserve">  LILY WILSON  </t>
  </si>
  <si>
    <t xml:space="preserve">  ISHAAN TAYLOR  </t>
  </si>
  <si>
    <t xml:space="preserve">  KABIR WILLIAMS  </t>
  </si>
  <si>
    <t>Aarav Sharma</t>
  </si>
  <si>
    <t>kabir moore</t>
  </si>
  <si>
    <t xml:space="preserve">  ISHAAN NAIR  </t>
  </si>
  <si>
    <t xml:space="preserve">  EMMA IYER  </t>
  </si>
  <si>
    <t>daniel nair</t>
  </si>
  <si>
    <t>aarav jackson</t>
  </si>
  <si>
    <t xml:space="preserve">  GRACE JACKSON  </t>
  </si>
  <si>
    <t xml:space="preserve">  ROHAN TAYLOR  </t>
  </si>
  <si>
    <t>olivia taylor</t>
  </si>
  <si>
    <t>advait gupta</t>
  </si>
  <si>
    <t>ishaan anderson</t>
  </si>
  <si>
    <t xml:space="preserve">  LIAM IYER  </t>
  </si>
  <si>
    <t xml:space="preserve">  ZARA TAYLOR  </t>
  </si>
  <si>
    <t>aarav white</t>
  </si>
  <si>
    <t xml:space="preserve">  LILY THOMAS  </t>
  </si>
  <si>
    <t>emma johnson</t>
  </si>
  <si>
    <t>ishaan gupta</t>
  </si>
  <si>
    <t>Aarav Wilson</t>
  </si>
  <si>
    <t xml:space="preserve">  LILY BROWN  </t>
  </si>
  <si>
    <t>AARAV JACKSON</t>
  </si>
  <si>
    <t>Mia Clark</t>
  </si>
  <si>
    <t xml:space="preserve">  AVA IYER  </t>
  </si>
  <si>
    <t xml:space="preserve">  AARAV JACKSON  </t>
  </si>
  <si>
    <t xml:space="preserve">  LILY WHITE  </t>
  </si>
  <si>
    <t xml:space="preserve">  NOAH MOORE  </t>
  </si>
  <si>
    <t>grace harris</t>
  </si>
  <si>
    <t>Sophia Thomas</t>
  </si>
  <si>
    <t>rohan brown</t>
  </si>
  <si>
    <t>ava.williams6@hotmail.com</t>
  </si>
  <si>
    <t>grace.thomas8@yahoo.com</t>
  </si>
  <si>
    <t>zara.jackson33@yahoo.com</t>
  </si>
  <si>
    <t>rohan.wilson73@company.co</t>
  </si>
  <si>
    <t>ethan.johnson71@gmail.com</t>
  </si>
  <si>
    <t>ava.thomas44@gmail.com</t>
  </si>
  <si>
    <t>ishaan.moore14@gmail.com</t>
  </si>
  <si>
    <t>kabir.reddy3@outlook.com</t>
  </si>
  <si>
    <t>ethan.kapoor34@gmail.com</t>
  </si>
  <si>
    <t>daniel.kapoor44@outlook.com</t>
  </si>
  <si>
    <t>noah.miller69@company.co</t>
  </si>
  <si>
    <t>mia.clark8@outlook.com</t>
  </si>
  <si>
    <t>noah.moore87@company.co</t>
  </si>
  <si>
    <t>kabir.wilson40@gmail.com</t>
  </si>
  <si>
    <t>ava.sharma12@gmail.com</t>
  </si>
  <si>
    <t>noah.wilson35@yahoo.com</t>
  </si>
  <si>
    <t>ava.wilson18@outlook.com</t>
  </si>
  <si>
    <t>aarav.jackson1@hotmail.com</t>
  </si>
  <si>
    <t>noah.reddy92@yahoo.com</t>
  </si>
  <si>
    <t>arjun.davis60@outlook.com</t>
  </si>
  <si>
    <t>ethan.jackson84@hotmail.com</t>
  </si>
  <si>
    <t>arjun.anderson33@outlook.com</t>
  </si>
  <si>
    <t>ethan.miller81@gmail.com</t>
  </si>
  <si>
    <t>ethan.davis48@gmail.com</t>
  </si>
  <si>
    <t>ava.wilson17@outlook.com</t>
  </si>
  <si>
    <t>daniel.sharma46@company.co</t>
  </si>
  <si>
    <t>emma.white92@hotmail.com</t>
  </si>
  <si>
    <t>advait.clark79@gmail.com</t>
  </si>
  <si>
    <t>rohan.thomas49@hotmail.com</t>
  </si>
  <si>
    <t>daniel.jackson35@hotmail.com</t>
  </si>
  <si>
    <t>chloe.miller53@hotmail.com</t>
  </si>
  <si>
    <t>ishaan.davis97@company.co</t>
  </si>
  <si>
    <t>zara.iyer13@outlook.com</t>
  </si>
  <si>
    <t>kabir.gupta65@hotmail.com</t>
  </si>
  <si>
    <t>mia.thomas35@hotmail.com</t>
  </si>
  <si>
    <t>rohan.kapoor17@outlook.com</t>
  </si>
  <si>
    <t>liam.moore74@hotmail.com</t>
  </si>
  <si>
    <t>aarav.iyer82@hotmail.com</t>
  </si>
  <si>
    <t>ava.thomas33@hotmail.com</t>
  </si>
  <si>
    <t>ella.williams31@yahoo.com</t>
  </si>
  <si>
    <t>advait.davis94@company.co</t>
  </si>
  <si>
    <t>grace.taylor63@yahoo.com</t>
  </si>
  <si>
    <t>ava.williams59@hotmail.com</t>
  </si>
  <si>
    <t>liam.nair69@company.co</t>
  </si>
  <si>
    <t>ethan.sharma24@outlook.com</t>
  </si>
  <si>
    <t>daniel.nair37@outlook.com</t>
  </si>
  <si>
    <t>kabir.harris1@hotmail.com</t>
  </si>
  <si>
    <t>olivia.brown14@outlook.com</t>
  </si>
  <si>
    <t>chloe.kapoor90@company.co</t>
  </si>
  <si>
    <t>emma.clark76@yahoo.com</t>
  </si>
  <si>
    <t>arjun.thomas31@yahoo.com</t>
  </si>
  <si>
    <t>sophia.nair89@hotmail.com</t>
  </si>
  <si>
    <t>ella.sharma48@yahoo.com</t>
  </si>
  <si>
    <t>arjun.sharma93@hotmail.com</t>
  </si>
  <si>
    <t>mia.iyer98@hotmail.com</t>
  </si>
  <si>
    <t>sophia.wilson36@yahoo.com</t>
  </si>
  <si>
    <t>liam.gupta15@hotmail.com</t>
  </si>
  <si>
    <t>ava.miller19@yahoo.com</t>
  </si>
  <si>
    <t>sophia.anderson8@hotmail.com</t>
  </si>
  <si>
    <t>chloe.thomas68@yahoo.com</t>
  </si>
  <si>
    <t>arjun.clark76@company.co</t>
  </si>
  <si>
    <t>chloe.moore73@hotmail.com</t>
  </si>
  <si>
    <t>ella.white12@gmail.com</t>
  </si>
  <si>
    <t>chloe.sharma70@gmail.com</t>
  </si>
  <si>
    <t>liam.clark75@company.co</t>
  </si>
  <si>
    <t>ella.thomas18@yahoo.com</t>
  </si>
  <si>
    <t>olivia.gupta12@hotmail.com</t>
  </si>
  <si>
    <t>rohan.wilson9@company.co</t>
  </si>
  <si>
    <t>daniel.clark81@yahoo.com</t>
  </si>
  <si>
    <t>ava.sharma75@yahoo.com</t>
  </si>
  <si>
    <t>daniel.reddy87@outlook.com</t>
  </si>
  <si>
    <t>sophia.wilson47@hotmail.com</t>
  </si>
  <si>
    <t>grace.iyer49@gmail.com</t>
  </si>
  <si>
    <t>sophia.harris38@gmail.com</t>
  </si>
  <si>
    <t>emma.jackson1@company.co</t>
  </si>
  <si>
    <t>chloe.brown30@yahoo.com</t>
  </si>
  <si>
    <t>daniel.moore78@company.co</t>
  </si>
  <si>
    <t>daniel.white88@gmail.com</t>
  </si>
  <si>
    <t>olivia.nair13@hotmail.com</t>
  </si>
  <si>
    <t>kabir.thomas22@gmail.com</t>
  </si>
  <si>
    <t>daniel.reddy36@hotmail.com</t>
  </si>
  <si>
    <t>lily.nair35@yahoo.com</t>
  </si>
  <si>
    <t>mia.kapoor28@hotmail.com</t>
  </si>
  <si>
    <t>ethan.reddy7@outlook.com</t>
  </si>
  <si>
    <t>arjun.davis54@yahoo.com</t>
  </si>
  <si>
    <t>arjun.moore46@company.co</t>
  </si>
  <si>
    <t>ella.iyer38@gmail.com</t>
  </si>
  <si>
    <t>grace.white99@gmail.com</t>
  </si>
  <si>
    <t>rohan.nair53@yahoo.com</t>
  </si>
  <si>
    <t>aarav.thomas72@outlook.com</t>
  </si>
  <si>
    <t>emma.wilson23@outlook.com</t>
  </si>
  <si>
    <t>rohan.nair43@hotmail.com</t>
  </si>
  <si>
    <t>noah.anderson57@outlook.com</t>
  </si>
  <si>
    <t>noah.clark50@company.co</t>
  </si>
  <si>
    <t>noah.sharma84@yahoo.com</t>
  </si>
  <si>
    <t>emma.davis21@hotmail.com</t>
  </si>
  <si>
    <t>ethan.jackson40@hotmail.com</t>
  </si>
  <si>
    <t>lily.nair98@company.co</t>
  </si>
  <si>
    <t>ava.johnson11@yahoo.com</t>
  </si>
  <si>
    <t>sophia.clark69@gmail.com</t>
  </si>
  <si>
    <t>grace.wilson44@gmail.com</t>
  </si>
  <si>
    <t>aarav.nair57@yahoo.com</t>
  </si>
  <si>
    <t>noah.davis13@yahoo.com</t>
  </si>
  <si>
    <t>ella.nair86@hotmail.com</t>
  </si>
  <si>
    <t>liam.harris75@yahoo.com</t>
  </si>
  <si>
    <t>ethan.johnson97@company.co</t>
  </si>
  <si>
    <t>emma.davis88@yahoo.com</t>
  </si>
  <si>
    <t>mia.williams36@yahoo.com</t>
  </si>
  <si>
    <t>mia.iyer47@yahoo.com</t>
  </si>
  <si>
    <t>lily.harris16@gmail.com</t>
  </si>
  <si>
    <t>olivia.gupta85@gmail.com</t>
  </si>
  <si>
    <t>emma.moore1@outlook.com</t>
  </si>
  <si>
    <t>chloe.clark31@outlook.com</t>
  </si>
  <si>
    <t>chloe.sharma54@company.co</t>
  </si>
  <si>
    <t>ethan.williams50@hotmail.com</t>
  </si>
  <si>
    <t>ella.thomas48@yahoo.com</t>
  </si>
  <si>
    <t>liam.johnson5@company.co</t>
  </si>
  <si>
    <t>sophia.anderson63@company.co</t>
  </si>
  <si>
    <t>rohan.jackson98@gmail.com</t>
  </si>
  <si>
    <t>mia.gupta25@company.co</t>
  </si>
  <si>
    <t>ella.kapoor71@gmail.com</t>
  </si>
  <si>
    <t>sophia.moore95@company.co</t>
  </si>
  <si>
    <t>zara.davis13@hotmail.com</t>
  </si>
  <si>
    <t>liam.johnson17@gmail.com</t>
  </si>
  <si>
    <t>ethan.jackson85@company.co</t>
  </si>
  <si>
    <t>liam.clark47@company.co</t>
  </si>
  <si>
    <t>ethan.iyer96@gmail.com</t>
  </si>
  <si>
    <t>daniel.nair70@company.co</t>
  </si>
  <si>
    <t>ishaan.taylor42@hotmail.com</t>
  </si>
  <si>
    <t>aarav.sharma52@company.co</t>
  </si>
  <si>
    <t>ishaan.brown7@outlook.com</t>
  </si>
  <si>
    <t>emma.wilson72@outlook.com</t>
  </si>
  <si>
    <t>advait.gupta81@hotmail.com</t>
  </si>
  <si>
    <t>aarav.taylor91@company.co</t>
  </si>
  <si>
    <t>rohan.sharma56@hotmail.com</t>
  </si>
  <si>
    <t>ethan.sharma72@gmail.com</t>
  </si>
  <si>
    <t>ishaan.nair17@outlook.com</t>
  </si>
  <si>
    <t>mia.williams53@yahoo.com</t>
  </si>
  <si>
    <t>kabir.moore77@yahoo.com</t>
  </si>
  <si>
    <t>chloe.brown20@yahoo.com</t>
  </si>
  <si>
    <t>advait.thomas27@yahoo.com</t>
  </si>
  <si>
    <t>ishaan.miller95@outlook.com</t>
  </si>
  <si>
    <t>advait.thomas20@yahoo.com</t>
  </si>
  <si>
    <t>mia.brown34@hotmail.com</t>
  </si>
  <si>
    <t>ella.harris10@company.co</t>
  </si>
  <si>
    <t>liam.williams42@hotmail.com</t>
  </si>
  <si>
    <t>noah.clark56@hotmail.com</t>
  </si>
  <si>
    <t>sophia.williams95@outlook.com</t>
  </si>
  <si>
    <t>arjun.anderson34@gmail.com</t>
  </si>
  <si>
    <t>ishaan.davis83@yahoo.com</t>
  </si>
  <si>
    <t>olivia.wilson7@gmail.com</t>
  </si>
  <si>
    <t>arjun.johnson80@yahoo.com</t>
  </si>
  <si>
    <t>ethan.davis40@company.co</t>
  </si>
  <si>
    <t>lily.kapoor73@outlook.com</t>
  </si>
  <si>
    <t>chloe.davis97@hotmail.com</t>
  </si>
  <si>
    <t>zara.williams71@hotmail.com</t>
  </si>
  <si>
    <t>ethan.miller96@gmail.com</t>
  </si>
  <si>
    <t>sophia.gupta12@yahoo.com</t>
  </si>
  <si>
    <t>kabir.miller26@gmail.com</t>
  </si>
  <si>
    <t>ishaan.sharma74@company.co</t>
  </si>
  <si>
    <t>ella.reddy62@yahoo.com</t>
  </si>
  <si>
    <t>ella.williams80@gmail.com</t>
  </si>
  <si>
    <t>rohan.brown34@hotmail.com</t>
  </si>
  <si>
    <t>grace.nair38@yahoo.com</t>
  </si>
  <si>
    <t>rohan.miller96@yahoo.com</t>
  </si>
  <si>
    <t>liam.williams92@yahoo.com</t>
  </si>
  <si>
    <t>ella.wilson10@yahoo.com</t>
  </si>
  <si>
    <t>chloe.davis24@hotmail.com</t>
  </si>
  <si>
    <t>rohan.davis15@outlook.com</t>
  </si>
  <si>
    <t>noah.brown95@hotmail.com</t>
  </si>
  <si>
    <t>lily.nair76@gmail.com</t>
  </si>
  <si>
    <t>ella.reddy42@yahoo.com</t>
  </si>
  <si>
    <t>ethan.taylor23@company.co</t>
  </si>
  <si>
    <t>ishaan.iyer89@company.co</t>
  </si>
  <si>
    <t>zara.taylor3@yahoo.com</t>
  </si>
  <si>
    <t>grace.iyer10@yahoo.com</t>
  </si>
  <si>
    <t>liam.davis77@yahoo.com</t>
  </si>
  <si>
    <t>aarav.harris49@outlook.com</t>
  </si>
  <si>
    <t>kabir.clark84@yahoo.com</t>
  </si>
  <si>
    <t>aarav.kapoor64@hotmail.com</t>
  </si>
  <si>
    <t>grace.iyer86@yahoo.com</t>
  </si>
  <si>
    <t>kabir.jackson72@company.co</t>
  </si>
  <si>
    <t>chloe.reddy31@outlook.com</t>
  </si>
  <si>
    <t>kabir.brown22@company.co</t>
  </si>
  <si>
    <t>rohan.iyer92@hotmail.com</t>
  </si>
  <si>
    <t>zara.williams43@outlook.com</t>
  </si>
  <si>
    <t>daniel.williams51@company.co</t>
  </si>
  <si>
    <t>sophia.jackson18@gmail.com</t>
  </si>
  <si>
    <t>olivia.jackson73@hotmail.com</t>
  </si>
  <si>
    <t>chloe.miller36@outlook.com</t>
  </si>
  <si>
    <t>sophia.white89@yahoo.com</t>
  </si>
  <si>
    <t>emma.brown46@hotmail.com</t>
  </si>
  <si>
    <t>ethan.reddy22@outlook.com</t>
  </si>
  <si>
    <t>ethan.anderson20@hotmail.com</t>
  </si>
  <si>
    <t>noah.jackson15@company.co</t>
  </si>
  <si>
    <t>daniel.anderson20@hotmail.com</t>
  </si>
  <si>
    <t>lily.davis90@company.co</t>
  </si>
  <si>
    <t>olivia.jackson85@company.co</t>
  </si>
  <si>
    <t>lily.sharma5@gmail.com</t>
  </si>
  <si>
    <t>emma.miller98@hotmail.com</t>
  </si>
  <si>
    <t>olivia.reddy22@company.co</t>
  </si>
  <si>
    <t>olivia.wilson26@gmail.com</t>
  </si>
  <si>
    <t>ishaan.wilson86@yahoo.com</t>
  </si>
  <si>
    <t>lily.iyer97@yahoo.com</t>
  </si>
  <si>
    <t>ella.williams66@yahoo.com</t>
  </si>
  <si>
    <t>ella.harris78@company.co</t>
  </si>
  <si>
    <t>emma.sharma26@hotmail.com</t>
  </si>
  <si>
    <t>ethan.iyer21@yahoo.com</t>
  </si>
  <si>
    <t>chloe.williams58@outlook.com</t>
  </si>
  <si>
    <t>advait.johnson56@hotmail.com</t>
  </si>
  <si>
    <t>noah.clark82@company.co</t>
  </si>
  <si>
    <t>ava.reddy20@gmail.com</t>
  </si>
  <si>
    <t>zara.johnson51@company.co</t>
  </si>
  <si>
    <t>olivia.williams4@yahoo.com</t>
  </si>
  <si>
    <t>advait.johnson30@gmail.com</t>
  </si>
  <si>
    <t>advait.wilson29@gmail.com</t>
  </si>
  <si>
    <t>liam.taylor27@hotmail.com</t>
  </si>
  <si>
    <t>advait.davis59@company.co</t>
  </si>
  <si>
    <t>arjun.reddy12@yahoo.com</t>
  </si>
  <si>
    <t>sophia.gupta47@hotmail.com</t>
  </si>
  <si>
    <t>aarav.jackson52@hotmail.com</t>
  </si>
  <si>
    <t>noah.davis7@gmail.com</t>
  </si>
  <si>
    <t>arjun.jackson87@company.co</t>
  </si>
  <si>
    <t>ishaan.williams81@gmail.com</t>
  </si>
  <si>
    <t>aarav.anderson59@outlook.com</t>
  </si>
  <si>
    <t>noah.brown54@company.co</t>
  </si>
  <si>
    <t>advait.jackson11@yahoo.com</t>
  </si>
  <si>
    <t>liam.reddy74@yahoo.com</t>
  </si>
  <si>
    <t>sophia.miller82@outlook.com</t>
  </si>
  <si>
    <t>zara.thomas50@company.co</t>
  </si>
  <si>
    <t>noah.white60@hotmail.com</t>
  </si>
  <si>
    <t>chloe.brown19@yahoo.com</t>
  </si>
  <si>
    <t>chloe.sharma91@hotmail.com</t>
  </si>
  <si>
    <t>ethan.miller48@hotmail.com</t>
  </si>
  <si>
    <t>noah.iyer69@outlook.com</t>
  </si>
  <si>
    <t>ella.thomas86@gmail.com</t>
  </si>
  <si>
    <t>noah.white51@outlook.com</t>
  </si>
  <si>
    <t>ethan.jackson60@company.co</t>
  </si>
  <si>
    <t>ella.nair7@gmail.com</t>
  </si>
  <si>
    <t>daniel.iyer78@outlook.com</t>
  </si>
  <si>
    <t>rohan.gupta3@hotmail.com</t>
  </si>
  <si>
    <t>olivia.taylor37@hotmail.com</t>
  </si>
  <si>
    <t>noah.reddy4@outlook.com</t>
  </si>
  <si>
    <t>zara.reddy90@company.co</t>
  </si>
  <si>
    <t>chloe.taylor14@company.co</t>
  </si>
  <si>
    <t>mia.white78@outlook.com</t>
  </si>
  <si>
    <t>aarav.nair19@outlook.com</t>
  </si>
  <si>
    <t>ethan.wilson62@outlook.com</t>
  </si>
  <si>
    <t>olivia.moore24@company.co</t>
  </si>
  <si>
    <t>daniel.thomas47@hotmail.com</t>
  </si>
  <si>
    <t>aarav.nair95@outlook.com</t>
  </si>
  <si>
    <t>chloe.reddy19@hotmail.com</t>
  </si>
  <si>
    <t>daniel.davis12@gmail.com</t>
  </si>
  <si>
    <t>zara.gupta25@outlook.com</t>
  </si>
  <si>
    <t>ava.thomas53@hotmail.com</t>
  </si>
  <si>
    <t>advait.thomas33@hotmail.com</t>
  </si>
  <si>
    <t>advait.iyer75@outlook.com</t>
  </si>
  <si>
    <t>ava.sharma24@outlook.com</t>
  </si>
  <si>
    <t>aarav.reddy4@hotmail.com</t>
  </si>
  <si>
    <t>ethan.nair23@hotmail.com</t>
  </si>
  <si>
    <t>mia.harris36@yahoo.com</t>
  </si>
  <si>
    <t>rohan.anderson53@company.co</t>
  </si>
  <si>
    <t>daniel.anderson78@yahoo.com</t>
  </si>
  <si>
    <t>chloe.sharma67@yahoo.com</t>
  </si>
  <si>
    <t>lily.nair77@outlook.com</t>
  </si>
  <si>
    <t>chloe.clark24@outlook.com</t>
  </si>
  <si>
    <t>sophia.clark48@gmail.com</t>
  </si>
  <si>
    <t>aarav.jackson11@company.co</t>
  </si>
  <si>
    <t>sophia.anderson29@outlook.com</t>
  </si>
  <si>
    <t>sophia.kapoor74@company.co</t>
  </si>
  <si>
    <t>ishaan.clark78@outlook.com</t>
  </si>
  <si>
    <t>noah.sharma13@outlook.com</t>
  </si>
  <si>
    <t>ishaan.taylor76@yahoo.com</t>
  </si>
  <si>
    <t>ishaan.wilson90@yahoo.com</t>
  </si>
  <si>
    <t>liam.gupta83@yahoo.com</t>
  </si>
  <si>
    <t>olivia.sharma43@company.co</t>
  </si>
  <si>
    <t>arjun.thomas27@company.co</t>
  </si>
  <si>
    <t>zara.gupta55@yahoo.com</t>
  </si>
  <si>
    <t>ishaan.moore5@hotmail.com</t>
  </si>
  <si>
    <t>sophia.sharma69@company.co</t>
  </si>
  <si>
    <t>kabir.davis59@outlook.com</t>
  </si>
  <si>
    <t>sophia.sharma3@outlook.com</t>
  </si>
  <si>
    <t>zara.sharma45@company.co</t>
  </si>
  <si>
    <t>ethan.johnson3@yahoo.com</t>
  </si>
  <si>
    <t>kabir.wilson74@hotmail.com</t>
  </si>
  <si>
    <t>kabir.iyer97@company.co</t>
  </si>
  <si>
    <t>noah.brown98@company.co</t>
  </si>
  <si>
    <t>grace.miller36@yahoo.com</t>
  </si>
  <si>
    <t>olivia.anderson33@outlook.com</t>
  </si>
  <si>
    <t>lily.davis31@outlook.com</t>
  </si>
  <si>
    <t>kabir.nair42@outlook.com</t>
  </si>
  <si>
    <t>olivia.thomas25@outlook.com</t>
  </si>
  <si>
    <t>sophia.gupta38@company.co</t>
  </si>
  <si>
    <t>ella.miller28@yahoo.com</t>
  </si>
  <si>
    <t>ishaan.brown6@gmail.com</t>
  </si>
  <si>
    <t>arjun.sharma89@hotmail.com</t>
  </si>
  <si>
    <t>aarav.white13@company.co</t>
  </si>
  <si>
    <t>kabir.kapoor75@hotmail.com</t>
  </si>
  <si>
    <t>lily.johnson44@gmail.com</t>
  </si>
  <si>
    <t>noah.wilson62@hotmail.com</t>
  </si>
  <si>
    <t>emma.clark18@company.co</t>
  </si>
  <si>
    <t>liam.taylor78@outlook.com</t>
  </si>
  <si>
    <t>daniel.anderson47@yahoo.com</t>
  </si>
  <si>
    <t>zara.anderson16@outlook.com</t>
  </si>
  <si>
    <t>aarav.brown84@company.co</t>
  </si>
  <si>
    <t>noah.reddy4@company.co</t>
  </si>
  <si>
    <t>ethan.white11@gmail.com</t>
  </si>
  <si>
    <t>olivia.jackson16@gmail.com</t>
  </si>
  <si>
    <t>noah.thomas9@yahoo.com</t>
  </si>
  <si>
    <t>kabir.miller32@yahoo.com</t>
  </si>
  <si>
    <t>emma.taylor5@outlook.com</t>
  </si>
  <si>
    <t>kabir.brown86@company.co</t>
  </si>
  <si>
    <t>olivia.kapoor3@yahoo.com</t>
  </si>
  <si>
    <t>ethan.anderson35@yahoo.com</t>
  </si>
  <si>
    <t>daniel.reddy49@yahoo.com</t>
  </si>
  <si>
    <t>ella.davis99@outlook.com</t>
  </si>
  <si>
    <t>ishaan.johnson69@gmail.com</t>
  </si>
  <si>
    <t>rohan.kapoor83@hotmail.com</t>
  </si>
  <si>
    <t>sophia.sharma57@yahoo.com</t>
  </si>
  <si>
    <t>sophia.clark30@company.co</t>
  </si>
  <si>
    <t>liam.miller7@company.co</t>
  </si>
  <si>
    <t>noah.white62@outlook.com</t>
  </si>
  <si>
    <t>ishaan.johnson71@gmail.com</t>
  </si>
  <si>
    <t>ishaan.nair3@yahoo.com</t>
  </si>
  <si>
    <t>emma.harris90@yahoo.com</t>
  </si>
  <si>
    <t>grace.iyer28@hotmail.com</t>
  </si>
  <si>
    <t>liam.taylor64@company.co</t>
  </si>
  <si>
    <t>emma.taylor13@company.co</t>
  </si>
  <si>
    <t>daniel.davis82@outlook.com</t>
  </si>
  <si>
    <t>daniel.gupta80@outlook.com</t>
  </si>
  <si>
    <t>mia.moore67@gmail.com</t>
  </si>
  <si>
    <t>noah.harris95@outlook.com</t>
  </si>
  <si>
    <t>ethan.johnson78@company.co</t>
  </si>
  <si>
    <t>sophia.kapoor5@hotmail.com</t>
  </si>
  <si>
    <t>ava.davis31@outlook.com</t>
  </si>
  <si>
    <t>grace.anderson63@gmail.com</t>
  </si>
  <si>
    <t>ella.brown30@gmail.com</t>
  </si>
  <si>
    <t>olivia.williams81@outlook.com</t>
  </si>
  <si>
    <t>sophia.miller57@gmail.com</t>
  </si>
  <si>
    <t>lily.anderson86@company.co</t>
  </si>
  <si>
    <t>advait.jackson57@gmail.com</t>
  </si>
  <si>
    <t>ethan.harris50@outlook.com</t>
  </si>
  <si>
    <t>sophia.sharma62@company.co</t>
  </si>
  <si>
    <t>liam.gupta72@company.co</t>
  </si>
  <si>
    <t>ella.wilson74@outlook.com</t>
  </si>
  <si>
    <t>noah.reddy44@hotmail.com</t>
  </si>
  <si>
    <t>olivia.reddy29@hotmail.com</t>
  </si>
  <si>
    <t>daniel.reddy56@company.co</t>
  </si>
  <si>
    <t>aarav.white65@company.co</t>
  </si>
  <si>
    <t>zara.williams26@yahoo.com</t>
  </si>
  <si>
    <t>olivia.reddy55@hotmail.com</t>
  </si>
  <si>
    <t>grace.clark56@company.co</t>
  </si>
  <si>
    <t>arjun.harris57@outlook.com</t>
  </si>
  <si>
    <t>arjun.nair82@hotmail.com</t>
  </si>
  <si>
    <t>noah.jackson49@hotmail.com</t>
  </si>
  <si>
    <t>kabir.white76@hotmail.com</t>
  </si>
  <si>
    <t>kabir.davis11@gmail.com</t>
  </si>
  <si>
    <t>olivia.brown52@outlook.com</t>
  </si>
  <si>
    <t>aarav.taylor90@gmail.com</t>
  </si>
  <si>
    <t>emma.wilson25@hotmail.com</t>
  </si>
  <si>
    <t>kabir.jackson32@hotmail.com</t>
  </si>
  <si>
    <t>grace.clark92@outlook.com</t>
  </si>
  <si>
    <t>rohan.williams85@gmail.com</t>
  </si>
  <si>
    <t>ishaan.thomas86@yahoo.com</t>
  </si>
  <si>
    <t>rohan.wilson48@outlook.com</t>
  </si>
  <si>
    <t>lily.harris71@hotmail.com</t>
  </si>
  <si>
    <t>ishaan.iyer90@yahoo.com</t>
  </si>
  <si>
    <t>arjun.thomas58@outlook.com</t>
  </si>
  <si>
    <t>ethan.williams52@company.co</t>
  </si>
  <si>
    <t>ava.brown80@outlook.com</t>
  </si>
  <si>
    <t>ella.davis51@yahoo.com</t>
  </si>
  <si>
    <t>chloe.harris62@company.co</t>
  </si>
  <si>
    <t>advait.taylor58@outlook.com</t>
  </si>
  <si>
    <t>lily.harris95@outlook.com</t>
  </si>
  <si>
    <t>ella.anderson73@hotmail.com</t>
  </si>
  <si>
    <t>daniel.kapoor22@hotmail.com</t>
  </si>
  <si>
    <t>ava.williams55@outlook.com</t>
  </si>
  <si>
    <t>arjun.davis74@gmail.com</t>
  </si>
  <si>
    <t>aarav.anderson57@hotmail.com</t>
  </si>
  <si>
    <t>rohan.thomas67@yahoo.com</t>
  </si>
  <si>
    <t>rohan.sharma44@hotmail.com</t>
  </si>
  <si>
    <t>rohan.harris45@gmail.com</t>
  </si>
  <si>
    <t>grace.clark86@outlook.com</t>
  </si>
  <si>
    <t>sophia.clark94@gmail.com</t>
  </si>
  <si>
    <t>noah.iyer33@outlook.com</t>
  </si>
  <si>
    <t>ella.harris32@outlook.com</t>
  </si>
  <si>
    <t>lily.iyer72@yahoo.com</t>
  </si>
  <si>
    <t>ethan.taylor17@gmail.com</t>
  </si>
  <si>
    <t>emma.davis63@hotmail.com</t>
  </si>
  <si>
    <t>grace.kapoor53@hotmail.com</t>
  </si>
  <si>
    <t>grace.reddy33@yahoo.com</t>
  </si>
  <si>
    <t>liam.kapoor74@company.co</t>
  </si>
  <si>
    <t>daniel.kapoor65@gmail.com</t>
  </si>
  <si>
    <t>olivia.reddy68@company.co</t>
  </si>
  <si>
    <t>arjun.thomas97@company.co</t>
  </si>
  <si>
    <t>sophia.davis21@gmail.com</t>
  </si>
  <si>
    <t>olivia.harris57@outlook.com</t>
  </si>
  <si>
    <t>rohan.iyer81@gmail.com</t>
  </si>
  <si>
    <t>olivia.iyer60@company.co</t>
  </si>
  <si>
    <t>lily.clark69@yahoo.com</t>
  </si>
  <si>
    <t>mia.taylor5@outlook.com</t>
  </si>
  <si>
    <t>ethan.harris2@outlook.com</t>
  </si>
  <si>
    <t>ava.johnson21@yahoo.com</t>
  </si>
  <si>
    <t>sophia.white43@outlook.com</t>
  </si>
  <si>
    <t>chloe.johnson30@outlook.com</t>
  </si>
  <si>
    <t>zara.johnson52@outlook.com</t>
  </si>
  <si>
    <t>emma.iyer75@hotmail.com</t>
  </si>
  <si>
    <t>advait.clark5@hotmail.com</t>
  </si>
  <si>
    <t>ethan.anderson36@yahoo.com</t>
  </si>
  <si>
    <t>grace.wilson26@outlook.com</t>
  </si>
  <si>
    <t>advait.brown83@hotmail.com</t>
  </si>
  <si>
    <t>mia.gupta10@gmail.com</t>
  </si>
  <si>
    <t>lily.johnson97@hotmail.com</t>
  </si>
  <si>
    <t>olivia.iyer38@gmail.com</t>
  </si>
  <si>
    <t>liam.reddy52@yahoo.com</t>
  </si>
  <si>
    <t>ella.moore97@outlook.com</t>
  </si>
  <si>
    <t>ishaan.nair20@yahoo.com</t>
  </si>
  <si>
    <t>ella.harris93@hotmail.com</t>
  </si>
  <si>
    <t>lily.brown89@outlook.com</t>
  </si>
  <si>
    <t>zara.anderson44@outlook.com</t>
  </si>
  <si>
    <t>sophia.davis18@gmail.com</t>
  </si>
  <si>
    <t>kabir.reddy25@gmail.com</t>
  </si>
  <si>
    <t>aarav.anderson97@hotmail.com</t>
  </si>
  <si>
    <t>ava.taylor55@gmail.com</t>
  </si>
  <si>
    <t>kabir.williams45@gmail.com</t>
  </si>
  <si>
    <t>grace.gupta1@gmail.com</t>
  </si>
  <si>
    <t>arjun.white54@company.co</t>
  </si>
  <si>
    <t>ella.iyer20@company.co</t>
  </si>
  <si>
    <t>grace.moore55@gmail.com</t>
  </si>
  <si>
    <t>daniel.johnson9@outlook.com</t>
  </si>
  <si>
    <t>kabir.taylor50@yahoo.com</t>
  </si>
  <si>
    <t>sophia.clark53@company.co</t>
  </si>
  <si>
    <t>ella.williams32@company.co</t>
  </si>
  <si>
    <t>ella.williams80@company.co</t>
  </si>
  <si>
    <t>emma.moore15@yahoo.com</t>
  </si>
  <si>
    <t>olivia.taylor55@yahoo.com</t>
  </si>
  <si>
    <t>ishaan.johnson43@hotmail.com</t>
  </si>
  <si>
    <t>sophia.taylor16@yahoo.com</t>
  </si>
  <si>
    <t>noah.brown60@hotmail.com</t>
  </si>
  <si>
    <t>liam.nair94@company.co</t>
  </si>
  <si>
    <t>ethan.white66@hotmail.com</t>
  </si>
  <si>
    <t>ella.brown75@company.co</t>
  </si>
  <si>
    <t>emma.white72@company.co</t>
  </si>
  <si>
    <t>olivia.reddy8@gmail.com</t>
  </si>
  <si>
    <t>ishaan.iyer69@outlook.com</t>
  </si>
  <si>
    <t>aarav.harris2@yahoo.com</t>
  </si>
  <si>
    <t>chloe.johnson37@hotmail.com</t>
  </si>
  <si>
    <t>grace.johnson93@gmail.com</t>
  </si>
  <si>
    <t>advait.reddy93@yahoo.com</t>
  </si>
  <si>
    <t>grace.kapoor59@yahoo.com</t>
  </si>
  <si>
    <t>rohan.johnson91@company.co</t>
  </si>
  <si>
    <t>zara.davis4@outlook.com</t>
  </si>
  <si>
    <t>ava.kapoor67@hotmail.com</t>
  </si>
  <si>
    <t>daniel.thomas92@company.co</t>
  </si>
  <si>
    <t>olivia.gupta34@yahoo.com</t>
  </si>
  <si>
    <t>ella.sharma33@company.co</t>
  </si>
  <si>
    <t>emma.white51@company.co</t>
  </si>
  <si>
    <t>kabir.harris9@gmail.com</t>
  </si>
  <si>
    <t>grace.jackson27@company.co</t>
  </si>
  <si>
    <t>ishaan.white88@hotmail.com</t>
  </si>
  <si>
    <t>noah.nair50@company.co</t>
  </si>
  <si>
    <t>daniel.nair45@company.co</t>
  </si>
  <si>
    <t>lily.clark92@gmail.com</t>
  </si>
  <si>
    <t>ava.brown31@hotmail.com</t>
  </si>
  <si>
    <t>ava.white47@gmail.com</t>
  </si>
  <si>
    <t>noah.jackson58@outlook.com</t>
  </si>
  <si>
    <t>olivia.white80@outlook.com</t>
  </si>
  <si>
    <t>kabir.white2@gmail.com</t>
  </si>
  <si>
    <t>aarav.taylor82@yahoo.com</t>
  </si>
  <si>
    <t>liam.johnson77@gmail.com</t>
  </si>
  <si>
    <t>noah.kapoor52@company.co</t>
  </si>
  <si>
    <t>olivia.gupta57@gmail.com</t>
  </si>
  <si>
    <t>olivia.moore20@hotmail.com</t>
  </si>
  <si>
    <t>grace.white55@company.co</t>
  </si>
  <si>
    <t>zara.taylor28@hotmail.com</t>
  </si>
  <si>
    <t>mia.reddy33@company.co</t>
  </si>
  <si>
    <t>noah.taylor35@outlook.com</t>
  </si>
  <si>
    <t>grace.gupta90@company.co</t>
  </si>
  <si>
    <t>zara.white68@gmail.com</t>
  </si>
  <si>
    <t>daniel.anderson82@gmail.com</t>
  </si>
  <si>
    <t>ethan.moore48@yahoo.com</t>
  </si>
  <si>
    <t>aarav.reddy12@outlook.com</t>
  </si>
  <si>
    <t>ishaan.davis46@yahoo.com</t>
  </si>
  <si>
    <t>chloe.iyer93@company.co</t>
  </si>
  <si>
    <t>ava.miller90@hotmail.com</t>
  </si>
  <si>
    <t>chloe.moore41@outlook.com</t>
  </si>
  <si>
    <t>advait.white34@company.co</t>
  </si>
  <si>
    <t>kabir.white21@company.co</t>
  </si>
  <si>
    <t>noah.clark17@hotmail.com</t>
  </si>
  <si>
    <t>mia.nair55@outlook.com</t>
  </si>
  <si>
    <t>kabir.taylor2@yahoo.com</t>
  </si>
  <si>
    <t>ava.johnson31@company.co</t>
  </si>
  <si>
    <t>lily.harris41@company.co</t>
  </si>
  <si>
    <t>kabir.thomas23@gmail.com</t>
  </si>
  <si>
    <t>advait.harris18@outlook.com</t>
  </si>
  <si>
    <t>aarav.nair45@gmail.com</t>
  </si>
  <si>
    <t>sophia.johnson56@yahoo.com</t>
  </si>
  <si>
    <t>emma.iyer43@outlook.com</t>
  </si>
  <si>
    <t>daniel.sharma74@outlook.com</t>
  </si>
  <si>
    <t>rohan.davis5@yahoo.com</t>
  </si>
  <si>
    <t>lily.nair3@gmail.com</t>
  </si>
  <si>
    <t>sophia.nair22@outlook.com</t>
  </si>
  <si>
    <t>ishaan.gupta56@hotmail.com</t>
  </si>
  <si>
    <t>rohan.gupta85@company.co</t>
  </si>
  <si>
    <t>sophia.iyer79@yahoo.com</t>
  </si>
  <si>
    <t>noah.clark53@hotmail.com</t>
  </si>
  <si>
    <t>noah.miller16@yahoo.com</t>
  </si>
  <si>
    <t>zara.moore87@yahoo.com</t>
  </si>
  <si>
    <t>zara.williams3@hotmail.com</t>
  </si>
  <si>
    <t>noah.harris52@yahoo.com</t>
  </si>
  <si>
    <t>mia.miller60@outlook.com</t>
  </si>
  <si>
    <t>daniel.moore57@company.co</t>
  </si>
  <si>
    <t>mia.nair60@outlook.com</t>
  </si>
  <si>
    <t>ava.iyer24@outlook.com</t>
  </si>
  <si>
    <t>arjun.clark70@gmail.com</t>
  </si>
  <si>
    <t>ishaan.reddy42@company.co</t>
  </si>
  <si>
    <t>daniel.kapoor31@yahoo.com</t>
  </si>
  <si>
    <t>grace.nair50@hotmail.com</t>
  </si>
  <si>
    <t>ethan.kapoor43@gmail.com</t>
  </si>
  <si>
    <t>chloe.anderson6@hotmail.com</t>
  </si>
  <si>
    <t>olivia.nair19@gmail.com</t>
  </si>
  <si>
    <t>sophia.moore43@hotmail.com</t>
  </si>
  <si>
    <t>sophia.iyer86@gmail.com</t>
  </si>
  <si>
    <t>olivia.clark69@company.co</t>
  </si>
  <si>
    <t>olivia.clark37@company.co</t>
  </si>
  <si>
    <t>kabir.brown95@company.co</t>
  </si>
  <si>
    <t>ava.clark19@company.co</t>
  </si>
  <si>
    <t>daniel.wilson7@yahoo.com</t>
  </si>
  <si>
    <t>daniel.taylor32@outlook.com</t>
  </si>
  <si>
    <t>lily.taylor90@company.co</t>
  </si>
  <si>
    <t>sophia.miller15@gmail.com</t>
  </si>
  <si>
    <t>rohan.reddy30@gmail.com</t>
  </si>
  <si>
    <t>rohan.white35@yahoo.com</t>
  </si>
  <si>
    <t>noah.harris30@gmail.com</t>
  </si>
  <si>
    <t>liam.nair32@gmail.com</t>
  </si>
  <si>
    <t>ella.thomas33@outlook.com</t>
  </si>
  <si>
    <t>zara.anderson11@outlook.com</t>
  </si>
  <si>
    <t>olivia.brown39@yahoo.com</t>
  </si>
  <si>
    <t>daniel.harris50@hotmail.com</t>
  </si>
  <si>
    <t>sophia.williams36@gmail.com</t>
  </si>
  <si>
    <t>rohan.nair83@hotmail.com</t>
  </si>
  <si>
    <t>kabir.clark77@hotmail.com</t>
  </si>
  <si>
    <t>mia.brown70@yahoo.com</t>
  </si>
  <si>
    <t>ethan.jackson57@yahoo.com</t>
  </si>
  <si>
    <t>kabir.brown50@company.co</t>
  </si>
  <si>
    <t>grace.davis75@outlook.com</t>
  </si>
  <si>
    <t>daniel.kapoor28@hotmail.com</t>
  </si>
  <si>
    <t>rohan.gupta34@hotmail.com</t>
  </si>
  <si>
    <t>sophia.wilson79@outlook.com</t>
  </si>
  <si>
    <t>noah.gupta32@hotmail.com</t>
  </si>
  <si>
    <t>noah.wilson57@gmail.com</t>
  </si>
  <si>
    <t>ella.reddy2@company.co</t>
  </si>
  <si>
    <t>lily.moore44@yahoo.com</t>
  </si>
  <si>
    <t>arjun.jackson39@gmail.com</t>
  </si>
  <si>
    <t>noah.williams83@gmail.com</t>
  </si>
  <si>
    <t>sophia.harris81@gmail.com</t>
  </si>
  <si>
    <t>noah.sharma61@company.co</t>
  </si>
  <si>
    <t>mia.clark15@gmail.com</t>
  </si>
  <si>
    <t>aarav.thomas11@outlook.com</t>
  </si>
  <si>
    <t>mia.white98@yahoo.com</t>
  </si>
  <si>
    <t>lily.reddy18@gmail.com</t>
  </si>
  <si>
    <t>chloe.sharma40@outlook.com</t>
  </si>
  <si>
    <t>emma.kapoor6@yahoo.com</t>
  </si>
  <si>
    <t>ethan.anderson80@outlook.com</t>
  </si>
  <si>
    <t>olivia.williams85@yahoo.com</t>
  </si>
  <si>
    <t>noah.iyer84@outlook.com</t>
  </si>
  <si>
    <t>mia.white47@gmail.com</t>
  </si>
  <si>
    <t>chloe.brown99@outlook.com</t>
  </si>
  <si>
    <t>lily.white74@outlook.com</t>
  </si>
  <si>
    <t>ethan.johnson83@company.co</t>
  </si>
  <si>
    <t>daniel.harris45@outlook.com</t>
  </si>
  <si>
    <t>sophia.iyer90@outlook.com</t>
  </si>
  <si>
    <t>lily.anderson19@hotmail.com</t>
  </si>
  <si>
    <t>lily.kapoor1@gmail.com</t>
  </si>
  <si>
    <t>lily.anderson85@hotmail.com</t>
  </si>
  <si>
    <t>emma.white44@gmail.com</t>
  </si>
  <si>
    <t>zara.williams75@yahoo.com</t>
  </si>
  <si>
    <t>mia.clark3@outlook.com</t>
  </si>
  <si>
    <t>aarav.taylor35@gmail.com</t>
  </si>
  <si>
    <t>sophia.kapoor61@gmail.com</t>
  </si>
  <si>
    <t>emma.davis97@company.co</t>
  </si>
  <si>
    <t>liam.moore25@yahoo.com</t>
  </si>
  <si>
    <t>daniel.anderson45@company.co</t>
  </si>
  <si>
    <t>lily.williams42@outlook.com</t>
  </si>
  <si>
    <t>noah.sharma53@gmail.com</t>
  </si>
  <si>
    <t>ethan.brown66@hotmail.com</t>
  </si>
  <si>
    <t>grace.sharma35@company.co</t>
  </si>
  <si>
    <t>mia.davis15@company.co</t>
  </si>
  <si>
    <t>arjun.anderson35@hotmail.com</t>
  </si>
  <si>
    <t>sophia.sharma14@company.co</t>
  </si>
  <si>
    <t>advait.clark41@outlook.com</t>
  </si>
  <si>
    <t>advait.reddy31@company.co</t>
  </si>
  <si>
    <t>arjun.moore54@outlook.com</t>
  </si>
  <si>
    <t>sophia.harris68@outlook.com</t>
  </si>
  <si>
    <t>emma.taylor76@gmail.com</t>
  </si>
  <si>
    <t>kabir.nair35@gmail.com</t>
  </si>
  <si>
    <t>aarav.kapoor17@hotmail.com</t>
  </si>
  <si>
    <t>noah.anderson76@gmail.com</t>
  </si>
  <si>
    <t>ella.taylor15@outlook.com</t>
  </si>
  <si>
    <t>ava.reddy53@yahoo.com</t>
  </si>
  <si>
    <t>chloe.sharma76@gmail.com</t>
  </si>
  <si>
    <t>mia.nair6@yahoo.com</t>
  </si>
  <si>
    <t>daniel.jackson68@gmail.com</t>
  </si>
  <si>
    <t>ethan.white42@gmail.com</t>
  </si>
  <si>
    <t>emma.iyer22@yahoo.com</t>
  </si>
  <si>
    <t>ella.thomas76@company.co</t>
  </si>
  <si>
    <t>chloe.moore16@company.co</t>
  </si>
  <si>
    <t>arjun.miller57@hotmail.com</t>
  </si>
  <si>
    <t>ava.gupta97@outlook.com</t>
  </si>
  <si>
    <t>zara.thomas5@hotmail.com</t>
  </si>
  <si>
    <t>rohan.brown81@company.co</t>
  </si>
  <si>
    <t>daniel.taylor25@gmail.com</t>
  </si>
  <si>
    <t>lily.thomas52@yahoo.com</t>
  </si>
  <si>
    <t>sophia.reddy81@outlook.com</t>
  </si>
  <si>
    <t>zara.white34@yahoo.com</t>
  </si>
  <si>
    <t>chloe.davis43@company.co</t>
  </si>
  <si>
    <t>mia.anderson57@hotmail.com</t>
  </si>
  <si>
    <t>ava.williams52@yahoo.com</t>
  </si>
  <si>
    <t>advait.clark92@company.co</t>
  </si>
  <si>
    <t>mia.jackson37@yahoo.com</t>
  </si>
  <si>
    <t>lily.johnson10@hotmail.com</t>
  </si>
  <si>
    <t>emma.johnson96@hotmail.com</t>
  </si>
  <si>
    <t>daniel.iyer82@hotmail.com</t>
  </si>
  <si>
    <t>chloe.gupta66@hotmail.com</t>
  </si>
  <si>
    <t>kabir.white15@yahoo.com</t>
  </si>
  <si>
    <t>mia.iyer30@gmail.com</t>
  </si>
  <si>
    <t>olivia.thomas73@hotmail.com</t>
  </si>
  <si>
    <t>ava.white6@hotmail.com</t>
  </si>
  <si>
    <t>lily.clark14@company.co</t>
  </si>
  <si>
    <t>olivia.kapoor56@hotmail.com</t>
  </si>
  <si>
    <t>liam.johnson85@outlook.com</t>
  </si>
  <si>
    <t>daniel.anderson57@gmail.com</t>
  </si>
  <si>
    <t>daniel.moore75@outlook.com</t>
  </si>
  <si>
    <t>lily.iyer99@gmail.com</t>
  </si>
  <si>
    <t>noah.clark97@hotmail.com</t>
  </si>
  <si>
    <t>ella.sharma6@yahoo.com</t>
  </si>
  <si>
    <t>olivia.reddy66@yahoo.com</t>
  </si>
  <si>
    <t>ishaan.nair64@hotmail.com</t>
  </si>
  <si>
    <t>aarav.harris79@gmail.com</t>
  </si>
  <si>
    <t>advait.iyer3@company.co</t>
  </si>
  <si>
    <t>ethan.davis2@yahoo.com</t>
  </si>
  <si>
    <t>chloe.williams83@outlook.com</t>
  </si>
  <si>
    <t>zara.brown92@outlook.com</t>
  </si>
  <si>
    <t>ava.jackson55@outlook.com</t>
  </si>
  <si>
    <t>chloe.brown59@company.co</t>
  </si>
  <si>
    <t>noah.wilson17@outlook.com</t>
  </si>
  <si>
    <t>olivia.brown91@yahoo.com</t>
  </si>
  <si>
    <t>olivia.gupta91@yahoo.com</t>
  </si>
  <si>
    <t>grace.iyer61@gmail.com</t>
  </si>
  <si>
    <t>chloe.sharma41@hotmail.com</t>
  </si>
  <si>
    <t>ishaan.miller6@gmail.com</t>
  </si>
  <si>
    <t>lily.iyer93@yahoo.com</t>
  </si>
  <si>
    <t>aarav.johnson96@outlook.com</t>
  </si>
  <si>
    <t>grace.kapoor17@hotmail.com</t>
  </si>
  <si>
    <t>ishaan.gupta41@gmail.com</t>
  </si>
  <si>
    <t>olivia.iyer38@outlook.com</t>
  </si>
  <si>
    <t>rohan.reddy72@company.co</t>
  </si>
  <si>
    <t>ethan.sharma94@outlook.com</t>
  </si>
  <si>
    <t>grace.white20@company.co</t>
  </si>
  <si>
    <t>sophia.kapoor38@yahoo.com</t>
  </si>
  <si>
    <t>zara.davis18@outlook.com</t>
  </si>
  <si>
    <t>grace.white49@yahoo.com</t>
  </si>
  <si>
    <t>zara.harris23@company.co</t>
  </si>
  <si>
    <t>noah.williams91@gmail.com</t>
  </si>
  <si>
    <t>advait.miller33@outlook.com</t>
  </si>
  <si>
    <t>liam.davis81@hotmail.com</t>
  </si>
  <si>
    <t>ella.sharma89@outlook.com</t>
  </si>
  <si>
    <t>emma.gupta3@gmail.com</t>
  </si>
  <si>
    <t>ethan.davis53@company.co</t>
  </si>
  <si>
    <t>kabir.reddy62@company.co</t>
  </si>
  <si>
    <t>arjun.johnson3@company.co</t>
  </si>
  <si>
    <t>liam.harris69@gmail.com</t>
  </si>
  <si>
    <t>advait.sharma82@yahoo.com</t>
  </si>
  <si>
    <t>aarav.iyer11@company.co</t>
  </si>
  <si>
    <t>olivia.jackson95@outlook.com</t>
  </si>
  <si>
    <t>ethan.clark33@gmail.com</t>
  </si>
  <si>
    <t>olivia.clark94@gmail.com</t>
  </si>
  <si>
    <t>liam.taylor71@company.co</t>
  </si>
  <si>
    <t>noah.miller21@yahoo.com</t>
  </si>
  <si>
    <t>aarav.anderson21@gmail.com</t>
  </si>
  <si>
    <t>sophia.taylor44@gmail.com</t>
  </si>
  <si>
    <t>liam.kapoor65@gmail.com</t>
  </si>
  <si>
    <t>ella.brown82@yahoo.com</t>
  </si>
  <si>
    <t>ella.johnson70@yahoo.com</t>
  </si>
  <si>
    <t>rohan.reddy44@hotmail.com</t>
  </si>
  <si>
    <t>ishaan.wilson55@hotmail.com</t>
  </si>
  <si>
    <t>zara.white50@gmail.com</t>
  </si>
  <si>
    <t>kabir.iyer86@outlook.com</t>
  </si>
  <si>
    <t>aarav.nair4@gmail.com</t>
  </si>
  <si>
    <t>aarav.iyer20@gmail.com</t>
  </si>
  <si>
    <t>emma.anderson75@hotmail.com</t>
  </si>
  <si>
    <t>kabir.kapoor95@hotmail.com</t>
  </si>
  <si>
    <t>ella.reddy82@hotmail.com</t>
  </si>
  <si>
    <t>rohan.nair71@company.co</t>
  </si>
  <si>
    <t>kabir.iyer77@company.co</t>
  </si>
  <si>
    <t>ava.jackson15@company.co</t>
  </si>
  <si>
    <t>daniel.kapoor27@hotmail.com</t>
  </si>
  <si>
    <t>ishaan.anderson11@company.co</t>
  </si>
  <si>
    <t>ethan.thomas56@hotmail.com</t>
  </si>
  <si>
    <t>grace.johnson67@yahoo.com</t>
  </si>
  <si>
    <t>emma.kapoor62@company.co</t>
  </si>
  <si>
    <t>liam.thomas29@yahoo.com</t>
  </si>
  <si>
    <t>ishaan.jackson88@gmail.com</t>
  </si>
  <si>
    <t>arjun.gupta36@company.co</t>
  </si>
  <si>
    <t>daniel.gupta24@gmail.com</t>
  </si>
  <si>
    <t>rohan.gupta75@company.co</t>
  </si>
  <si>
    <t>ella.reddy24@company.co</t>
  </si>
  <si>
    <t>daniel.miller19@gmail.com</t>
  </si>
  <si>
    <t>emma.taylor25@yahoo.com</t>
  </si>
  <si>
    <t>kabir.johnson12@yahoo.com</t>
  </si>
  <si>
    <t>sophia.brown54@company.co</t>
  </si>
  <si>
    <t>liam.johnson9@gmail.com</t>
  </si>
  <si>
    <t>aarav.anderson63@outlook.com</t>
  </si>
  <si>
    <t>chloe.davis93@hotmail.com</t>
  </si>
  <si>
    <t>ishaan.harris69@hotmail.com</t>
  </si>
  <si>
    <t>chloe.wilson26@company.co</t>
  </si>
  <si>
    <t>ella.kapoor90@hotmail.com</t>
  </si>
  <si>
    <t>lily.williams67@gmail.com</t>
  </si>
  <si>
    <t>ella.reddy51@outlook.com</t>
  </si>
  <si>
    <t>emma.brown72@yahoo.com</t>
  </si>
  <si>
    <t>advait.brown41@company.co</t>
  </si>
  <si>
    <t>liam.kapoor68@company.co</t>
  </si>
  <si>
    <t>rohan.anderson70@yahoo.com</t>
  </si>
  <si>
    <t>ella.taylor40@outlook.com</t>
  </si>
  <si>
    <t>aarav.davis34@hotmail.com</t>
  </si>
  <si>
    <t>daniel.kapoor35@hotmail.com</t>
  </si>
  <si>
    <t>sophia.iyer78@gmail.com</t>
  </si>
  <si>
    <t>sophia.gupta34@yahoo.com</t>
  </si>
  <si>
    <t>kabir.nair45@hotmail.com</t>
  </si>
  <si>
    <t>chloe.miller31@outlook.com</t>
  </si>
  <si>
    <t>zara.reddy38@yahoo.com</t>
  </si>
  <si>
    <t>kabir.iyer72@hotmail.com</t>
  </si>
  <si>
    <t>kabir.brown81@yahoo.com</t>
  </si>
  <si>
    <t>daniel.jackson91@yahoo.com</t>
  </si>
  <si>
    <t>emma.kapoor52@yahoo.com</t>
  </si>
  <si>
    <t>arjun.nair98@yahoo.com</t>
  </si>
  <si>
    <t>daniel.moore99@gmail.com</t>
  </si>
  <si>
    <t>advait.brown91@outlook.com</t>
  </si>
  <si>
    <t>zara.white5@gmail.com</t>
  </si>
  <si>
    <t>lily.kapoor71@yahoo.com</t>
  </si>
  <si>
    <t>grace.davis39@hotmail.com</t>
  </si>
  <si>
    <t>mia.reddy81@outlook.com</t>
  </si>
  <si>
    <t>ethan.johnson85@company.co</t>
  </si>
  <si>
    <t>ava.kapoor3@outlook.com</t>
  </si>
  <si>
    <t>zara.kapoor61@gmail.com</t>
  </si>
  <si>
    <t>chloe.harris45@gmail.com</t>
  </si>
  <si>
    <t>mia.williams66@yahoo.com</t>
  </si>
  <si>
    <t>aarav.jackson64@gmail.com</t>
  </si>
  <si>
    <t>emma.harris15@gmail.com</t>
  </si>
  <si>
    <t>ethan.clark10@hotmail.com</t>
  </si>
  <si>
    <t>ishaan.thomas39@outlook.com</t>
  </si>
  <si>
    <t>ethan.miller11@gmail.com</t>
  </si>
  <si>
    <t>daniel.harris80@company.co</t>
  </si>
  <si>
    <t>daniel.taylor91@company.co</t>
  </si>
  <si>
    <t>ethan.nair36@gmail.com</t>
  </si>
  <si>
    <t>liam.wilson86@company.co</t>
  </si>
  <si>
    <t>ishaan.moore64@outlook.com</t>
  </si>
  <si>
    <t>olivia.wilson18@yahoo.com</t>
  </si>
  <si>
    <t>advait.davis1@outlook.com</t>
  </si>
  <si>
    <t>arjun.gupta90@yahoo.com</t>
  </si>
  <si>
    <t>lily.kapoor67@yahoo.com</t>
  </si>
  <si>
    <t>ishaan.williams53@yahoo.com</t>
  </si>
  <si>
    <t>grace.williams12@company.co</t>
  </si>
  <si>
    <t>emma.moore55@yahoo.com</t>
  </si>
  <si>
    <t>chloe.davis79@outlook.com</t>
  </si>
  <si>
    <t>zara.johnson63@company.co</t>
  </si>
  <si>
    <t>mia.davis30@gmail.com</t>
  </si>
  <si>
    <t>advait.iyer32@hotmail.com</t>
  </si>
  <si>
    <t>daniel.thomas40@yahoo.com</t>
  </si>
  <si>
    <t>chloe.jackson92@hotmail.com</t>
  </si>
  <si>
    <t>ethan.clark21@outlook.com</t>
  </si>
  <si>
    <t>kabir.anderson55@gmail.com</t>
  </si>
  <si>
    <t>arjun.nair81@outlook.com</t>
  </si>
  <si>
    <t>rohan.anderson24@company.co</t>
  </si>
  <si>
    <t>mia.davis57@company.co</t>
  </si>
  <si>
    <t>ethan.gupta23@outlook.com</t>
  </si>
  <si>
    <t>noah.iyer53@outlook.com</t>
  </si>
  <si>
    <t>mia.gupta2@outlook.com</t>
  </si>
  <si>
    <t>noah.sharma30@outlook.com</t>
  </si>
  <si>
    <t>lily.williams65@gmail.com</t>
  </si>
  <si>
    <t>ella.anderson50@yahoo.com</t>
  </si>
  <si>
    <t>emma.anderson72@hotmail.com</t>
  </si>
  <si>
    <t>arjun.white61@outlook.com</t>
  </si>
  <si>
    <t>ava.anderson4@outlook.com</t>
  </si>
  <si>
    <t>zara.brown38@gmail.com</t>
  </si>
  <si>
    <t>aarav.brown35@yahoo.com</t>
  </si>
  <si>
    <t>liam.johnson16@company.co</t>
  </si>
  <si>
    <t>sophia.nair59@hotmail.com</t>
  </si>
  <si>
    <t>grace.sharma59@company.co</t>
  </si>
  <si>
    <t>noah.clark82@yahoo.com</t>
  </si>
  <si>
    <t>noah.brown33@yahoo.com</t>
  </si>
  <si>
    <t>grace.reddy42@gmail.com</t>
  </si>
  <si>
    <t>ella.gupta91@yahoo.com</t>
  </si>
  <si>
    <t>sophia.gupta9@company.co</t>
  </si>
  <si>
    <t>chloe.moore43@hotmail.com</t>
  </si>
  <si>
    <t>liam.johnson86@hotmail.com</t>
  </si>
  <si>
    <t>lily.sharma89@company.co</t>
  </si>
  <si>
    <t>rohan.iyer98@yahoo.com</t>
  </si>
  <si>
    <t>aarav.reddy81@yahoo.com</t>
  </si>
  <si>
    <t>kabir.kapoor16@gmail.com</t>
  </si>
  <si>
    <t>emma.harris13@outlook.com</t>
  </si>
  <si>
    <t>grace.johnson92@outlook.com</t>
  </si>
  <si>
    <t>zara.white39@company.co</t>
  </si>
  <si>
    <t>daniel.iyer79@outlook.com</t>
  </si>
  <si>
    <t>kabir.nair44@gmail.com</t>
  </si>
  <si>
    <t>noah.wilson18@outlook.com</t>
  </si>
  <si>
    <t>noah.williams90@yahoo.com</t>
  </si>
  <si>
    <t>emma.reddy46@outlook.com</t>
  </si>
  <si>
    <t>aarav.nair9@yahoo.com</t>
  </si>
  <si>
    <t>zara.wilson57@outlook.com</t>
  </si>
  <si>
    <t>noah.reddy78@yahoo.com</t>
  </si>
  <si>
    <t>olivia.gupta73@outlook.com</t>
  </si>
  <si>
    <t>liam.harris41@company.co</t>
  </si>
  <si>
    <t>ella.moore23@yahoo.com</t>
  </si>
  <si>
    <t>kabir.clark87@outlook.com</t>
  </si>
  <si>
    <t>kabir.nair25@company.co</t>
  </si>
  <si>
    <t>rohan.davis85@company.co</t>
  </si>
  <si>
    <t>grace.gupta65@hotmail.com</t>
  </si>
  <si>
    <t>ishaan.taylor43@yahoo.com</t>
  </si>
  <si>
    <t>kabir.sharma11@hotmail.com</t>
  </si>
  <si>
    <t>sophia.anderson40@yahoo.com</t>
  </si>
  <si>
    <t>olivia.miller28@yahoo.com</t>
  </si>
  <si>
    <t>olivia.reddy78@company.co</t>
  </si>
  <si>
    <t>sophia.miller37@yahoo.com</t>
  </si>
  <si>
    <t>zara.clark74@yahoo.com</t>
  </si>
  <si>
    <t>ishaan.harris22@gmail.com</t>
  </si>
  <si>
    <t>ella.clark81@hotmail.com</t>
  </si>
  <si>
    <t>arjun.williams68@hotmail.com</t>
  </si>
  <si>
    <t>advait.brown19@yahoo.com</t>
  </si>
  <si>
    <t>lily.miller11@outlook.com</t>
  </si>
  <si>
    <t>noah.taylor97@hotmail.com</t>
  </si>
  <si>
    <t>rohan.reddy67@company.co</t>
  </si>
  <si>
    <t>grace.johnson8@yahoo.com</t>
  </si>
  <si>
    <t>liam.anderson7@outlook.com</t>
  </si>
  <si>
    <t>ishaan.white9@company.co</t>
  </si>
  <si>
    <t>arjun.miller86@company.co</t>
  </si>
  <si>
    <t>liam.clark32@yahoo.com</t>
  </si>
  <si>
    <t>ishaan.kapoor87@company.co</t>
  </si>
  <si>
    <t>ethan.thomas9@yahoo.com</t>
  </si>
  <si>
    <t>rohan.clark12@company.co</t>
  </si>
  <si>
    <t>grace.anderson58@outlook.com</t>
  </si>
  <si>
    <t>zara.kapoor9@outlook.com</t>
  </si>
  <si>
    <t>lily.davis39@gmail.com</t>
  </si>
  <si>
    <t>liam.brown32@company.co</t>
  </si>
  <si>
    <t>zara.reddy80@yahoo.com</t>
  </si>
  <si>
    <t>daniel.williams85@outlook.com</t>
  </si>
  <si>
    <t>mia.davis56@yahoo.com</t>
  </si>
  <si>
    <t>chloe.anderson89@company.co</t>
  </si>
  <si>
    <t>chloe.johnson72@hotmail.com</t>
  </si>
  <si>
    <t>lily.clark59@hotmail.com</t>
  </si>
  <si>
    <t>ishaan.sharma52@gmail.com</t>
  </si>
  <si>
    <t>grace.anderson30@hotmail.com</t>
  </si>
  <si>
    <t>ava.davis86@yahoo.com</t>
  </si>
  <si>
    <t>kabir.anderson12@outlook.com</t>
  </si>
  <si>
    <t>ethan.moore93@yahoo.com</t>
  </si>
  <si>
    <t>ava.reddy92@company.co</t>
  </si>
  <si>
    <t>kabir.thomas42@company.co</t>
  </si>
  <si>
    <t>advait.williams3@outlook.com</t>
  </si>
  <si>
    <t>ishaan.jackson53@gmail.com</t>
  </si>
  <si>
    <t>zara.sharma24@yahoo.com</t>
  </si>
  <si>
    <t>noah.clark12@company.co</t>
  </si>
  <si>
    <t>ishaan.miller64@outlook.com</t>
  </si>
  <si>
    <t>noah.nair82@company.co</t>
  </si>
  <si>
    <t>noah.jackson62@outlook.com</t>
  </si>
  <si>
    <t>olivia.gupta29@yahoo.com</t>
  </si>
  <si>
    <t>sophia.reddy95@company.co</t>
  </si>
  <si>
    <t>ella.johnson35@outlook.com</t>
  </si>
  <si>
    <t>ethan.wilson24@outlook.com</t>
  </si>
  <si>
    <t>ethan.reddy64@outlook.com</t>
  </si>
  <si>
    <t>chloe.jackson73@company.co</t>
  </si>
  <si>
    <t>sophia.harris84@company.co</t>
  </si>
  <si>
    <t>chloe.gupta53@company.co</t>
  </si>
  <si>
    <t>sophia.williams24@company.co</t>
  </si>
  <si>
    <t>kabir.gupta51@outlook.com</t>
  </si>
  <si>
    <t>emma.sharma39@outlook.com</t>
  </si>
  <si>
    <t>noah.jackson87@hotmail.com</t>
  </si>
  <si>
    <t>lily.white3@gmail.com</t>
  </si>
  <si>
    <t>zara.thomas68@gmail.com</t>
  </si>
  <si>
    <t>kabir.jackson21@outlook.com</t>
  </si>
  <si>
    <t>ava.iyer55@outlook.com</t>
  </si>
  <si>
    <t>noah.anderson62@company.co</t>
  </si>
  <si>
    <t>kabir.davis29@gmail.com</t>
  </si>
  <si>
    <t>olivia.moore78@outlook.com</t>
  </si>
  <si>
    <t>ella.davis2@hotmail.com</t>
  </si>
  <si>
    <t>kabir.davis46@gmail.com</t>
  </si>
  <si>
    <t>mia.jackson29@gmail.com</t>
  </si>
  <si>
    <t>ishaan.thomas22@hotmail.com</t>
  </si>
  <si>
    <t>kabir.taylor85@yahoo.com</t>
  </si>
  <si>
    <t>mia.brown63@gmail.com</t>
  </si>
  <si>
    <t>chloe.wilson60@company.co</t>
  </si>
  <si>
    <t>noah.brown53@outlook.com</t>
  </si>
  <si>
    <t>advait.gupta86@gmail.com</t>
  </si>
  <si>
    <t>ella.reddy2@yahoo.com</t>
  </si>
  <si>
    <t>noah.brown11@gmail.com</t>
  </si>
  <si>
    <t>ethan.kapoor51@yahoo.com</t>
  </si>
  <si>
    <t>ishaan.brown46@outlook.com</t>
  </si>
  <si>
    <t>kabir.johnson89@company.co</t>
  </si>
  <si>
    <t>grace.iyer76@company.co</t>
  </si>
  <si>
    <t>rohan.wilson96@company.co</t>
  </si>
  <si>
    <t>advait.williams50@company.co</t>
  </si>
  <si>
    <t>kabir.davis14@company.co</t>
  </si>
  <si>
    <t>mia.jackson60@outlook.com</t>
  </si>
  <si>
    <t>chloe.taylor66@company.co</t>
  </si>
  <si>
    <t>ishaan.thomas37@gmail.com</t>
  </si>
  <si>
    <t>chloe.reddy29@outlook.com</t>
  </si>
  <si>
    <t>noah.jackson39@yahoo.com</t>
  </si>
  <si>
    <t>ella.johnson11@hotmail.com</t>
  </si>
  <si>
    <t>ava.taylor50@gmail.com</t>
  </si>
  <si>
    <t>arjun.johnson73@hotmail.com</t>
  </si>
  <si>
    <t>advait.reddy91@hotmail.com</t>
  </si>
  <si>
    <t>grace.johnson65@company.co</t>
  </si>
  <si>
    <t>lily.reddy10@yahoo.com</t>
  </si>
  <si>
    <t>lily.thomas76@gmail.com</t>
  </si>
  <si>
    <t>lily.jackson56@outlook.com</t>
  </si>
  <si>
    <t>daniel.moore61@outlook.com</t>
  </si>
  <si>
    <t>ella.iyer35@outlook.com</t>
  </si>
  <si>
    <t>grace.taylor76@company.co</t>
  </si>
  <si>
    <t>olivia.jackson16@company.co</t>
  </si>
  <si>
    <t>olivia.white6@hotmail.com</t>
  </si>
  <si>
    <t>advait.taylor91@company.co</t>
  </si>
  <si>
    <t>mia.wilson71@hotmail.com</t>
  </si>
  <si>
    <t>advait.harris90@yahoo.com</t>
  </si>
  <si>
    <t>chloe.brown34@company.co</t>
  </si>
  <si>
    <t>grace.reddy3@hotmail.com</t>
  </si>
  <si>
    <t>rohan.clark41@company.co</t>
  </si>
  <si>
    <t>chloe.wilson89@outlook.com</t>
  </si>
  <si>
    <t>liam.clark69@company.co</t>
  </si>
  <si>
    <t>lily.johnson15@yahoo.com</t>
  </si>
  <si>
    <t>arjun.gupta45@gmail.com</t>
  </si>
  <si>
    <t>mia.kapoor37@company.co</t>
  </si>
  <si>
    <t>sophia.davis22@company.co</t>
  </si>
  <si>
    <t>daniel.clark79@gmail.com</t>
  </si>
  <si>
    <t>sophia.iyer69@gmail.com</t>
  </si>
  <si>
    <t>arjun.kapoor68@company.co</t>
  </si>
  <si>
    <t>liam.gupta81@gmail.com</t>
  </si>
  <si>
    <t>aarav.davis37@gmail.com</t>
  </si>
  <si>
    <t>mia.brown64@company.co</t>
  </si>
  <si>
    <t>rohan.moore35@company.co</t>
  </si>
  <si>
    <t>grace.jackson4@gmail.com</t>
  </si>
  <si>
    <t>daniel.davis99@hotmail.com</t>
  </si>
  <si>
    <t>ava.jackson49@company.co</t>
  </si>
  <si>
    <t>daniel.harris96@gmail.com</t>
  </si>
  <si>
    <t>chloe.reddy10@company.co</t>
  </si>
  <si>
    <t>rohan.davis69@hotmail.com</t>
  </si>
  <si>
    <t>lily.iyer13@company.co</t>
  </si>
  <si>
    <t>chloe.jackson52@outlook.com</t>
  </si>
  <si>
    <t>daniel.clark87@company.co</t>
  </si>
  <si>
    <t>grace.jackson39@company.co</t>
  </si>
  <si>
    <t>ethan.wilson27@outlook.com</t>
  </si>
  <si>
    <t>noah.moore93@yahoo.com</t>
  </si>
  <si>
    <t>ethan.thomas98@gmail.com</t>
  </si>
  <si>
    <t>arjun.harris31@gmail.com</t>
  </si>
  <si>
    <t>grace.thomas18@gmail.com</t>
  </si>
  <si>
    <t>chloe.jackson35@outlook.com</t>
  </si>
  <si>
    <t>arjun.williams59@hotmail.com</t>
  </si>
  <si>
    <t>noah.davis94@hotmail.com</t>
  </si>
  <si>
    <t>ava.miller29@yahoo.com</t>
  </si>
  <si>
    <t>ishaan.brown79@gmail.com</t>
  </si>
  <si>
    <t>daniel.brown24@hotmail.com</t>
  </si>
  <si>
    <t>lily.nair71@company.co</t>
  </si>
  <si>
    <t>chloe.anderson74@outlook.com</t>
  </si>
  <si>
    <t>aarav.brown26@yahoo.com</t>
  </si>
  <si>
    <t>ava.moore43@hotmail.com</t>
  </si>
  <si>
    <t>kabir.williams71@yahoo.com</t>
  </si>
  <si>
    <t>ava.brown16@gmail.com</t>
  </si>
  <si>
    <t>ethan.moore25@gmail.com</t>
  </si>
  <si>
    <t>olivia.thomas27@hotmail.com</t>
  </si>
  <si>
    <t>sophia.gupta49@yahoo.com</t>
  </si>
  <si>
    <t>lily.taylor97@yahoo.com</t>
  </si>
  <si>
    <t>ethan.gupta80@gmail.com</t>
  </si>
  <si>
    <t>noah.thomas81@outlook.com</t>
  </si>
  <si>
    <t>ethan.sharma15@outlook.com</t>
  </si>
  <si>
    <t>daniel.sharma32@gmail.com</t>
  </si>
  <si>
    <t>ava.white74@gmail.com</t>
  </si>
  <si>
    <t>arjun.thomas65@gmail.com</t>
  </si>
  <si>
    <t>noah.miller27@yahoo.com</t>
  </si>
  <si>
    <t>chloe.sharma31@company.co</t>
  </si>
  <si>
    <t>arjun.miller53@yahoo.com</t>
  </si>
  <si>
    <t>liam.anderson26@company.co</t>
  </si>
  <si>
    <t>ava.sharma36@gmail.com</t>
  </si>
  <si>
    <t>chloe.williams17@hotmail.com</t>
  </si>
  <si>
    <t>daniel.anderson31@company.co</t>
  </si>
  <si>
    <t>zara.davis78@gmail.com</t>
  </si>
  <si>
    <t>zara.anderson95@gmail.com</t>
  </si>
  <si>
    <t>mia.taylor31@gmail.com</t>
  </si>
  <si>
    <t>ava.harris74@yahoo.com</t>
  </si>
  <si>
    <t>ethan.harris18@gmail.com</t>
  </si>
  <si>
    <t>advait.gupta28@outlook.com</t>
  </si>
  <si>
    <t>mia.thomas56@gmail.com</t>
  </si>
  <si>
    <t>lily.clark6@yahoo.com</t>
  </si>
  <si>
    <t>advait.gupta40@outlook.com</t>
  </si>
  <si>
    <t>olivia.brown62@hotmail.com</t>
  </si>
  <si>
    <t>arjun.thomas63@outlook.com</t>
  </si>
  <si>
    <t>ava.reddy39@company.co</t>
  </si>
  <si>
    <t>advait.johnson27@hotmail.com</t>
  </si>
  <si>
    <t>olivia.moore34@company.co</t>
  </si>
  <si>
    <t>mia.reddy19@outlook.com</t>
  </si>
  <si>
    <t>kabir.moore34@yahoo.com</t>
  </si>
  <si>
    <t>sophia.harris22@outlook.com</t>
  </si>
  <si>
    <t>aarav.miller38@yahoo.com</t>
  </si>
  <si>
    <t>aarav.taylor63@yahoo.com</t>
  </si>
  <si>
    <t>ethan.anderson82@hotmail.com</t>
  </si>
  <si>
    <t>olivia.nair93@hotmail.com</t>
  </si>
  <si>
    <t>liam.harris11@yahoo.com</t>
  </si>
  <si>
    <t>mia.wilson21@company.co</t>
  </si>
  <si>
    <t>arjun.white7@yahoo.com</t>
  </si>
  <si>
    <t>ava.iyer71@hotmail.com</t>
  </si>
  <si>
    <t>advait.gupta52@hotmail.com</t>
  </si>
  <si>
    <t>chloe.thomas75@company.co</t>
  </si>
  <si>
    <t>liam.moore99@company.co</t>
  </si>
  <si>
    <t>advait.nair4@company.co</t>
  </si>
  <si>
    <t>advait.wilson21@outlook.com</t>
  </si>
  <si>
    <t>zara.white40@gmail.com</t>
  </si>
  <si>
    <t>olivia.harris31@gmail.com</t>
  </si>
  <si>
    <t>arjun.miller39@company.co</t>
  </si>
  <si>
    <t>chloe.nair41@outlook.com</t>
  </si>
  <si>
    <t>lily.harris28@outlook.com</t>
  </si>
  <si>
    <t>zara.gupta4@gmail.com</t>
  </si>
  <si>
    <t>arjun.brown10@company.co</t>
  </si>
  <si>
    <t>chloe.harris6@outlook.com</t>
  </si>
  <si>
    <t>sophia.jackson6@hotmail.com</t>
  </si>
  <si>
    <t>advait.williams88@gmail.com</t>
  </si>
  <si>
    <t>ishaan.iyer40@hotmail.com</t>
  </si>
  <si>
    <t>noah.brown62@hotmail.com</t>
  </si>
  <si>
    <t>noah.taylor26@company.co</t>
  </si>
  <si>
    <t>aarav.thomas39@yahoo.com</t>
  </si>
  <si>
    <t>rohan.white12@yahoo.com</t>
  </si>
  <si>
    <t>ishaan.jackson2@outlook.com</t>
  </si>
  <si>
    <t>arjun.miller51@gmail.com</t>
  </si>
  <si>
    <t>zara.gupta46@company.co</t>
  </si>
  <si>
    <t>kabir.clark15@company.co</t>
  </si>
  <si>
    <t>arjun.nair77@outlook.com</t>
  </si>
  <si>
    <t>noah.reddy48@gmail.com</t>
  </si>
  <si>
    <t>sophia.clark59@hotmail.com</t>
  </si>
  <si>
    <t>arjun.harris54@yahoo.com</t>
  </si>
  <si>
    <t>emma.johnson97@gmail.com</t>
  </si>
  <si>
    <t>noah.williams4@yahoo.com</t>
  </si>
  <si>
    <t>zara.gupta41@yahoo.com</t>
  </si>
  <si>
    <t>sophia.wilson17@gmail.com</t>
  </si>
  <si>
    <t>daniel.moore87@hotmail.com</t>
  </si>
  <si>
    <t>chloe.johnson83@gmail.com</t>
  </si>
  <si>
    <t>emma.thomas88@yahoo.com</t>
  </si>
  <si>
    <t>ella.reddy16@yahoo.com</t>
  </si>
  <si>
    <t>olivia.clark25@gmail.com</t>
  </si>
  <si>
    <t>lily.reddy17@company.co</t>
  </si>
  <si>
    <t>olivia.sharma78@hotmail.com</t>
  </si>
  <si>
    <t>noah.miller9@hotmail.com</t>
  </si>
  <si>
    <t>arjun.moore75@outlook.com</t>
  </si>
  <si>
    <t>ishaan.miller80@outlook.com</t>
  </si>
  <si>
    <t>ella.johnson74@outlook.com</t>
  </si>
  <si>
    <t>noah.davis79@company.co</t>
  </si>
  <si>
    <t>olivia.miller86@company.co</t>
  </si>
  <si>
    <t>ava.anderson91@outlook.com</t>
  </si>
  <si>
    <t>noah.moore71@outlook.com</t>
  </si>
  <si>
    <t>grace.miller23@yahoo.com</t>
  </si>
  <si>
    <t>mia.miller90@gmail.com</t>
  </si>
  <si>
    <t>rohan.white87@company.co</t>
  </si>
  <si>
    <t>rohan.thomas35@outlook.com</t>
  </si>
  <si>
    <t>ethan.kapoor26@yahoo.com</t>
  </si>
  <si>
    <t>ishaan.miller90@company.co</t>
  </si>
  <si>
    <t>sophia.nair32@gmail.com</t>
  </si>
  <si>
    <t>olivia.clark58@yahoo.com</t>
  </si>
  <si>
    <t>rohan.johnson44@company.co</t>
  </si>
  <si>
    <t>ishaan.miller18@hotmail.com</t>
  </si>
  <si>
    <t>ishaan.sharma41@yahoo.com</t>
  </si>
  <si>
    <t>ella.kapoor85@gmail.com</t>
  </si>
  <si>
    <t>arjun.jackson26@gmail.com</t>
  </si>
  <si>
    <t>grace.harris41@company.co</t>
  </si>
  <si>
    <t>chloe.harris79@hotmail.com</t>
  </si>
  <si>
    <t>noah.gupta87@company.co</t>
  </si>
  <si>
    <t>arjun.brown79@company.co</t>
  </si>
  <si>
    <t>ella.miller27@company.co</t>
  </si>
  <si>
    <t>noah.iyer49@hotmail.com</t>
  </si>
  <si>
    <t>kabir.taylor1@company.co</t>
  </si>
  <si>
    <t>rohan.miller69@yahoo.com</t>
  </si>
  <si>
    <t>ella.gupta41@outlook.com</t>
  </si>
  <si>
    <t>grace.nair6@hotmail.com</t>
  </si>
  <si>
    <t>kabir.white51@hotmail.com</t>
  </si>
  <si>
    <t>arjun.anderson15@outlook.com</t>
  </si>
  <si>
    <t>chloe.brown1@outlook.com</t>
  </si>
  <si>
    <t>arjun.white23@yahoo.com</t>
  </si>
  <si>
    <t>kabir.davis89@yahoo.com</t>
  </si>
  <si>
    <t>grace.davis69@outlook.com</t>
  </si>
  <si>
    <t>olivia.davis30@hotmail.com</t>
  </si>
  <si>
    <t>kabir.iyer6@outlook.com</t>
  </si>
  <si>
    <t>emma.kapoor90@yahoo.com</t>
  </si>
  <si>
    <t>noah.reddy40@outlook.com</t>
  </si>
  <si>
    <t>lily.reddy92@gmail.com</t>
  </si>
  <si>
    <t>liam.harris90@yahoo.com</t>
  </si>
  <si>
    <t>grace.nair19@outlook.com</t>
  </si>
  <si>
    <t>olivia.thomas98@company.co</t>
  </si>
  <si>
    <t>liam.taylor9@yahoo.com</t>
  </si>
  <si>
    <t>ethan.wilson99@hotmail.com</t>
  </si>
  <si>
    <t>chloe.kapoor35@company.co</t>
  </si>
  <si>
    <t>daniel.nair71@hotmail.com</t>
  </si>
  <si>
    <t>ella.taylor58@gmail.com</t>
  </si>
  <si>
    <t>arjun.clark25@gmail.com</t>
  </si>
  <si>
    <t>grace.davis51@company.co</t>
  </si>
  <si>
    <t>liam.white51@yahoo.com</t>
  </si>
  <si>
    <t>noah.anderson26@gmail.com</t>
  </si>
  <si>
    <t>advait.wilson83@yahoo.com</t>
  </si>
  <si>
    <t>lily.brown16@gmail.com</t>
  </si>
  <si>
    <t>daniel.brown83@yahoo.com</t>
  </si>
  <si>
    <t>arjun.gupta25@gmail.com</t>
  </si>
  <si>
    <t>olivia.sharma22@yahoo.com</t>
  </si>
  <si>
    <t>daniel.davis74@yahoo.com</t>
  </si>
  <si>
    <t>liam.wilson51@gmail.com</t>
  </si>
  <si>
    <t>ella.taylor4@yahoo.com</t>
  </si>
  <si>
    <t>zara.brown41@company.co</t>
  </si>
  <si>
    <t>olivia.taylor68@hotmail.com</t>
  </si>
  <si>
    <t>ishaan.jackson60@outlook.com</t>
  </si>
  <si>
    <t>mia.nair21@outlook.com</t>
  </si>
  <si>
    <t>arjun.clark89@outlook.com</t>
  </si>
  <si>
    <t>ava.taylor5@company.co</t>
  </si>
  <si>
    <t>grace.moore47@outlook.com</t>
  </si>
  <si>
    <t>ishaan.miller62@company.co</t>
  </si>
  <si>
    <t>ava.brown42@hotmail.com</t>
  </si>
  <si>
    <t>ethan.jackson18@gmail.com</t>
  </si>
  <si>
    <t>ishaan.sharma36@outlook.com</t>
  </si>
  <si>
    <t>daniel.williams64@outlook.com</t>
  </si>
  <si>
    <t>daniel.white49@yahoo.com</t>
  </si>
  <si>
    <t>mia.iyer12@yahoo.com</t>
  </si>
  <si>
    <t>rohan.jackson81@company.co</t>
  </si>
  <si>
    <t>noah.kapoor19@company.co</t>
  </si>
  <si>
    <t>advait.clark97@hotmail.com</t>
  </si>
  <si>
    <t>daniel.thomas13@outlook.com</t>
  </si>
  <si>
    <t>zara.williams88@outlook.com</t>
  </si>
  <si>
    <t>liam.sharma61@company.co</t>
  </si>
  <si>
    <t>emma.sharma54@yahoo.com</t>
  </si>
  <si>
    <t>daniel.jackson32@gmail.com</t>
  </si>
  <si>
    <t>ava.nair75@gmail.com</t>
  </si>
  <si>
    <t>sophia.jackson4@company.co</t>
  </si>
  <si>
    <t>ava.anderson90@hotmail.com</t>
  </si>
  <si>
    <t>aarav.davis46@outlook.com</t>
  </si>
  <si>
    <t>emma.davis31@yahoo.com</t>
  </si>
  <si>
    <t>emma.williams6@outlook.com</t>
  </si>
  <si>
    <t>chloe.thomas54@yahoo.com</t>
  </si>
  <si>
    <t>ishaan.clark70@hotmail.com</t>
  </si>
  <si>
    <t>liam.gupta19@gmail.com</t>
  </si>
  <si>
    <t>liam.johnson63@gmail.com</t>
  </si>
  <si>
    <t>emma.johnson77@gmail.com</t>
  </si>
  <si>
    <t>ava.miller77@hotmail.com</t>
  </si>
  <si>
    <t>ethan.reddy37@hotmail.com</t>
  </si>
  <si>
    <t>mia.williams73@outlook.com</t>
  </si>
  <si>
    <t>daniel.davis86@outlook.com</t>
  </si>
  <si>
    <t>zara.miller10@outlook.com</t>
  </si>
  <si>
    <t>rohan.moore76@company.co</t>
  </si>
  <si>
    <t>zara.jackson31@gmail.com</t>
  </si>
  <si>
    <t>kabir.thomas78@company.co</t>
  </si>
  <si>
    <t>mia.harris6@company.co</t>
  </si>
  <si>
    <t>sophia.taylor74@yahoo.com</t>
  </si>
  <si>
    <t>rohan.clark15@outlook.com</t>
  </si>
  <si>
    <t>mia.moore3@gmail.com</t>
  </si>
  <si>
    <t>lily.wilson52@gmail.com</t>
  </si>
  <si>
    <t>ishaan.taylor27@gmail.com</t>
  </si>
  <si>
    <t>kabir.williams39@company.co</t>
  </si>
  <si>
    <t>sophia.moore51@outlook.com</t>
  </si>
  <si>
    <t>arjun.thomas18@hotmail.com</t>
  </si>
  <si>
    <t>emma.harris67@outlook.com</t>
  </si>
  <si>
    <t>mia.kapoor56@outlook.com</t>
  </si>
  <si>
    <t>daniel.sharma54@yahoo.com</t>
  </si>
  <si>
    <t>daniel.thomas98@company.co</t>
  </si>
  <si>
    <t>ethan.johnson96@outlook.com</t>
  </si>
  <si>
    <t>ella.moore52@company.co</t>
  </si>
  <si>
    <t>zara.johnson37@yahoo.com</t>
  </si>
  <si>
    <t>rohan.harris45@company.co</t>
  </si>
  <si>
    <t>emma.kapoor40@company.co</t>
  </si>
  <si>
    <t>daniel.gupta25@outlook.com</t>
  </si>
  <si>
    <t>aarav.sharma60@yahoo.com</t>
  </si>
  <si>
    <t>daniel.harris82@outlook.com</t>
  </si>
  <si>
    <t>kabir.moore42@company.co</t>
  </si>
  <si>
    <t>ishaan.nair98@gmail.com</t>
  </si>
  <si>
    <t>aarav.reddy67@hotmail.com</t>
  </si>
  <si>
    <t>noah.thomas90@hotmail.com</t>
  </si>
  <si>
    <t>daniel.thomas33@outlook.com</t>
  </si>
  <si>
    <t>daniel.nair39@company.co</t>
  </si>
  <si>
    <t>sophia.miller21@yahoo.com</t>
  </si>
  <si>
    <t>kabir.white34@outlook.com</t>
  </si>
  <si>
    <t>mia.white25@hotmail.com</t>
  </si>
  <si>
    <t>aarav.jackson34@hotmail.com</t>
  </si>
  <si>
    <t>chloe.white93@outlook.com</t>
  </si>
  <si>
    <t>noah.thomas2@gmail.com</t>
  </si>
  <si>
    <t>kabir.harris86@gmail.com</t>
  </si>
  <si>
    <t>kabir.johnson46@hotmail.com</t>
  </si>
  <si>
    <t>lily.nair99@gmail.com</t>
  </si>
  <si>
    <t>olivia.taylor84@gmail.com</t>
  </si>
  <si>
    <t>chloe.jackson32@outlook.com</t>
  </si>
  <si>
    <t>advait.gupta29@company.co</t>
  </si>
  <si>
    <t>ishaan.anderson74@yahoo.com</t>
  </si>
  <si>
    <t>ethan.wilson93@outlook.com</t>
  </si>
  <si>
    <t>lily.davis73@yahoo.com</t>
  </si>
  <si>
    <t>liam.iyer11@yahoo.com</t>
  </si>
  <si>
    <t>liam.sharma80@outlook.com</t>
  </si>
  <si>
    <t>zara.taylor1@yahoo.com</t>
  </si>
  <si>
    <t>zara.thomas88@hotmail.com</t>
  </si>
  <si>
    <t>aarav.gupta90@gmail.com</t>
  </si>
  <si>
    <t>aarav.white32@outlook.com</t>
  </si>
  <si>
    <t>lily.thomas87@yahoo.com</t>
  </si>
  <si>
    <t>ella.brown56@yahoo.com</t>
  </si>
  <si>
    <t>emma.johnson1@yahoo.com</t>
  </si>
  <si>
    <t>liam.williams33@outlook.com</t>
  </si>
  <si>
    <t>ishaan.gupta3@outlook.com</t>
  </si>
  <si>
    <t>ishaan.iyer63@company.co</t>
  </si>
  <si>
    <t>noah.taylor95@company.co</t>
  </si>
  <si>
    <t>ishaan.clark27@gmail.com</t>
  </si>
  <si>
    <t>sophia.reddy40@hotmail.com</t>
  </si>
  <si>
    <t>aarav.wilson2@gmail.com</t>
  </si>
  <si>
    <t>rohan.nair90@outlook.com</t>
  </si>
  <si>
    <t>zara.nair14@yahoo.com</t>
  </si>
  <si>
    <t>noah.wilson98@gmail.com</t>
  </si>
  <si>
    <t>aarav.sharma88@gmail.com</t>
  </si>
  <si>
    <t>arjun.reddy31@company.co</t>
  </si>
  <si>
    <t>grace.thomas14@gmail.com</t>
  </si>
  <si>
    <t>ethan.white40@outlook.com</t>
  </si>
  <si>
    <t>lily.brown66@company.co</t>
  </si>
  <si>
    <t>rohan.reddy2@yahoo.com</t>
  </si>
  <si>
    <t>aarav.miller79@hotmail.com</t>
  </si>
  <si>
    <t>emma.thomas7@yahoo.com</t>
  </si>
  <si>
    <t>zara.harris58@company.co</t>
  </si>
  <si>
    <t>ella.davis24@outlook.com</t>
  </si>
  <si>
    <t>rohan.johnson42@gmail.com</t>
  </si>
  <si>
    <t>liam.white87@hotmail.com</t>
  </si>
  <si>
    <t>chloe.reddy99@gmail.com</t>
  </si>
  <si>
    <t>kabir.white22@outlook.com</t>
  </si>
  <si>
    <t>sophia.taylor32@gmail.com</t>
  </si>
  <si>
    <t>ishaan.taylor86@company.co</t>
  </si>
  <si>
    <t>aarav.harris11@hotmail.com</t>
  </si>
  <si>
    <t>ava.white88@gmail.com</t>
  </si>
  <si>
    <t>sophia.williams23@hotmail.com</t>
  </si>
  <si>
    <t>liam.sharma49@yahoo.com</t>
  </si>
  <si>
    <t>ava.johnson52@gmail.com</t>
  </si>
  <si>
    <t>sophia.sharma66@gmail.com</t>
  </si>
  <si>
    <t>noah.taylor77@yahoo.com</t>
  </si>
  <si>
    <t>emma.reddy96@outlook.com</t>
  </si>
  <si>
    <t>noah.sharma51@hotmail.com</t>
  </si>
  <si>
    <t>chloe.jackson38@yahoo.com</t>
  </si>
  <si>
    <t>emma.thomas72@outlook.com</t>
  </si>
  <si>
    <t>aarav.harris69@gmail.com</t>
  </si>
  <si>
    <t>olivia.brown31@gmail.com</t>
  </si>
  <si>
    <t>lily.harris64@gmail.com</t>
  </si>
  <si>
    <t>noah.williams12@outlook.com</t>
  </si>
  <si>
    <t>ava.thomas26@company.co</t>
  </si>
  <si>
    <t>sophia.miller78@hotmail.com</t>
  </si>
  <si>
    <t>liam.nair54@hotmail.com</t>
  </si>
  <si>
    <t>liam.clark20@gmail.com</t>
  </si>
  <si>
    <t>lily.nair67@company.co</t>
  </si>
  <si>
    <t>emma.taylor4@outlook.com</t>
  </si>
  <si>
    <t>rohan.clark53@outlook.com</t>
  </si>
  <si>
    <t>kabir.wilson94@company.co</t>
  </si>
  <si>
    <t>sophia.taylor86@gmail.com</t>
  </si>
  <si>
    <t>ethan.iyer78@hotmail.com</t>
  </si>
  <si>
    <t>chloe.jackson93@gmail.com</t>
  </si>
  <si>
    <t>daniel.white85@outlook.com</t>
  </si>
  <si>
    <t>ava.iyer14@hotmail.com</t>
  </si>
  <si>
    <t>aarav.jackson16@outlook.com</t>
  </si>
  <si>
    <t>ethan.johnson74@outlook.com</t>
  </si>
  <si>
    <t>ethan.nair28@outlook.com</t>
  </si>
  <si>
    <t>ava.anderson15@hotmail.com</t>
  </si>
  <si>
    <t>lily.davis67@yahoo.com</t>
  </si>
  <si>
    <t>ava.harris1@hotmail.com</t>
  </si>
  <si>
    <t>aarav.nair9@hotmail.com</t>
  </si>
  <si>
    <t>advait.johnson32@hotmail.com</t>
  </si>
  <si>
    <t>ishaan.thomas38@gmail.com</t>
  </si>
  <si>
    <t>ella.taylor74@hotmail.com</t>
  </si>
  <si>
    <t>liam.kapoor94@hotmail.com</t>
  </si>
  <si>
    <t>aarav.sharma85@gmail.com</t>
  </si>
  <si>
    <t>daniel.nair18@hotmail.com</t>
  </si>
  <si>
    <t>ethan.harris85@outlook.com</t>
  </si>
  <si>
    <t>rohan.reddy7@company.co</t>
  </si>
  <si>
    <t>lily.white76@hotmail.com</t>
  </si>
  <si>
    <t>chloe.white93@company.co</t>
  </si>
  <si>
    <t>rohan.anderson23@outlook.com</t>
  </si>
  <si>
    <t>ava.sharma19@yahoo.com</t>
  </si>
  <si>
    <t>olivia.miller94@hotmail.com</t>
  </si>
  <si>
    <t>liam.nair12@yahoo.com</t>
  </si>
  <si>
    <t>lily.white25@gmail.com</t>
  </si>
  <si>
    <t>noah.moore18@outlook.com</t>
  </si>
  <si>
    <t>grace.harris80@company.co</t>
  </si>
  <si>
    <t>ishaan.white69@company.co</t>
  </si>
  <si>
    <t>sophia.thomas11@gmail.com</t>
  </si>
  <si>
    <t>ishaan.sharma29@outlook.com</t>
  </si>
  <si>
    <t>ishaan.clark26@yahoo.com</t>
  </si>
  <si>
    <t>mia.davis32@yahoo.com</t>
  </si>
  <si>
    <t>daniel.williams85@hotmail.com</t>
  </si>
  <si>
    <t>emma.thomas24@hotmail.com</t>
  </si>
  <si>
    <t>E.</t>
  </si>
  <si>
    <t>north</t>
  </si>
  <si>
    <t>West</t>
  </si>
  <si>
    <t>Wets</t>
  </si>
  <si>
    <t>central</t>
  </si>
  <si>
    <t>Centrl</t>
  </si>
  <si>
    <t>south</t>
  </si>
  <si>
    <t>WEST</t>
  </si>
  <si>
    <t>Nort</t>
  </si>
  <si>
    <t>C.</t>
  </si>
  <si>
    <t>EAST</t>
  </si>
  <si>
    <t>east</t>
  </si>
  <si>
    <t xml:space="preserve">South </t>
  </si>
  <si>
    <t>west</t>
  </si>
  <si>
    <t>Esat</t>
  </si>
  <si>
    <t>CENTRAL</t>
  </si>
  <si>
    <t>N.</t>
  </si>
  <si>
    <t>North</t>
  </si>
  <si>
    <t>Central</t>
  </si>
  <si>
    <t>South</t>
  </si>
  <si>
    <t>SOUTH</t>
  </si>
  <si>
    <t>S.</t>
  </si>
  <si>
    <t>East</t>
  </si>
  <si>
    <t>W.</t>
  </si>
  <si>
    <t>NORTH</t>
  </si>
  <si>
    <t>Japan</t>
  </si>
  <si>
    <t>USA</t>
  </si>
  <si>
    <t>UK</t>
  </si>
  <si>
    <t>Germany</t>
  </si>
  <si>
    <t>Poland</t>
  </si>
  <si>
    <t>Brazil</t>
  </si>
  <si>
    <t>Canada</t>
  </si>
  <si>
    <t>France</t>
  </si>
  <si>
    <t>India</t>
  </si>
  <si>
    <t>China</t>
  </si>
  <si>
    <t>Mexico</t>
  </si>
  <si>
    <t>Home &amp; Kitchen</t>
  </si>
  <si>
    <t>Electronics</t>
  </si>
  <si>
    <t>Office Supplies</t>
  </si>
  <si>
    <t>Furniture</t>
  </si>
  <si>
    <t>Apparel</t>
  </si>
  <si>
    <t>Blender</t>
  </si>
  <si>
    <t>Webcam HD</t>
  </si>
  <si>
    <t>Desk Organizer</t>
  </si>
  <si>
    <t>Stapler</t>
  </si>
  <si>
    <t>Notebook Pack</t>
  </si>
  <si>
    <t>Filing Cabinet</t>
  </si>
  <si>
    <t>Running Shoes</t>
  </si>
  <si>
    <t>Bluetooth Speaker</t>
  </si>
  <si>
    <t>Baseball Cap</t>
  </si>
  <si>
    <t>Bookshelf</t>
  </si>
  <si>
    <t>Sticky Notes</t>
  </si>
  <si>
    <t>Standing Desk</t>
  </si>
  <si>
    <t>Cotton T-Shirt</t>
  </si>
  <si>
    <t>27in Monitor</t>
  </si>
  <si>
    <t>Ballpoint Pens (12pk)</t>
  </si>
  <si>
    <t>USB-C Cable</t>
  </si>
  <si>
    <t>Cutting Board Set</t>
  </si>
  <si>
    <t>Coffee Maker</t>
  </si>
  <si>
    <t>Hoodie</t>
  </si>
  <si>
    <t>Laptop Stand</t>
  </si>
  <si>
    <t>Wireless Mouse</t>
  </si>
  <si>
    <t>Office Chair</t>
  </si>
  <si>
    <t>Air Fryer</t>
  </si>
  <si>
    <t>$14.33</t>
  </si>
  <si>
    <t>$ 7.97</t>
  </si>
  <si>
    <t>$ 112.33</t>
  </si>
  <si>
    <t>$59.82</t>
  </si>
  <si>
    <t>$ 40.62</t>
  </si>
  <si>
    <t>$ 43.31</t>
  </si>
  <si>
    <t>$41.51</t>
  </si>
  <si>
    <t>$ 13.61</t>
  </si>
  <si>
    <t>$ 85.93</t>
  </si>
  <si>
    <t>$ 3.01</t>
  </si>
  <si>
    <t>$251.19</t>
  </si>
  <si>
    <t>$ 15.07</t>
  </si>
  <si>
    <t>$84.62</t>
  </si>
  <si>
    <t>$ 193.70</t>
  </si>
  <si>
    <t>$88.39</t>
  </si>
  <si>
    <t>$12.8</t>
  </si>
  <si>
    <t>$ 4.35</t>
  </si>
  <si>
    <t>$ 6.40</t>
  </si>
  <si>
    <t>$ 9.42</t>
  </si>
  <si>
    <t>$ 23.52</t>
  </si>
  <si>
    <t>$43.87</t>
  </si>
  <si>
    <t>$247.74</t>
  </si>
  <si>
    <t>$ 44.55</t>
  </si>
  <si>
    <t>$89.81</t>
  </si>
  <si>
    <t>$ 35.78</t>
  </si>
  <si>
    <t>$42.79</t>
  </si>
  <si>
    <t>$ 29.13</t>
  </si>
  <si>
    <t>$15.16</t>
  </si>
  <si>
    <t>$47.24</t>
  </si>
  <si>
    <t>$111.31</t>
  </si>
  <si>
    <t>$ 252.52</t>
  </si>
  <si>
    <t>$ 110.76</t>
  </si>
  <si>
    <t>$6.78</t>
  </si>
  <si>
    <t>$ 22.04</t>
  </si>
  <si>
    <t>$29.18</t>
  </si>
  <si>
    <t>$34.75</t>
  </si>
  <si>
    <t>$ 9.43</t>
  </si>
  <si>
    <t>$196.74</t>
  </si>
  <si>
    <t>$4.36</t>
  </si>
  <si>
    <t>$29.09</t>
  </si>
  <si>
    <t>$ 8.01</t>
  </si>
  <si>
    <t>$ 25.97</t>
  </si>
  <si>
    <t>$ 43.47</t>
  </si>
  <si>
    <t>$ 18.53</t>
  </si>
  <si>
    <t>$ 35.15</t>
  </si>
  <si>
    <t>$ 12.89</t>
  </si>
  <si>
    <t>$ 109.17</t>
  </si>
  <si>
    <t>$4.05</t>
  </si>
  <si>
    <t>$105.77</t>
  </si>
  <si>
    <t>$3.14</t>
  </si>
  <si>
    <t>$ 35.84</t>
  </si>
  <si>
    <t>$28.62</t>
  </si>
  <si>
    <t>$ 12.93</t>
  </si>
  <si>
    <t>$ 123.55</t>
  </si>
  <si>
    <t>$80.92</t>
  </si>
  <si>
    <t>$3.24</t>
  </si>
  <si>
    <t>$ 61.69</t>
  </si>
  <si>
    <t>$111.65</t>
  </si>
  <si>
    <t>$14.97</t>
  </si>
  <si>
    <t>$61.61</t>
  </si>
  <si>
    <t>$60.65</t>
  </si>
  <si>
    <t>$ 14.40</t>
  </si>
  <si>
    <t>$ 30.94</t>
  </si>
  <si>
    <t>$21.45</t>
  </si>
  <si>
    <t>$18.94</t>
  </si>
  <si>
    <t>$35.49</t>
  </si>
  <si>
    <t>$9.53</t>
  </si>
  <si>
    <t>$25.3</t>
  </si>
  <si>
    <t>$ 90.58</t>
  </si>
  <si>
    <t>$ 22.74</t>
  </si>
  <si>
    <t>$133.08</t>
  </si>
  <si>
    <t>$ 13.07</t>
  </si>
  <si>
    <t>$3.07</t>
  </si>
  <si>
    <t>$ 114.51</t>
  </si>
  <si>
    <t>$ 80.80</t>
  </si>
  <si>
    <t>$13.91</t>
  </si>
  <si>
    <t>$18.54</t>
  </si>
  <si>
    <t>$ 7.83</t>
  </si>
  <si>
    <t>$114.49</t>
  </si>
  <si>
    <t>$30.37</t>
  </si>
  <si>
    <t>$ 76.35</t>
  </si>
  <si>
    <t>$41.31</t>
  </si>
  <si>
    <t>$ 12.47</t>
  </si>
  <si>
    <t>$14.49</t>
  </si>
  <si>
    <t>$ 14.05</t>
  </si>
  <si>
    <t>$ 25.92</t>
  </si>
  <si>
    <t>$ 62.42</t>
  </si>
  <si>
    <t>$252.41</t>
  </si>
  <si>
    <t>$ 44.02</t>
  </si>
  <si>
    <t>$43.07</t>
  </si>
  <si>
    <t>$ 25.41</t>
  </si>
  <si>
    <t>$ 4.36</t>
  </si>
  <si>
    <t>$ 15.11</t>
  </si>
  <si>
    <t>$ 185.64</t>
  </si>
  <si>
    <t>$190.1</t>
  </si>
  <si>
    <t>$84.95</t>
  </si>
  <si>
    <t>$23.89</t>
  </si>
  <si>
    <t>$62.06</t>
  </si>
  <si>
    <t>$ 134.46</t>
  </si>
  <si>
    <t>$13.82</t>
  </si>
  <si>
    <t>$ 44.05</t>
  </si>
  <si>
    <t>$4.17</t>
  </si>
  <si>
    <t>$ 82.28</t>
  </si>
  <si>
    <t>$131.56</t>
  </si>
  <si>
    <t>$12.85</t>
  </si>
  <si>
    <t>$18.65</t>
  </si>
  <si>
    <t>$ 31.07</t>
  </si>
  <si>
    <t>$15.57</t>
  </si>
  <si>
    <t>$38.09</t>
  </si>
  <si>
    <t>$43.88</t>
  </si>
  <si>
    <t>$79.71</t>
  </si>
  <si>
    <t>$ 13.39</t>
  </si>
  <si>
    <t>$ 39.54</t>
  </si>
  <si>
    <t>$ 6.66</t>
  </si>
  <si>
    <t>$4.31</t>
  </si>
  <si>
    <t>$4.45</t>
  </si>
  <si>
    <t>$ 14.29</t>
  </si>
  <si>
    <t>$ 114.11</t>
  </si>
  <si>
    <t>$6.55</t>
  </si>
  <si>
    <t>$39.32</t>
  </si>
  <si>
    <t>$ 33.73</t>
  </si>
  <si>
    <t>$28.77</t>
  </si>
  <si>
    <t>$91.77</t>
  </si>
  <si>
    <t>$ 15.53</t>
  </si>
  <si>
    <t>$30.16</t>
  </si>
  <si>
    <t>$ 36.64</t>
  </si>
  <si>
    <t>$62.7</t>
  </si>
  <si>
    <t>$ 4.37</t>
  </si>
  <si>
    <t>$ 26.06</t>
  </si>
  <si>
    <t>$ 57.01</t>
  </si>
  <si>
    <t>$242.38</t>
  </si>
  <si>
    <t>$4.22</t>
  </si>
  <si>
    <t>$ 40.47</t>
  </si>
  <si>
    <t>$ 23.31</t>
  </si>
  <si>
    <t>$ 40.78</t>
  </si>
  <si>
    <t>$14.19</t>
  </si>
  <si>
    <t>$13.68</t>
  </si>
  <si>
    <t>$ 193.92</t>
  </si>
  <si>
    <t>$ 23.91</t>
  </si>
  <si>
    <t>$ 129.03</t>
  </si>
  <si>
    <t>$6.52</t>
  </si>
  <si>
    <t>$ 23.87</t>
  </si>
  <si>
    <t>$13.24</t>
  </si>
  <si>
    <t>$9.46</t>
  </si>
  <si>
    <t>$ 40.74</t>
  </si>
  <si>
    <t>$ 21.72</t>
  </si>
  <si>
    <t>$ 24.09</t>
  </si>
  <si>
    <t>$22.92</t>
  </si>
  <si>
    <t>$57.62</t>
  </si>
  <si>
    <t>$25.92</t>
  </si>
  <si>
    <t>$21.4</t>
  </si>
  <si>
    <t>$ 255.51</t>
  </si>
  <si>
    <t>$22.13</t>
  </si>
  <si>
    <t>$43.12</t>
  </si>
  <si>
    <t>$42.86</t>
  </si>
  <si>
    <t>$29.55</t>
  </si>
  <si>
    <t>$6.41</t>
  </si>
  <si>
    <t>$4.44</t>
  </si>
  <si>
    <t>$ 127.67</t>
  </si>
  <si>
    <t>$ 9.63</t>
  </si>
  <si>
    <t>$ 9.57</t>
  </si>
  <si>
    <t>$ 6.28</t>
  </si>
  <si>
    <t>$ 84.77</t>
  </si>
  <si>
    <t>$82.38</t>
  </si>
  <si>
    <t>$ 14.53</t>
  </si>
  <si>
    <t>$ 41.34</t>
  </si>
  <si>
    <t>$59.6</t>
  </si>
  <si>
    <t>$ 41.40</t>
  </si>
  <si>
    <t>$25.98</t>
  </si>
  <si>
    <t>$106.24</t>
  </si>
  <si>
    <t>$86.84</t>
  </si>
  <si>
    <t>$ 4.23</t>
  </si>
  <si>
    <t>$ 22.45</t>
  </si>
  <si>
    <t>$22.65</t>
  </si>
  <si>
    <t>$ 15.22</t>
  </si>
  <si>
    <t>$19.34</t>
  </si>
  <si>
    <t>$81.44</t>
  </si>
  <si>
    <t>$29.9</t>
  </si>
  <si>
    <t>$12.92</t>
  </si>
  <si>
    <t>$39.98</t>
  </si>
  <si>
    <t>$ 125.10</t>
  </si>
  <si>
    <t>$9.59</t>
  </si>
  <si>
    <t>$109.58</t>
  </si>
  <si>
    <t>$ 35.02</t>
  </si>
  <si>
    <t>$ 6.53</t>
  </si>
  <si>
    <t>$ 88.17</t>
  </si>
  <si>
    <t>$ 3.13</t>
  </si>
  <si>
    <t>$ 12.39</t>
  </si>
  <si>
    <t>$76.42</t>
  </si>
  <si>
    <t>$185.47</t>
  </si>
  <si>
    <t>$88.84</t>
  </si>
  <si>
    <t>$22.83</t>
  </si>
  <si>
    <t>$ 12.95</t>
  </si>
  <si>
    <t>$ 38.97</t>
  </si>
  <si>
    <t>$ 3.09</t>
  </si>
  <si>
    <t>$258.59</t>
  </si>
  <si>
    <t>$18.81</t>
  </si>
  <si>
    <t>$80.86</t>
  </si>
  <si>
    <t>$2.98</t>
  </si>
  <si>
    <t>$22.45</t>
  </si>
  <si>
    <t>$ 4.16</t>
  </si>
  <si>
    <t>$44.13</t>
  </si>
  <si>
    <t>$12.72</t>
  </si>
  <si>
    <t>$13.4</t>
  </si>
  <si>
    <t>$ 91.96</t>
  </si>
  <si>
    <t>$21.46</t>
  </si>
  <si>
    <t>$14.8</t>
  </si>
  <si>
    <t>$ 29.59</t>
  </si>
  <si>
    <t>$40.48</t>
  </si>
  <si>
    <t>$14.99</t>
  </si>
  <si>
    <t>$6.48</t>
  </si>
  <si>
    <t>$ 30.86</t>
  </si>
  <si>
    <t>$ 12.90</t>
  </si>
  <si>
    <t>$ 35.92</t>
  </si>
  <si>
    <t>$132.94</t>
  </si>
  <si>
    <t>$7.6</t>
  </si>
  <si>
    <t>$ 13.30</t>
  </si>
  <si>
    <t>$ 34.40</t>
  </si>
  <si>
    <t>$77.66</t>
  </si>
  <si>
    <t>$40.9</t>
  </si>
  <si>
    <t>$ 183.24</t>
  </si>
  <si>
    <t>$ 36.39</t>
  </si>
  <si>
    <t>$ 58.73</t>
  </si>
  <si>
    <t>$189.01</t>
  </si>
  <si>
    <t>$131.01</t>
  </si>
  <si>
    <t>$14.41</t>
  </si>
  <si>
    <t>$ 13.43</t>
  </si>
  <si>
    <t>$ 19.14</t>
  </si>
  <si>
    <t>$105.94</t>
  </si>
  <si>
    <t>$ 29.39</t>
  </si>
  <si>
    <t>$ 9.41</t>
  </si>
  <si>
    <t>$ 14.43</t>
  </si>
  <si>
    <t>$ 19.49</t>
  </si>
  <si>
    <t>$ 43.44</t>
  </si>
  <si>
    <t>$ 241.18</t>
  </si>
  <si>
    <t>$ 253.16</t>
  </si>
  <si>
    <t>$246.07</t>
  </si>
  <si>
    <t>$ 19.31</t>
  </si>
  <si>
    <t>$33.53</t>
  </si>
  <si>
    <t>$ 28.62</t>
  </si>
  <si>
    <t>$242.53</t>
  </si>
  <si>
    <t>$15.37</t>
  </si>
  <si>
    <t>$13.13</t>
  </si>
  <si>
    <t>$ 39.30</t>
  </si>
  <si>
    <t>$38.25</t>
  </si>
  <si>
    <t>$ 3.21</t>
  </si>
  <si>
    <t>$23.92</t>
  </si>
  <si>
    <t>$76.87</t>
  </si>
  <si>
    <t>$ 43.03</t>
  </si>
  <si>
    <t>$82.55</t>
  </si>
  <si>
    <t>$ 250.98</t>
  </si>
  <si>
    <t>$ 9.85</t>
  </si>
  <si>
    <t>$9.69</t>
  </si>
  <si>
    <t>$ 24.19</t>
  </si>
  <si>
    <t>$41.93</t>
  </si>
  <si>
    <t>$ 6.65</t>
  </si>
  <si>
    <t>$86.13</t>
  </si>
  <si>
    <t>$ 260.23</t>
  </si>
  <si>
    <t>$ 42.03</t>
  </si>
  <si>
    <t>$ 4.14</t>
  </si>
  <si>
    <t>$ 81.46</t>
  </si>
  <si>
    <t>$ 19.21</t>
  </si>
  <si>
    <t>$ 13.34</t>
  </si>
  <si>
    <t>$61.23</t>
  </si>
  <si>
    <t>$ 76.78</t>
  </si>
  <si>
    <t>$80.13</t>
  </si>
  <si>
    <t>$6.56</t>
  </si>
  <si>
    <t>$23.59</t>
  </si>
  <si>
    <t>$25.88</t>
  </si>
  <si>
    <t>$ 13.03</t>
  </si>
  <si>
    <t>$ 78.08</t>
  </si>
  <si>
    <t>$ 24.82</t>
  </si>
  <si>
    <t>$131.45</t>
  </si>
  <si>
    <t>$4.29</t>
  </si>
  <si>
    <t>$ 13.54</t>
  </si>
  <si>
    <t>$44.5</t>
  </si>
  <si>
    <t>$ 23.88</t>
  </si>
  <si>
    <t>$ 77.66</t>
  </si>
  <si>
    <t>$ 6.36</t>
  </si>
  <si>
    <t>$ 13.08</t>
  </si>
  <si>
    <t>$ 258.82</t>
  </si>
  <si>
    <t>$ 13.66</t>
  </si>
  <si>
    <t>$ 124.23</t>
  </si>
  <si>
    <t>$ 14.41</t>
  </si>
  <si>
    <t>$31.23</t>
  </si>
  <si>
    <t>$ 8.12</t>
  </si>
  <si>
    <t>$35.1</t>
  </si>
  <si>
    <t>$7.88</t>
  </si>
  <si>
    <t>$29.34</t>
  </si>
  <si>
    <t>$112.66</t>
  </si>
  <si>
    <t>$ 18.88</t>
  </si>
  <si>
    <t>$3.08</t>
  </si>
  <si>
    <t>$ 29.79</t>
  </si>
  <si>
    <t>$ 79.11</t>
  </si>
  <si>
    <t>$42.55</t>
  </si>
  <si>
    <t>$ 3.22</t>
  </si>
  <si>
    <t>$79.69</t>
  </si>
  <si>
    <t>$21.48</t>
  </si>
  <si>
    <t>$ 240.79</t>
  </si>
  <si>
    <t>$14.76</t>
  </si>
  <si>
    <t>$ 110.97</t>
  </si>
  <si>
    <t>$43.16</t>
  </si>
  <si>
    <t>$14.42</t>
  </si>
  <si>
    <t>$ 58.61</t>
  </si>
  <si>
    <t>$ 3.08</t>
  </si>
  <si>
    <t>$ 12.72</t>
  </si>
  <si>
    <t>$ 6.80</t>
  </si>
  <si>
    <t>$15.07</t>
  </si>
  <si>
    <t>$44.0</t>
  </si>
  <si>
    <t>$112.92</t>
  </si>
  <si>
    <t>$45.95</t>
  </si>
  <si>
    <t>$6.71</t>
  </si>
  <si>
    <t>$2.95</t>
  </si>
  <si>
    <t>$ 9.03</t>
  </si>
  <si>
    <t>$ 21.67</t>
  </si>
  <si>
    <t>$ 3.10</t>
  </si>
  <si>
    <t>$30.67</t>
  </si>
  <si>
    <t>$ 134.85</t>
  </si>
  <si>
    <t>$6.36</t>
  </si>
  <si>
    <t>$39.27</t>
  </si>
  <si>
    <t>$ 7.92</t>
  </si>
  <si>
    <t>$ 2.98</t>
  </si>
  <si>
    <t>$82.5</t>
  </si>
  <si>
    <t>$91.41</t>
  </si>
  <si>
    <t>$ 36.47</t>
  </si>
  <si>
    <t>$40.58</t>
  </si>
  <si>
    <t>$ 79.90</t>
  </si>
  <si>
    <t>$18.13</t>
  </si>
  <si>
    <t>$ 62.92</t>
  </si>
  <si>
    <t>$81.35</t>
  </si>
  <si>
    <t>$85.77</t>
  </si>
  <si>
    <t>$61.39</t>
  </si>
  <si>
    <t>$133.61</t>
  </si>
  <si>
    <t>$ 92.98</t>
  </si>
  <si>
    <t>$ 9.36</t>
  </si>
  <si>
    <t>$57.9</t>
  </si>
  <si>
    <t>$ 25.66</t>
  </si>
  <si>
    <t>$ 128.26</t>
  </si>
  <si>
    <t>$23.13</t>
  </si>
  <si>
    <t>$ 244.09</t>
  </si>
  <si>
    <t>$ 8.10</t>
  </si>
  <si>
    <t>$123.11</t>
  </si>
  <si>
    <t>$43.52</t>
  </si>
  <si>
    <t>$ 181.77</t>
  </si>
  <si>
    <t>$ 43.84</t>
  </si>
  <si>
    <t>$57.07</t>
  </si>
  <si>
    <t>$4.35</t>
  </si>
  <si>
    <t>$8.06</t>
  </si>
  <si>
    <t>$9.44</t>
  </si>
  <si>
    <t>$57.93</t>
  </si>
  <si>
    <t>$ 186.88</t>
  </si>
  <si>
    <t>$80.48</t>
  </si>
  <si>
    <t>$87.75</t>
  </si>
  <si>
    <t>$ 9.64</t>
  </si>
  <si>
    <t>$ 23.46</t>
  </si>
  <si>
    <t>$ 23.95</t>
  </si>
  <si>
    <t>$58.02</t>
  </si>
  <si>
    <t>$40.17</t>
  </si>
  <si>
    <t>$ 45.49</t>
  </si>
  <si>
    <t>$24.48</t>
  </si>
  <si>
    <t>$ 39.97</t>
  </si>
  <si>
    <t>$8.01</t>
  </si>
  <si>
    <t>$187.57</t>
  </si>
  <si>
    <t>$197.84</t>
  </si>
  <si>
    <t>$12.76</t>
  </si>
  <si>
    <t>$ 3.20</t>
  </si>
  <si>
    <t>$ 39.73</t>
  </si>
  <si>
    <t>$ 133.51</t>
  </si>
  <si>
    <t>$4.4</t>
  </si>
  <si>
    <t>$ 85.85</t>
  </si>
  <si>
    <t>$ 23.10</t>
  </si>
  <si>
    <t>$31.07</t>
  </si>
  <si>
    <t>$ 13.01</t>
  </si>
  <si>
    <t>$ 13.46</t>
  </si>
  <si>
    <t>$ 24.31</t>
  </si>
  <si>
    <t>$182.39</t>
  </si>
  <si>
    <t>$186.85</t>
  </si>
  <si>
    <t>$14.59</t>
  </si>
  <si>
    <t>$33.91</t>
  </si>
  <si>
    <t>$ 39.03</t>
  </si>
  <si>
    <t>$ 3.03</t>
  </si>
  <si>
    <t>$23.12</t>
  </si>
  <si>
    <t>$ 41.09</t>
  </si>
  <si>
    <t>$ 3.00</t>
  </si>
  <si>
    <t>$79.65</t>
  </si>
  <si>
    <t>$ 40.39</t>
  </si>
  <si>
    <t>$29.41</t>
  </si>
  <si>
    <t>$ 249.98</t>
  </si>
  <si>
    <t>$3.13</t>
  </si>
  <si>
    <t>$105.71</t>
  </si>
  <si>
    <t>$ 3.25</t>
  </si>
  <si>
    <t>$ 45.78</t>
  </si>
  <si>
    <t>$ 62.39</t>
  </si>
  <si>
    <t>$ 24.90</t>
  </si>
  <si>
    <t>$13.54</t>
  </si>
  <si>
    <t>$ 44.08</t>
  </si>
  <si>
    <t>$29.59</t>
  </si>
  <si>
    <t>$124.6</t>
  </si>
  <si>
    <t>$ 9.24</t>
  </si>
  <si>
    <t>$4.33</t>
  </si>
  <si>
    <t>$ 3.11</t>
  </si>
  <si>
    <t>$ 86.42</t>
  </si>
  <si>
    <t>$249.01</t>
  </si>
  <si>
    <t>$9.31</t>
  </si>
  <si>
    <t>$ 89.07</t>
  </si>
  <si>
    <t>$34.39</t>
  </si>
  <si>
    <t>$ 253.18</t>
  </si>
  <si>
    <t>$19.53</t>
  </si>
  <si>
    <t>$38.4</t>
  </si>
  <si>
    <t>$ 30.00</t>
  </si>
  <si>
    <t>$ 126.66</t>
  </si>
  <si>
    <t>$ 38.89</t>
  </si>
  <si>
    <t>$238.97</t>
  </si>
  <si>
    <t>$181.3</t>
  </si>
  <si>
    <t>$ 62.63</t>
  </si>
  <si>
    <t>$ 41.28</t>
  </si>
  <si>
    <t>$ 23.60</t>
  </si>
  <si>
    <t>$89.06</t>
  </si>
  <si>
    <t>$14.89</t>
  </si>
  <si>
    <t>$15.45</t>
  </si>
  <si>
    <t>$ 9.40</t>
  </si>
  <si>
    <t>$6.67</t>
  </si>
  <si>
    <t>$14.14</t>
  </si>
  <si>
    <t>$ 31.25</t>
  </si>
  <si>
    <t>$ 60.77</t>
  </si>
  <si>
    <t>$13.89</t>
  </si>
  <si>
    <t>$ 77.33</t>
  </si>
  <si>
    <t>$ 192.16</t>
  </si>
  <si>
    <t>$ 30.90</t>
  </si>
  <si>
    <t>$ 246.01</t>
  </si>
  <si>
    <t>$ 12.40</t>
  </si>
  <si>
    <t>$7.76</t>
  </si>
  <si>
    <t>$6.54</t>
  </si>
  <si>
    <t>$30.09</t>
  </si>
  <si>
    <t>$15.7</t>
  </si>
  <si>
    <t>$ 21.47</t>
  </si>
  <si>
    <t>$ 21.80</t>
  </si>
  <si>
    <t>$260.02</t>
  </si>
  <si>
    <t>$237.06</t>
  </si>
  <si>
    <t>$ 7.47</t>
  </si>
  <si>
    <t>$ 42.36</t>
  </si>
  <si>
    <t>$ 107.40</t>
  </si>
  <si>
    <t>$41.59</t>
  </si>
  <si>
    <t>$2.96</t>
  </si>
  <si>
    <t>$30.22</t>
  </si>
  <si>
    <t>$ 12.58</t>
  </si>
  <si>
    <t>$93.12</t>
  </si>
  <si>
    <t>$6.23</t>
  </si>
  <si>
    <t>$6.62</t>
  </si>
  <si>
    <t>$12.62</t>
  </si>
  <si>
    <t>$ 4.32</t>
  </si>
  <si>
    <t>$ 130.46</t>
  </si>
  <si>
    <t>$40.08</t>
  </si>
  <si>
    <t>$ 7.73</t>
  </si>
  <si>
    <t>$ 33.87</t>
  </si>
  <si>
    <t>$ 132.29</t>
  </si>
  <si>
    <t>$115.0</t>
  </si>
  <si>
    <t>$45.38</t>
  </si>
  <si>
    <t>$58.19</t>
  </si>
  <si>
    <t>$22.58</t>
  </si>
  <si>
    <t>$ 41.43</t>
  </si>
  <si>
    <t>$39.75</t>
  </si>
  <si>
    <t>$18.84</t>
  </si>
  <si>
    <t>$57.57</t>
  </si>
  <si>
    <t>$13.3</t>
  </si>
  <si>
    <t>$ 7.93</t>
  </si>
  <si>
    <t>$81.26</t>
  </si>
  <si>
    <t>$ 3.18</t>
  </si>
  <si>
    <t>$87.29</t>
  </si>
  <si>
    <t>$ 59.22</t>
  </si>
  <si>
    <t>$45.98</t>
  </si>
  <si>
    <t>$ 12.68</t>
  </si>
  <si>
    <t>$13.55</t>
  </si>
  <si>
    <t>$198.24</t>
  </si>
  <si>
    <t>$ 109.00</t>
  </si>
  <si>
    <t>$45.66</t>
  </si>
  <si>
    <t>$44.45</t>
  </si>
  <si>
    <t>$ 239.51</t>
  </si>
  <si>
    <t>$ 29.41</t>
  </si>
  <si>
    <t>$ 13.50</t>
  </si>
  <si>
    <t>$ 58.78</t>
  </si>
  <si>
    <t>$107.63</t>
  </si>
  <si>
    <t>$41.82</t>
  </si>
  <si>
    <t>$243.81</t>
  </si>
  <si>
    <t>$107.96</t>
  </si>
  <si>
    <t>$ 38.70</t>
  </si>
  <si>
    <t>$ 14.23</t>
  </si>
  <si>
    <t>$ 126.80</t>
  </si>
  <si>
    <t>$3.15</t>
  </si>
  <si>
    <t>$92.61</t>
  </si>
  <si>
    <t>$6.24</t>
  </si>
  <si>
    <t>$ 43.93</t>
  </si>
  <si>
    <t>$128.11</t>
  </si>
  <si>
    <t>$ 259.96</t>
  </si>
  <si>
    <t>$13.5</t>
  </si>
  <si>
    <t>$12.82</t>
  </si>
  <si>
    <t>$ 24.47</t>
  </si>
  <si>
    <t>$ 4.29</t>
  </si>
  <si>
    <t>$ 57.26</t>
  </si>
  <si>
    <t>$41.02</t>
  </si>
  <si>
    <t>$7.7</t>
  </si>
  <si>
    <t>$ 242.51</t>
  </si>
  <si>
    <t>$131.26</t>
  </si>
  <si>
    <t>$255.2</t>
  </si>
  <si>
    <t>$ 85.16</t>
  </si>
  <si>
    <t>$ 86.56</t>
  </si>
  <si>
    <t>$ 28.50</t>
  </si>
  <si>
    <t>$14.28</t>
  </si>
  <si>
    <t>$14.94</t>
  </si>
  <si>
    <t>$ 106.88</t>
  </si>
  <si>
    <t>$6.73</t>
  </si>
  <si>
    <t>$ 9.68</t>
  </si>
  <si>
    <t>$ 79.40</t>
  </si>
  <si>
    <t>$7.5</t>
  </si>
  <si>
    <t>$ 90.87</t>
  </si>
  <si>
    <t>$86.25</t>
  </si>
  <si>
    <t>$19.58</t>
  </si>
  <si>
    <t>$ 25.71</t>
  </si>
  <si>
    <t>$42.43</t>
  </si>
  <si>
    <t>$ 7.78</t>
  </si>
  <si>
    <t>$ 6.76</t>
  </si>
  <si>
    <t>$45.43</t>
  </si>
  <si>
    <t>$6.66</t>
  </si>
  <si>
    <t>$3.04</t>
  </si>
  <si>
    <t>$13.02</t>
  </si>
  <si>
    <t>$ 104.98</t>
  </si>
  <si>
    <t>$ 131.65</t>
  </si>
  <si>
    <t>$4.18</t>
  </si>
  <si>
    <t>$ 45.18</t>
  </si>
  <si>
    <t>$ 89.40</t>
  </si>
  <si>
    <t>$15.09</t>
  </si>
  <si>
    <t>$8.13</t>
  </si>
  <si>
    <t>$19.3</t>
  </si>
  <si>
    <t>$ 13.35</t>
  </si>
  <si>
    <t>$40.62</t>
  </si>
  <si>
    <t>$ 7.52</t>
  </si>
  <si>
    <t>$ 76.07</t>
  </si>
  <si>
    <t>$30.51</t>
  </si>
  <si>
    <t>$34.33</t>
  </si>
  <si>
    <t>$ 46.99</t>
  </si>
  <si>
    <t>$ 3.17</t>
  </si>
  <si>
    <t>$ 131.04</t>
  </si>
  <si>
    <t>$14.34</t>
  </si>
  <si>
    <t>$42.35</t>
  </si>
  <si>
    <t>$ 14.39</t>
  </si>
  <si>
    <t>$38.02</t>
  </si>
  <si>
    <t>$7.79</t>
  </si>
  <si>
    <t>$ 36.01</t>
  </si>
  <si>
    <t>$43.13</t>
  </si>
  <si>
    <t>$ 35.58</t>
  </si>
  <si>
    <t>$39.49</t>
  </si>
  <si>
    <t>$ 124.12</t>
  </si>
  <si>
    <t>$4.42</t>
  </si>
  <si>
    <t>$41.05</t>
  </si>
  <si>
    <t>$46.84</t>
  </si>
  <si>
    <t>$ 41.87</t>
  </si>
  <si>
    <t>$ 40.86</t>
  </si>
  <si>
    <t>$ 130.24</t>
  </si>
  <si>
    <t>$38.79</t>
  </si>
  <si>
    <t>$ 105.78</t>
  </si>
  <si>
    <t>$ 246.83</t>
  </si>
  <si>
    <t>$6.2</t>
  </si>
  <si>
    <t>$237.97</t>
  </si>
  <si>
    <t>$ 29.61</t>
  </si>
  <si>
    <t>$4.06</t>
  </si>
  <si>
    <t>$ 14.67</t>
  </si>
  <si>
    <t>$ 40.72</t>
  </si>
  <si>
    <t>$ 115.39</t>
  </si>
  <si>
    <t>$ 14.97</t>
  </si>
  <si>
    <t>$12.97</t>
  </si>
  <si>
    <t>$44.26</t>
  </si>
  <si>
    <t>$ 13.52</t>
  </si>
  <si>
    <t>$ 197.69</t>
  </si>
  <si>
    <t>$89.26</t>
  </si>
  <si>
    <t>$ 112.41</t>
  </si>
  <si>
    <t>$28.58</t>
  </si>
  <si>
    <t>$ 21.50</t>
  </si>
  <si>
    <t>$ 6.81</t>
  </si>
  <si>
    <t>$44.29</t>
  </si>
  <si>
    <t>$ 130.77</t>
  </si>
  <si>
    <t>$22.97</t>
  </si>
  <si>
    <t>$91.83</t>
  </si>
  <si>
    <t>$ 4.20</t>
  </si>
  <si>
    <t>$241.5</t>
  </si>
  <si>
    <t>$ 256.82</t>
  </si>
  <si>
    <t>$ 4.34</t>
  </si>
  <si>
    <t>$18.42</t>
  </si>
  <si>
    <t>$58.57</t>
  </si>
  <si>
    <t>$13.36</t>
  </si>
  <si>
    <t>$183.42</t>
  </si>
  <si>
    <t>$43.08</t>
  </si>
  <si>
    <t>$ 130.40</t>
  </si>
  <si>
    <t>$ 18.14</t>
  </si>
  <si>
    <t>$ 42.80</t>
  </si>
  <si>
    <t>$6.39</t>
  </si>
  <si>
    <t>$113.22</t>
  </si>
  <si>
    <t>$ 22.69</t>
  </si>
  <si>
    <t>$57.15</t>
  </si>
  <si>
    <t>$ 43.65</t>
  </si>
  <si>
    <t>$ 31.17</t>
  </si>
  <si>
    <t>$252.21</t>
  </si>
  <si>
    <t>$ 4.26</t>
  </si>
  <si>
    <t>$ 14.24</t>
  </si>
  <si>
    <t>$6.42</t>
  </si>
  <si>
    <t>$57.8</t>
  </si>
  <si>
    <t>$ 4.19</t>
  </si>
  <si>
    <t>$ 180.97</t>
  </si>
  <si>
    <t>$259.97</t>
  </si>
  <si>
    <t>$24.84</t>
  </si>
  <si>
    <t>$ 19.05</t>
  </si>
  <si>
    <t>$ 88.40</t>
  </si>
  <si>
    <t>$ 197.38</t>
  </si>
  <si>
    <t>$ 31.34</t>
  </si>
  <si>
    <t>$ 42.98</t>
  </si>
  <si>
    <t>$ 110.74</t>
  </si>
  <si>
    <t>$ 7.63</t>
  </si>
  <si>
    <t>$9.91</t>
  </si>
  <si>
    <t>$2.99</t>
  </si>
  <si>
    <t>$ 90.04</t>
  </si>
  <si>
    <t>$6.75</t>
  </si>
  <si>
    <t>$ 88.42</t>
  </si>
  <si>
    <t>$83.97</t>
  </si>
  <si>
    <t>$44.15</t>
  </si>
  <si>
    <t>$40.98</t>
  </si>
  <si>
    <t>$187.24</t>
  </si>
  <si>
    <t>$ 59.14</t>
  </si>
  <si>
    <t>$13.62</t>
  </si>
  <si>
    <t>$14.31</t>
  </si>
  <si>
    <t>$60.44</t>
  </si>
  <si>
    <t>$12.93</t>
  </si>
  <si>
    <t>$ 58.81</t>
  </si>
  <si>
    <t>$4.15</t>
  </si>
  <si>
    <t>$ 90.82</t>
  </si>
  <si>
    <t>$40.55</t>
  </si>
  <si>
    <t>$ 31.24</t>
  </si>
  <si>
    <t>$ 6.37</t>
  </si>
  <si>
    <t>$24.73</t>
  </si>
  <si>
    <t>$ 42.60</t>
  </si>
  <si>
    <t>$61.26</t>
  </si>
  <si>
    <t>$8.19</t>
  </si>
  <si>
    <t>$126.23</t>
  </si>
  <si>
    <t>$12.39</t>
  </si>
  <si>
    <t>$ 4.18</t>
  </si>
  <si>
    <t>$40.68</t>
  </si>
  <si>
    <t>$46.38</t>
  </si>
  <si>
    <t>$ 9.30</t>
  </si>
  <si>
    <t>$30.2</t>
  </si>
  <si>
    <t>$4.27</t>
  </si>
  <si>
    <t>$105.96</t>
  </si>
  <si>
    <t>$260.54</t>
  </si>
  <si>
    <t>$ 130.41</t>
  </si>
  <si>
    <t>$ 23.90</t>
  </si>
  <si>
    <t>$ 23.79</t>
  </si>
  <si>
    <t>$6.57</t>
  </si>
  <si>
    <t>$21.57</t>
  </si>
  <si>
    <t>$256.24</t>
  </si>
  <si>
    <t>$ 134.03</t>
  </si>
  <si>
    <t>$ 79.98</t>
  </si>
  <si>
    <t>$ 25.52</t>
  </si>
  <si>
    <t>$76.35</t>
  </si>
  <si>
    <t>$ 104.62</t>
  </si>
  <si>
    <t>$40.36</t>
  </si>
  <si>
    <t>$ 6.39</t>
  </si>
  <si>
    <t>$62.55</t>
  </si>
  <si>
    <t>$34.24</t>
  </si>
  <si>
    <t>$ 88.71</t>
  </si>
  <si>
    <t>$ 40.12</t>
  </si>
  <si>
    <t>$ 25.57</t>
  </si>
  <si>
    <t>$6.69</t>
  </si>
  <si>
    <t>$ 15.03</t>
  </si>
  <si>
    <t>$2.97</t>
  </si>
  <si>
    <t>$ 40.15</t>
  </si>
  <si>
    <t>$ 14.19</t>
  </si>
  <si>
    <t>$ 247.19</t>
  </si>
  <si>
    <t>$77.38</t>
  </si>
  <si>
    <t>$ 4.06</t>
  </si>
  <si>
    <t>$ 187.26</t>
  </si>
  <si>
    <t>$ 7.51</t>
  </si>
  <si>
    <t>$24.78</t>
  </si>
  <si>
    <t>$ 132.33</t>
  </si>
  <si>
    <t>$ 62.87</t>
  </si>
  <si>
    <t>$ 19.62</t>
  </si>
  <si>
    <t>$ 35.41</t>
  </si>
  <si>
    <t>$77.52</t>
  </si>
  <si>
    <t>$ 80.25</t>
  </si>
  <si>
    <t>$130.95</t>
  </si>
  <si>
    <t>$9.85</t>
  </si>
  <si>
    <t>$ 83.41</t>
  </si>
  <si>
    <t>$123.07</t>
  </si>
  <si>
    <t>$190.75</t>
  </si>
  <si>
    <t>$ 39.42</t>
  </si>
  <si>
    <t>$ 57.83</t>
  </si>
  <si>
    <t>$ 58.16</t>
  </si>
  <si>
    <t>$ 19.79</t>
  </si>
  <si>
    <t>$ 91.91</t>
  </si>
  <si>
    <t>$ 18.46</t>
  </si>
  <si>
    <t>$57.47</t>
  </si>
  <si>
    <t>$237.18</t>
  </si>
  <si>
    <t>$42.94</t>
  </si>
  <si>
    <t>$ 42.19</t>
  </si>
  <si>
    <t>$31.1</t>
  </si>
  <si>
    <t>$ 126.07</t>
  </si>
  <si>
    <t>$4.07</t>
  </si>
  <si>
    <t>$ 18.29</t>
  </si>
  <si>
    <t>$ 253.53</t>
  </si>
  <si>
    <t>$ 43.78</t>
  </si>
  <si>
    <t>$ 23.04</t>
  </si>
  <si>
    <t>$22.49</t>
  </si>
  <si>
    <t>$ 14.66</t>
  </si>
  <si>
    <t>$ 190.02</t>
  </si>
  <si>
    <t>$ 41.31</t>
  </si>
  <si>
    <t>$ 41.48</t>
  </si>
  <si>
    <t>$123.95</t>
  </si>
  <si>
    <t>$14.84</t>
  </si>
  <si>
    <t>$58.42</t>
  </si>
  <si>
    <t>$30.1</t>
  </si>
  <si>
    <t>$ 183.25</t>
  </si>
  <si>
    <t>$ 3.19</t>
  </si>
  <si>
    <t>$ 76.33</t>
  </si>
  <si>
    <t>$ 29.53</t>
  </si>
  <si>
    <t>$ 8.19</t>
  </si>
  <si>
    <t>$ 86.41</t>
  </si>
  <si>
    <t>$ 7.91</t>
  </si>
  <si>
    <t>$ 6.48</t>
  </si>
  <si>
    <t>$ 114.24</t>
  </si>
  <si>
    <t>$22.47</t>
  </si>
  <si>
    <t>$186.22</t>
  </si>
  <si>
    <t>$58.12</t>
  </si>
  <si>
    <t>$ 14.21</t>
  </si>
  <si>
    <t>$14.57</t>
  </si>
  <si>
    <t>$ 35.80</t>
  </si>
  <si>
    <t>$ 6.56</t>
  </si>
  <si>
    <t>$106.26</t>
  </si>
  <si>
    <t>$40.87</t>
  </si>
  <si>
    <t>$ 129.63</t>
  </si>
  <si>
    <t>$ 4.22</t>
  </si>
  <si>
    <t>$ 82.62</t>
  </si>
  <si>
    <t>$3.23</t>
  </si>
  <si>
    <t>$ 127.95</t>
  </si>
  <si>
    <t>$45.8</t>
  </si>
  <si>
    <t>$ 3.05</t>
  </si>
  <si>
    <t>$29.81</t>
  </si>
  <si>
    <t>$ 23.21</t>
  </si>
  <si>
    <t>$31.32</t>
  </si>
  <si>
    <t>$35.3</t>
  </si>
  <si>
    <t>$ 39.75</t>
  </si>
  <si>
    <t>$13.63</t>
  </si>
  <si>
    <t>$ 8.16</t>
  </si>
  <si>
    <t>$195.04</t>
  </si>
  <si>
    <t>$12.95</t>
  </si>
  <si>
    <t>$14.48</t>
  </si>
  <si>
    <t>$ 4.04</t>
  </si>
  <si>
    <t>$41.89</t>
  </si>
  <si>
    <t>$41.07</t>
  </si>
  <si>
    <t>$ 13.60</t>
  </si>
  <si>
    <t>$ 24.56</t>
  </si>
  <si>
    <t>$ 115.10</t>
  </si>
  <si>
    <t>$7.91</t>
  </si>
  <si>
    <t>$ 13.53</t>
  </si>
  <si>
    <t>$ 46.40</t>
  </si>
  <si>
    <t>$13.53</t>
  </si>
  <si>
    <t>$33.4</t>
  </si>
  <si>
    <t>$29.39</t>
  </si>
  <si>
    <t>$ 60.12</t>
  </si>
  <si>
    <t>$ 23.00</t>
  </si>
  <si>
    <t>$ 21.45</t>
  </si>
  <si>
    <t>$ 30.68</t>
  </si>
  <si>
    <t>$183.04</t>
  </si>
  <si>
    <t>$13.21</t>
  </si>
  <si>
    <t>$182.63</t>
  </si>
  <si>
    <t>$14.52</t>
  </si>
  <si>
    <t>$ 249.84</t>
  </si>
  <si>
    <t>$ 12.55</t>
  </si>
  <si>
    <t>$ 40.17</t>
  </si>
  <si>
    <t>$115.1</t>
  </si>
  <si>
    <t>$ 42.77</t>
  </si>
  <si>
    <t>$ 14.26</t>
  </si>
  <si>
    <t>$88.72</t>
  </si>
  <si>
    <t>$ 29.99</t>
  </si>
  <si>
    <t>$ 87.44</t>
  </si>
  <si>
    <t>$108.98</t>
  </si>
  <si>
    <t>$ 112.38</t>
  </si>
  <si>
    <t>$14.65</t>
  </si>
  <si>
    <t>$ 23.12</t>
  </si>
  <si>
    <t>$38.87</t>
  </si>
  <si>
    <t>$ 111.91</t>
  </si>
  <si>
    <t>$ 44.54</t>
  </si>
  <si>
    <t>$ 91.54</t>
  </si>
  <si>
    <t>$ 2.97</t>
  </si>
  <si>
    <t>$ 7.95</t>
  </si>
  <si>
    <t>$4.11</t>
  </si>
  <si>
    <t>$ 12.76</t>
  </si>
  <si>
    <t>$ 238.25</t>
  </si>
  <si>
    <t>$13.81</t>
  </si>
  <si>
    <t>$14.43</t>
  </si>
  <si>
    <t>$ 9.54</t>
  </si>
  <si>
    <t>$123.9</t>
  </si>
  <si>
    <t>$ 43.82</t>
  </si>
  <si>
    <t>$86.58</t>
  </si>
  <si>
    <t>$ 191.40</t>
  </si>
  <si>
    <t>$ 35.64</t>
  </si>
  <si>
    <t>$249.15</t>
  </si>
  <si>
    <t>$7.98</t>
  </si>
  <si>
    <t>$ 13.48</t>
  </si>
  <si>
    <t>$ 62.31</t>
  </si>
  <si>
    <t>$ 39.20</t>
  </si>
  <si>
    <t>$23.43</t>
  </si>
  <si>
    <t>$87.24</t>
  </si>
  <si>
    <t>$91.98</t>
  </si>
  <si>
    <t>$ 43.21</t>
  </si>
  <si>
    <t>$24.46</t>
  </si>
  <si>
    <t>$24.55</t>
  </si>
  <si>
    <t>$249.92</t>
  </si>
  <si>
    <t>$135.0</t>
  </si>
  <si>
    <t>$ 6.68</t>
  </si>
  <si>
    <t>$81.7</t>
  </si>
  <si>
    <t>$12.78</t>
  </si>
  <si>
    <t>$ 40.99</t>
  </si>
  <si>
    <t>$ 108.42</t>
  </si>
  <si>
    <t>$ 21.54</t>
  </si>
  <si>
    <t>$ 23.33</t>
  </si>
  <si>
    <t>$3.05</t>
  </si>
  <si>
    <t>$261.1</t>
  </si>
  <si>
    <t>$23.09</t>
  </si>
  <si>
    <t>$25.73</t>
  </si>
  <si>
    <t>$107.3</t>
  </si>
  <si>
    <t>$4.37</t>
  </si>
  <si>
    <t>$ 8.15</t>
  </si>
  <si>
    <t>$9.03</t>
  </si>
  <si>
    <t>$39.2</t>
  </si>
  <si>
    <t>$ 24.43</t>
  </si>
  <si>
    <t>$38.21</t>
  </si>
  <si>
    <t>$57.5</t>
  </si>
  <si>
    <t>$ 123.24</t>
  </si>
  <si>
    <t>$ 260.99</t>
  </si>
  <si>
    <t>$ 112.37</t>
  </si>
  <si>
    <t>$3.12</t>
  </si>
  <si>
    <t>$ 85.36</t>
  </si>
  <si>
    <t>$129.31</t>
  </si>
  <si>
    <t>$12.71</t>
  </si>
  <si>
    <t>$ 22.11</t>
  </si>
  <si>
    <t>$ 187.04</t>
  </si>
  <si>
    <t>$6.34</t>
  </si>
  <si>
    <t>$252.32</t>
  </si>
  <si>
    <t>$21.68</t>
  </si>
  <si>
    <t>$26.08</t>
  </si>
  <si>
    <t>$ 41.93</t>
  </si>
  <si>
    <t>$86.8</t>
  </si>
  <si>
    <t>$ 6.26</t>
  </si>
  <si>
    <t>5%</t>
  </si>
  <si>
    <t>10%</t>
  </si>
  <si>
    <t>S. Okafor</t>
  </si>
  <si>
    <t>L. Rossi</t>
  </si>
  <si>
    <t>J. Smith</t>
  </si>
  <si>
    <t>R. Fernandez</t>
  </si>
  <si>
    <t>M. Chen</t>
  </si>
  <si>
    <t>A. Kapoor</t>
  </si>
  <si>
    <t>T. Nguyen</t>
  </si>
  <si>
    <t>Credit Card</t>
  </si>
  <si>
    <t>Bank Transfer</t>
  </si>
  <si>
    <t>COD</t>
  </si>
  <si>
    <t>PayPal</t>
  </si>
  <si>
    <t>Debit Card</t>
  </si>
  <si>
    <t>credit card</t>
  </si>
  <si>
    <t>Returned</t>
  </si>
  <si>
    <t>Pending</t>
  </si>
  <si>
    <t>Completed</t>
  </si>
  <si>
    <t>completed</t>
  </si>
  <si>
    <t>Cancelled</t>
  </si>
  <si>
    <t>COMPLETED</t>
  </si>
  <si>
    <t>Not Known</t>
  </si>
  <si>
    <t>Row Labels</t>
  </si>
  <si>
    <t>Grand Total</t>
  </si>
  <si>
    <t>2025</t>
  </si>
  <si>
    <t>2024</t>
  </si>
  <si>
    <t>Order Date</t>
  </si>
  <si>
    <t>Revenue</t>
  </si>
  <si>
    <t>Ishaan Davis</t>
  </si>
  <si>
    <t>Arjun Iyer</t>
  </si>
  <si>
    <t>Liam Jackson</t>
  </si>
  <si>
    <t>Daniel Johnson</t>
  </si>
  <si>
    <t>Zara Moore</t>
  </si>
  <si>
    <t>Ava Clark</t>
  </si>
  <si>
    <t>Mia Anderson</t>
  </si>
  <si>
    <t>Ishaan Kapoor</t>
  </si>
  <si>
    <t>Lily Jackson</t>
  </si>
  <si>
    <t>Ava Moore</t>
  </si>
  <si>
    <t>Olivia Davis</t>
  </si>
  <si>
    <t>Lily Wilson</t>
  </si>
  <si>
    <t>Rohan Taylor</t>
  </si>
  <si>
    <t>Liam Iyer</t>
  </si>
  <si>
    <t>Total Sales</t>
  </si>
  <si>
    <t>Cancelled Order Value</t>
  </si>
  <si>
    <t>Order fulfillment rate</t>
  </si>
  <si>
    <t>Sum of Revenue</t>
  </si>
  <si>
    <t>Sum of Total Sales</t>
  </si>
  <si>
    <t>Sum of Cancelled Order Value</t>
  </si>
  <si>
    <t>Sum of Order fulfillment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</si>
</sst>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quot;₹&quot;\ * #,##0.00_ ;_ &quot;₹&quot;\ * \-#,##0.00_ ;_ &quot;₹&quot;\ * &quot;-&quot;??_ ;_ @_ "/>
    <numFmt numFmtId="164" formatCode="[$$-409]#,##0.00"/>
    <numFmt numFmtId="165" formatCode="_-[$$-409]* #,##0.00_ ;_-[$$-409]* \-#,##0.00\ ;_-[$$-409]* &quot;-&quot;??_ ;_-@_ "/>
    <numFmt numFmtId="166" formatCode="[$$-409]#,##0.00_ ;\-[$$-409]#,##0.00\ "/>
    <numFmt numFmtId="167" formatCode="&quot;₹&quot;\ #,##0.00"/>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9" fontId="0" fillId="0" borderId="0" xfId="2" applyFont="1"/>
    <xf numFmtId="166" fontId="0" fillId="0" borderId="0" xfId="1" applyNumberFormat="1" applyFont="1" applyAlignment="1">
      <alignment horizontal="right" indent="1"/>
    </xf>
    <xf numFmtId="166" fontId="0" fillId="0" borderId="0" xfId="0" applyNumberFormat="1"/>
    <xf numFmtId="9" fontId="0" fillId="0" borderId="0" xfId="0" applyNumberFormat="1"/>
    <xf numFmtId="167" fontId="0" fillId="0" borderId="0" xfId="0" applyNumberFormat="1"/>
  </cellXfs>
  <cellStyles count="3">
    <cellStyle name="Currency" xfId="1" builtinId="4"/>
    <cellStyle name="Normal" xfId="0" builtinId="0"/>
    <cellStyle name="Percent" xfId="2" builtinId="5"/>
  </cellStyles>
  <dxfs count="12">
    <dxf>
      <numFmt numFmtId="164" formatCode="[$$-409]#,##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s>
  <tableStyles count="1" defaultTableStyle="TableStyleMedium9" defaultPivotStyle="PivotStyleLight16">
    <tableStyle name="Invisible" pivot="0" table="0" count="0" xr9:uid="{BAE52FE7-770D-4E39-8788-3A465F8C248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17/10/relationships/person" Target="persons/person.xml"/><Relationship Id="rId18" Type="http://schemas.openxmlformats.org/officeDocument/2006/relationships/customXml" Target="../customXml/item4.xml"/><Relationship Id="rId26" Type="http://schemas.openxmlformats.org/officeDocument/2006/relationships/customXml" Target="../customXml/item12.xml"/><Relationship Id="rId3" Type="http://schemas.openxmlformats.org/officeDocument/2006/relationships/worksheet" Target="worksheets/sheet3.xml"/><Relationship Id="rId21" Type="http://schemas.openxmlformats.org/officeDocument/2006/relationships/customXml" Target="../customXml/item7.xml"/><Relationship Id="rId7" Type="http://schemas.microsoft.com/office/2007/relationships/slicerCache" Target="slicerCaches/slicerCache1.xml"/><Relationship Id="rId12" Type="http://schemas.openxmlformats.org/officeDocument/2006/relationships/sharedStrings" Target="sharedStrings.xml"/><Relationship Id="rId17" Type="http://schemas.openxmlformats.org/officeDocument/2006/relationships/customXml" Target="../customXml/item3.xml"/><Relationship Id="rId25" Type="http://schemas.openxmlformats.org/officeDocument/2006/relationships/customXml" Target="../customXml/item11.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29"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24" Type="http://schemas.openxmlformats.org/officeDocument/2006/relationships/customXml" Target="../customXml/item10.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23" Type="http://schemas.openxmlformats.org/officeDocument/2006/relationships/customXml" Target="../customXml/item9.xml"/><Relationship Id="rId28" Type="http://schemas.openxmlformats.org/officeDocument/2006/relationships/customXml" Target="../customXml/item14.xml"/><Relationship Id="rId10" Type="http://schemas.openxmlformats.org/officeDocument/2006/relationships/connections" Target="connections.xml"/><Relationship Id="rId19" Type="http://schemas.openxmlformats.org/officeDocument/2006/relationships/customXml" Target="../customXml/item5.xml"/><Relationship Id="rId31"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 Id="rId22" Type="http://schemas.openxmlformats.org/officeDocument/2006/relationships/customXml" Target="../customXml/item8.xml"/><Relationship Id="rId27" Type="http://schemas.openxmlformats.org/officeDocument/2006/relationships/customXml" Target="../customXml/item13.xml"/><Relationship Id="rId30"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Dashboard.xlsx]Pivot_Tables!Revenue by region</c:name>
    <c:fmtId val="6"/>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Sales By Region</a:t>
            </a:r>
          </a:p>
        </c:rich>
      </c:tx>
      <c:layout>
        <c:manualLayout>
          <c:xMode val="edge"/>
          <c:yMode val="edge"/>
          <c:x val="0.27213931564216381"/>
          <c:y val="3.55311804425525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Pivot_Tables!$B$3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C46-4F3B-ABB1-2659EF2CFA1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C46-4F3B-ABB1-2659EF2CFA1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C46-4F3B-ABB1-2659EF2CFA1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C46-4F3B-ABB1-2659EF2CFA1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C46-4F3B-ABB1-2659EF2CFA1C}"/>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Pivot_Tables!$A$4:$A$9</c:f>
              <c:strCache>
                <c:ptCount val="5"/>
                <c:pt idx="0">
                  <c:v>North</c:v>
                </c:pt>
                <c:pt idx="1">
                  <c:v>West</c:v>
                </c:pt>
                <c:pt idx="2">
                  <c:v>East</c:v>
                </c:pt>
                <c:pt idx="3">
                  <c:v>Central</c:v>
                </c:pt>
                <c:pt idx="4">
                  <c:v>South</c:v>
                </c:pt>
              </c:strCache>
            </c:strRef>
          </c:cat>
          <c:val>
            <c:numRef>
              <c:f>Pivot_Tables!$B$4:$B$9</c:f>
              <c:numCache>
                <c:formatCode>[$$-409]#,##0.00</c:formatCode>
                <c:ptCount val="5"/>
                <c:pt idx="0">
                  <c:v>37015.494999999981</c:v>
                </c:pt>
                <c:pt idx="1">
                  <c:v>36266.089500000002</c:v>
                </c:pt>
                <c:pt idx="2">
                  <c:v>35501.629500000032</c:v>
                </c:pt>
                <c:pt idx="3">
                  <c:v>30995.197499999991</c:v>
                </c:pt>
                <c:pt idx="4">
                  <c:v>29356.539000000008</c:v>
                </c:pt>
              </c:numCache>
            </c:numRef>
          </c:val>
          <c:extLst>
            <c:ext xmlns:c16="http://schemas.microsoft.com/office/drawing/2014/chart" uri="{C3380CC4-5D6E-409C-BE32-E72D297353CC}">
              <c16:uniqueId val="{0000000A-3C46-4F3B-ABB1-2659EF2CFA1C}"/>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9102396589072654"/>
          <c:y val="0.36444981560849193"/>
          <c:w val="0.15439088127084552"/>
          <c:h val="0.445018937506229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Dashboard.xlsx]Pivot_Tables!Revenue by country</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Sales By Country</a:t>
            </a:r>
          </a:p>
        </c:rich>
      </c:tx>
      <c:layout>
        <c:manualLayout>
          <c:xMode val="edge"/>
          <c:yMode val="edge"/>
          <c:x val="0.40619151689205174"/>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Pivot_Tables!$D$4:$D$15</c:f>
              <c:strCache>
                <c:ptCount val="11"/>
                <c:pt idx="0">
                  <c:v>USA</c:v>
                </c:pt>
                <c:pt idx="1">
                  <c:v>Canada</c:v>
                </c:pt>
                <c:pt idx="2">
                  <c:v>UK</c:v>
                </c:pt>
                <c:pt idx="3">
                  <c:v>China</c:v>
                </c:pt>
                <c:pt idx="4">
                  <c:v>Poland</c:v>
                </c:pt>
                <c:pt idx="5">
                  <c:v>Japan</c:v>
                </c:pt>
                <c:pt idx="6">
                  <c:v>Mexico</c:v>
                </c:pt>
                <c:pt idx="7">
                  <c:v>France</c:v>
                </c:pt>
                <c:pt idx="8">
                  <c:v>Germany</c:v>
                </c:pt>
                <c:pt idx="9">
                  <c:v>Brazil</c:v>
                </c:pt>
                <c:pt idx="10">
                  <c:v>India</c:v>
                </c:pt>
              </c:strCache>
            </c:strRef>
          </c:cat>
          <c:val>
            <c:numRef>
              <c:f>Pivot_Tables!$E$4:$E$15</c:f>
              <c:numCache>
                <c:formatCode>[$$-409]#,##0.00</c:formatCode>
                <c:ptCount val="11"/>
                <c:pt idx="0">
                  <c:v>48968.434499999959</c:v>
                </c:pt>
                <c:pt idx="1">
                  <c:v>20950.796999999999</c:v>
                </c:pt>
                <c:pt idx="2">
                  <c:v>13572.244999999995</c:v>
                </c:pt>
                <c:pt idx="3">
                  <c:v>12964.098999999995</c:v>
                </c:pt>
                <c:pt idx="4">
                  <c:v>12721.400999999998</c:v>
                </c:pt>
                <c:pt idx="5">
                  <c:v>11021.119000000001</c:v>
                </c:pt>
                <c:pt idx="6">
                  <c:v>10275.112499999999</c:v>
                </c:pt>
                <c:pt idx="7">
                  <c:v>8633.8170000000046</c:v>
                </c:pt>
                <c:pt idx="8">
                  <c:v>8448.4845000000005</c:v>
                </c:pt>
                <c:pt idx="9">
                  <c:v>7726.835</c:v>
                </c:pt>
                <c:pt idx="10">
                  <c:v>7669.8974999999982</c:v>
                </c:pt>
              </c:numCache>
            </c:numRef>
          </c:val>
          <c:extLst>
            <c:ext xmlns:c16="http://schemas.microsoft.com/office/drawing/2014/chart" uri="{C3380CC4-5D6E-409C-BE32-E72D297353CC}">
              <c16:uniqueId val="{00000000-34A7-4C3A-B372-13660304B442}"/>
            </c:ext>
          </c:extLst>
        </c:ser>
        <c:dLbls>
          <c:dLblPos val="outEnd"/>
          <c:showLegendKey val="0"/>
          <c:showVal val="1"/>
          <c:showCatName val="0"/>
          <c:showSerName val="0"/>
          <c:showPercent val="0"/>
          <c:showBubbleSize val="0"/>
        </c:dLbls>
        <c:gapWidth val="219"/>
        <c:overlap val="-27"/>
        <c:axId val="336961855"/>
        <c:axId val="639469008"/>
      </c:barChart>
      <c:catAx>
        <c:axId val="336961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39469008"/>
        <c:crosses val="autoZero"/>
        <c:auto val="1"/>
        <c:lblAlgn val="ctr"/>
        <c:lblOffset val="100"/>
        <c:noMultiLvlLbl val="0"/>
      </c:catAx>
      <c:valAx>
        <c:axId val="639469008"/>
        <c:scaling>
          <c:orientation val="minMax"/>
        </c:scaling>
        <c:delete val="1"/>
        <c:axPos val="l"/>
        <c:numFmt formatCode="[$$-409]#,##0.00" sourceLinked="1"/>
        <c:majorTickMark val="none"/>
        <c:minorTickMark val="none"/>
        <c:tickLblPos val="nextTo"/>
        <c:crossAx val="336961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Dashboard.xlsx]Pivot_Tables!Revenue By RepSales</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Sales By SalesRep</a:t>
            </a:r>
          </a:p>
        </c:rich>
      </c:tx>
      <c:layout>
        <c:manualLayout>
          <c:xMode val="edge"/>
          <c:yMode val="edge"/>
          <c:x val="0.3313748906386701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Pivot_Tables!$E$21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Pivot_Tables!$D$22:$D$29</c:f>
              <c:strCache>
                <c:ptCount val="7"/>
                <c:pt idx="0">
                  <c:v>R. Fernandez</c:v>
                </c:pt>
                <c:pt idx="1">
                  <c:v>L. Rossi</c:v>
                </c:pt>
                <c:pt idx="2">
                  <c:v>J. Smith</c:v>
                </c:pt>
                <c:pt idx="3">
                  <c:v>M. Chen</c:v>
                </c:pt>
                <c:pt idx="4">
                  <c:v>S. Okafor</c:v>
                </c:pt>
                <c:pt idx="5">
                  <c:v>T. Nguyen</c:v>
                </c:pt>
                <c:pt idx="6">
                  <c:v>A. Kapoor</c:v>
                </c:pt>
              </c:strCache>
            </c:strRef>
          </c:cat>
          <c:val>
            <c:numRef>
              <c:f>Pivot_Tables!$E$22:$E$29</c:f>
              <c:numCache>
                <c:formatCode>[$$-409]#,##0.00</c:formatCode>
                <c:ptCount val="7"/>
                <c:pt idx="0">
                  <c:v>18248.923000000003</c:v>
                </c:pt>
                <c:pt idx="1">
                  <c:v>18369.918000000005</c:v>
                </c:pt>
                <c:pt idx="2">
                  <c:v>20005.999000000003</c:v>
                </c:pt>
                <c:pt idx="3">
                  <c:v>21017.120999999996</c:v>
                </c:pt>
                <c:pt idx="4">
                  <c:v>22887.103000000003</c:v>
                </c:pt>
                <c:pt idx="5">
                  <c:v>23070.085500000012</c:v>
                </c:pt>
                <c:pt idx="6">
                  <c:v>26830.64150000002</c:v>
                </c:pt>
              </c:numCache>
            </c:numRef>
          </c:val>
          <c:extLst>
            <c:ext xmlns:c16="http://schemas.microsoft.com/office/drawing/2014/chart" uri="{C3380CC4-5D6E-409C-BE32-E72D297353CC}">
              <c16:uniqueId val="{00000000-7C36-45C5-A538-2A1FD239F3E9}"/>
            </c:ext>
          </c:extLst>
        </c:ser>
        <c:dLbls>
          <c:showLegendKey val="0"/>
          <c:showVal val="1"/>
          <c:showCatName val="0"/>
          <c:showSerName val="0"/>
          <c:showPercent val="0"/>
          <c:showBubbleSize val="0"/>
        </c:dLbls>
        <c:gapWidth val="182"/>
        <c:axId val="337055119"/>
        <c:axId val="327790799"/>
      </c:barChart>
      <c:catAx>
        <c:axId val="337055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27790799"/>
        <c:crosses val="autoZero"/>
        <c:auto val="1"/>
        <c:lblAlgn val="ctr"/>
        <c:lblOffset val="100"/>
        <c:noMultiLvlLbl val="0"/>
      </c:catAx>
      <c:valAx>
        <c:axId val="327790799"/>
        <c:scaling>
          <c:orientation val="minMax"/>
        </c:scaling>
        <c:delete val="1"/>
        <c:axPos val="b"/>
        <c:numFmt formatCode="[$$-409]#,##0.00" sourceLinked="1"/>
        <c:majorTickMark val="none"/>
        <c:minorTickMark val="none"/>
        <c:tickLblPos val="nextTo"/>
        <c:crossAx val="337055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Dashboard.xlsx]Pivot_Tables!Revenue by Category</c:name>
    <c:fmtId val="11"/>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037037037037035E-2"/>
          <c:y val="0.17799270284357444"/>
          <c:w val="0.9320987654320988"/>
          <c:h val="0.69419003361005549"/>
        </c:manualLayout>
      </c:layout>
      <c:barChart>
        <c:barDir val="col"/>
        <c:grouping val="clustered"/>
        <c:varyColors val="0"/>
        <c:ser>
          <c:idx val="0"/>
          <c:order val="0"/>
          <c:tx>
            <c:strRef>
              <c:f>Pivot_Tables!$H$3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Pivot_Tables!$G$4:$G$9</c:f>
              <c:strCache>
                <c:ptCount val="5"/>
                <c:pt idx="0">
                  <c:v>Furniture</c:v>
                </c:pt>
                <c:pt idx="1">
                  <c:v>Electronics</c:v>
                </c:pt>
                <c:pt idx="2">
                  <c:v>Home &amp; Kitchen</c:v>
                </c:pt>
                <c:pt idx="3">
                  <c:v>Apparel</c:v>
                </c:pt>
                <c:pt idx="4">
                  <c:v>Office Supplies</c:v>
                </c:pt>
              </c:strCache>
            </c:strRef>
          </c:cat>
          <c:val>
            <c:numRef>
              <c:f>Pivot_Tables!$H$4:$H$9</c:f>
              <c:numCache>
                <c:formatCode>[$$-409]#,##0.00</c:formatCode>
                <c:ptCount val="5"/>
                <c:pt idx="0">
                  <c:v>96047.030499999993</c:v>
                </c:pt>
                <c:pt idx="1">
                  <c:v>33509.714500000024</c:v>
                </c:pt>
                <c:pt idx="2">
                  <c:v>19161.770000000008</c:v>
                </c:pt>
                <c:pt idx="3">
                  <c:v>14121.027999999993</c:v>
                </c:pt>
                <c:pt idx="4">
                  <c:v>4111.9534999999996</c:v>
                </c:pt>
              </c:numCache>
            </c:numRef>
          </c:val>
          <c:extLst>
            <c:ext xmlns:c16="http://schemas.microsoft.com/office/drawing/2014/chart" uri="{C3380CC4-5D6E-409C-BE32-E72D297353CC}">
              <c16:uniqueId val="{00000000-FD28-4471-9A18-0777929EC4C4}"/>
            </c:ext>
          </c:extLst>
        </c:ser>
        <c:dLbls>
          <c:showLegendKey val="0"/>
          <c:showVal val="1"/>
          <c:showCatName val="0"/>
          <c:showSerName val="0"/>
          <c:showPercent val="0"/>
          <c:showBubbleSize val="0"/>
        </c:dLbls>
        <c:gapWidth val="150"/>
        <c:axId val="1969538544"/>
        <c:axId val="2068108848"/>
      </c:barChart>
      <c:catAx>
        <c:axId val="196953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68108848"/>
        <c:crosses val="autoZero"/>
        <c:auto val="1"/>
        <c:lblAlgn val="ctr"/>
        <c:lblOffset val="100"/>
        <c:noMultiLvlLbl val="0"/>
      </c:catAx>
      <c:valAx>
        <c:axId val="2068108848"/>
        <c:scaling>
          <c:orientation val="minMax"/>
        </c:scaling>
        <c:delete val="1"/>
        <c:axPos val="l"/>
        <c:numFmt formatCode="[$$-409]#,##0.00" sourceLinked="1"/>
        <c:majorTickMark val="none"/>
        <c:minorTickMark val="none"/>
        <c:tickLblPos val="nextTo"/>
        <c:crossAx val="1969538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Dashboard.xlsx]Pivot_Tables!Revenue by Product</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Top 10 Products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Pivot_Tables!$K$3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Pivot_Tables!$J$4:$J$14</c:f>
              <c:strCache>
                <c:ptCount val="10"/>
                <c:pt idx="0">
                  <c:v>Hoodie</c:v>
                </c:pt>
                <c:pt idx="1">
                  <c:v>Coffee Maker</c:v>
                </c:pt>
                <c:pt idx="2">
                  <c:v>Blender</c:v>
                </c:pt>
                <c:pt idx="3">
                  <c:v>Running Shoes</c:v>
                </c:pt>
                <c:pt idx="4">
                  <c:v>Air Fryer</c:v>
                </c:pt>
                <c:pt idx="5">
                  <c:v>Bookshelf</c:v>
                </c:pt>
                <c:pt idx="6">
                  <c:v>Office Chair</c:v>
                </c:pt>
                <c:pt idx="7">
                  <c:v>Filing Cabinet</c:v>
                </c:pt>
                <c:pt idx="8">
                  <c:v>27in Monitor</c:v>
                </c:pt>
                <c:pt idx="9">
                  <c:v>Standing Desk</c:v>
                </c:pt>
              </c:strCache>
            </c:strRef>
          </c:cat>
          <c:val>
            <c:numRef>
              <c:f>Pivot_Tables!$K$4:$K$14</c:f>
              <c:numCache>
                <c:formatCode>[$$-409]#,##0.00</c:formatCode>
                <c:ptCount val="10"/>
                <c:pt idx="0">
                  <c:v>3753.6699999999992</c:v>
                </c:pt>
                <c:pt idx="1">
                  <c:v>4240.1965</c:v>
                </c:pt>
                <c:pt idx="2">
                  <c:v>4569.2334999999994</c:v>
                </c:pt>
                <c:pt idx="3">
                  <c:v>7530.7294999999976</c:v>
                </c:pt>
                <c:pt idx="4">
                  <c:v>7791.1760000000013</c:v>
                </c:pt>
                <c:pt idx="5">
                  <c:v>14576.664500000006</c:v>
                </c:pt>
                <c:pt idx="6">
                  <c:v>18331.576499999999</c:v>
                </c:pt>
                <c:pt idx="7">
                  <c:v>20341.721500000007</c:v>
                </c:pt>
                <c:pt idx="8">
                  <c:v>22679.325499999995</c:v>
                </c:pt>
                <c:pt idx="9">
                  <c:v>43485.014500000005</c:v>
                </c:pt>
              </c:numCache>
            </c:numRef>
          </c:val>
          <c:extLst>
            <c:ext xmlns:c16="http://schemas.microsoft.com/office/drawing/2014/chart" uri="{C3380CC4-5D6E-409C-BE32-E72D297353CC}">
              <c16:uniqueId val="{00000000-E08D-45F3-896A-84E8D10A04A2}"/>
            </c:ext>
          </c:extLst>
        </c:ser>
        <c:dLbls>
          <c:dLblPos val="outEnd"/>
          <c:showLegendKey val="0"/>
          <c:showVal val="1"/>
          <c:showCatName val="0"/>
          <c:showSerName val="0"/>
          <c:showPercent val="0"/>
          <c:showBubbleSize val="0"/>
        </c:dLbls>
        <c:gapWidth val="182"/>
        <c:axId val="1975735904"/>
        <c:axId val="2067993648"/>
      </c:barChart>
      <c:catAx>
        <c:axId val="1975735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67993648"/>
        <c:crosses val="autoZero"/>
        <c:auto val="1"/>
        <c:lblAlgn val="ctr"/>
        <c:lblOffset val="100"/>
        <c:noMultiLvlLbl val="0"/>
      </c:catAx>
      <c:valAx>
        <c:axId val="2067993648"/>
        <c:scaling>
          <c:orientation val="minMax"/>
        </c:scaling>
        <c:delete val="1"/>
        <c:axPos val="b"/>
        <c:numFmt formatCode="[$$-409]#,##0.00" sourceLinked="1"/>
        <c:majorTickMark val="none"/>
        <c:minorTickMark val="none"/>
        <c:tickLblPos val="nextTo"/>
        <c:crossAx val="1975735904"/>
        <c:crosses val="autoZero"/>
        <c:crossBetween val="between"/>
      </c:valAx>
      <c:spPr>
        <a:noFill/>
        <a:ln>
          <a:solidFill>
            <a:schemeClr val="accent3">
              <a:lumMod val="20000"/>
              <a:lumOff val="80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Dashboard.xlsx]Pivot_Tables!Customer Name</c:name>
    <c:fmtId val="10"/>
  </c:pivotSource>
  <c:chart>
    <c:title>
      <c:tx>
        <c:rich>
          <a:bodyPr rot="0" vert="horz"/>
          <a:lstStyle/>
          <a:p>
            <a:pPr algn="ctr" rtl="0">
              <a:defRPr/>
            </a:pPr>
            <a:r>
              <a:rPr lang="en-IN"/>
              <a:t>Top 5 Customers By Sales</a:t>
            </a: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vert="horz"/>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vert="horz"/>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vert="horz"/>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vert="horz"/>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vert="horz"/>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Pivot_Tables!$K$30</c:f>
              <c:strCache>
                <c:ptCount val="1"/>
                <c:pt idx="0">
                  <c:v>Total</c:v>
                </c:pt>
              </c:strCache>
            </c:strRef>
          </c:tx>
          <c:spPr>
            <a:solidFill>
              <a:schemeClr val="accent1"/>
            </a:solidFill>
            <a:ln>
              <a:noFill/>
            </a:ln>
            <a:effectLst/>
          </c:spPr>
          <c:invertIfNegative val="0"/>
          <c:dLbls>
            <c:spPr>
              <a:noFill/>
              <a:ln>
                <a:noFill/>
              </a:ln>
              <a:effectLst/>
            </c:spPr>
            <c:txPr>
              <a:bodyPr rot="0" vert="horz"/>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Pivot_Tables!$J$31:$J$36</c:f>
              <c:strCache>
                <c:ptCount val="5"/>
                <c:pt idx="0">
                  <c:v>Lily Wilson</c:v>
                </c:pt>
                <c:pt idx="1">
                  <c:v>Sophia Moore</c:v>
                </c:pt>
                <c:pt idx="2">
                  <c:v>Zara White</c:v>
                </c:pt>
                <c:pt idx="3">
                  <c:v>Olivia Wilson</c:v>
                </c:pt>
                <c:pt idx="4">
                  <c:v>Mia Jackson</c:v>
                </c:pt>
              </c:strCache>
            </c:strRef>
          </c:cat>
          <c:val>
            <c:numRef>
              <c:f>Pivot_Tables!$K$31:$K$36</c:f>
              <c:numCache>
                <c:formatCode>[$$-409]#,##0.00</c:formatCode>
                <c:ptCount val="5"/>
                <c:pt idx="0">
                  <c:v>4830</c:v>
                </c:pt>
                <c:pt idx="1">
                  <c:v>3856.7419999999997</c:v>
                </c:pt>
                <c:pt idx="2">
                  <c:v>3487.1964999999996</c:v>
                </c:pt>
                <c:pt idx="3">
                  <c:v>3296.5</c:v>
                </c:pt>
                <c:pt idx="4">
                  <c:v>3176.0535</c:v>
                </c:pt>
              </c:numCache>
            </c:numRef>
          </c:val>
          <c:extLst>
            <c:ext xmlns:c16="http://schemas.microsoft.com/office/drawing/2014/chart" uri="{C3380CC4-5D6E-409C-BE32-E72D297353CC}">
              <c16:uniqueId val="{00000000-AF95-4D41-BE6B-C9BBADC68B66}"/>
            </c:ext>
          </c:extLst>
        </c:ser>
        <c:dLbls>
          <c:dLblPos val="outEnd"/>
          <c:showLegendKey val="0"/>
          <c:showVal val="1"/>
          <c:showCatName val="0"/>
          <c:showSerName val="0"/>
          <c:showPercent val="0"/>
          <c:showBubbleSize val="0"/>
        </c:dLbls>
        <c:gapWidth val="219"/>
        <c:overlap val="-27"/>
        <c:axId val="490855311"/>
        <c:axId val="195240943"/>
      </c:barChart>
      <c:catAx>
        <c:axId val="490855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lgn="ctr">
              <a:defRPr/>
            </a:pPr>
            <a:endParaRPr lang="en-US"/>
          </a:p>
        </c:txPr>
        <c:crossAx val="195240943"/>
        <c:crosses val="autoZero"/>
        <c:auto val="1"/>
        <c:lblAlgn val="ctr"/>
        <c:lblOffset val="100"/>
        <c:noMultiLvlLbl val="0"/>
      </c:catAx>
      <c:valAx>
        <c:axId val="195240943"/>
        <c:scaling>
          <c:orientation val="minMax"/>
        </c:scaling>
        <c:delete val="1"/>
        <c:axPos val="l"/>
        <c:numFmt formatCode="[$$-409]#,##0.00" sourceLinked="1"/>
        <c:majorTickMark val="none"/>
        <c:minorTickMark val="none"/>
        <c:tickLblPos val="nextTo"/>
        <c:crossAx val="490855311"/>
        <c:crosses val="autoZero"/>
        <c:crossBetween val="between"/>
      </c:valAx>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bg1"/>
          </a:solidFill>
          <a:prstDash val="solid"/>
        </a:ln>
        <a:effectLst/>
      </c:spPr>
    </c:plotArea>
    <c:plotVisOnly val="1"/>
    <c:dispBlanksAs val="gap"/>
    <c:showDLblsOverMax val="0"/>
    <c:extLst/>
  </c:chart>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ln>
    <a:effectLst>
      <a:outerShdw blurRad="40000" dist="20000" dir="5400000" rotWithShape="0">
        <a:srgbClr val="000000">
          <a:alpha val="38000"/>
        </a:srgbClr>
      </a:outerShdw>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16</xdr:row>
      <xdr:rowOff>163287</xdr:rowOff>
    </xdr:from>
    <xdr:to>
      <xdr:col>5</xdr:col>
      <xdr:colOff>511629</xdr:colOff>
      <xdr:row>31</xdr:row>
      <xdr:rowOff>141514</xdr:rowOff>
    </xdr:to>
    <xdr:graphicFrame macro="">
      <xdr:nvGraphicFramePr>
        <xdr:cNvPr id="2" name="Chart 1">
          <a:extLst>
            <a:ext uri="{FF2B5EF4-FFF2-40B4-BE49-F238E27FC236}">
              <a16:creationId xmlns:a16="http://schemas.microsoft.com/office/drawing/2014/main" id="{92F3E483-8A3C-4512-A63F-8BFB2C5D7A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511630</xdr:colOff>
      <xdr:row>16</xdr:row>
      <xdr:rowOff>174172</xdr:rowOff>
    </xdr:from>
    <xdr:to>
      <xdr:col>17</xdr:col>
      <xdr:colOff>598714</xdr:colOff>
      <xdr:row>31</xdr:row>
      <xdr:rowOff>152400</xdr:rowOff>
    </xdr:to>
    <xdr:graphicFrame macro="">
      <xdr:nvGraphicFramePr>
        <xdr:cNvPr id="3" name="Chart 2">
          <a:extLst>
            <a:ext uri="{FF2B5EF4-FFF2-40B4-BE49-F238E27FC236}">
              <a16:creationId xmlns:a16="http://schemas.microsoft.com/office/drawing/2014/main" id="{27DF7F58-0A1C-4A3A-BFE5-71F2F4F94B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17</xdr:row>
      <xdr:rowOff>0</xdr:rowOff>
    </xdr:from>
    <xdr:to>
      <xdr:col>24</xdr:col>
      <xdr:colOff>185057</xdr:colOff>
      <xdr:row>31</xdr:row>
      <xdr:rowOff>141515</xdr:rowOff>
    </xdr:to>
    <xdr:graphicFrame macro="">
      <xdr:nvGraphicFramePr>
        <xdr:cNvPr id="4" name="Chart 3">
          <a:extLst>
            <a:ext uri="{FF2B5EF4-FFF2-40B4-BE49-F238E27FC236}">
              <a16:creationId xmlns:a16="http://schemas.microsoft.com/office/drawing/2014/main" id="{9938D36C-5102-468A-A3D5-D0A4F9F2D1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8</xdr:row>
      <xdr:rowOff>76202</xdr:rowOff>
    </xdr:from>
    <xdr:to>
      <xdr:col>7</xdr:col>
      <xdr:colOff>457200</xdr:colOff>
      <xdr:row>16</xdr:row>
      <xdr:rowOff>174172</xdr:rowOff>
    </xdr:to>
    <xdr:graphicFrame macro="">
      <xdr:nvGraphicFramePr>
        <xdr:cNvPr id="5" name="Chart 4">
          <a:extLst>
            <a:ext uri="{FF2B5EF4-FFF2-40B4-BE49-F238E27FC236}">
              <a16:creationId xmlns:a16="http://schemas.microsoft.com/office/drawing/2014/main" id="{F58FD359-8AA9-499D-9341-5027113BE7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xdr:row>
      <xdr:rowOff>10885</xdr:rowOff>
    </xdr:from>
    <xdr:to>
      <xdr:col>2</xdr:col>
      <xdr:colOff>272142</xdr:colOff>
      <xdr:row>8</xdr:row>
      <xdr:rowOff>65313</xdr:rowOff>
    </xdr:to>
    <xdr:grpSp>
      <xdr:nvGrpSpPr>
        <xdr:cNvPr id="8" name="Group 7">
          <a:extLst>
            <a:ext uri="{FF2B5EF4-FFF2-40B4-BE49-F238E27FC236}">
              <a16:creationId xmlns:a16="http://schemas.microsoft.com/office/drawing/2014/main" id="{8353FDE8-B73C-C5C6-6090-1887BF32DD1F}"/>
            </a:ext>
          </a:extLst>
        </xdr:cNvPr>
        <xdr:cNvGrpSpPr/>
      </xdr:nvGrpSpPr>
      <xdr:grpSpPr>
        <a:xfrm>
          <a:off x="0" y="380999"/>
          <a:ext cx="1491342" cy="1164771"/>
          <a:chOff x="2057400" y="576944"/>
          <a:chExt cx="1715604" cy="1121228"/>
        </a:xfrm>
      </xdr:grpSpPr>
      <xdr:sp macro="" textlink="Pivot_Tables!$H$42">
        <xdr:nvSpPr>
          <xdr:cNvPr id="6" name="Rectangle: Rounded Corners 5">
            <a:extLst>
              <a:ext uri="{FF2B5EF4-FFF2-40B4-BE49-F238E27FC236}">
                <a16:creationId xmlns:a16="http://schemas.microsoft.com/office/drawing/2014/main" id="{200C0B0B-8EE2-3C34-9E54-5EBAB773F589}"/>
              </a:ext>
            </a:extLst>
          </xdr:cNvPr>
          <xdr:cNvSpPr/>
        </xdr:nvSpPr>
        <xdr:spPr>
          <a:xfrm>
            <a:off x="2057400" y="576944"/>
            <a:ext cx="1715604" cy="1121228"/>
          </a:xfrm>
          <a:prstGeom prst="rect">
            <a:avLst/>
          </a:prstGeom>
          <a:solidFill>
            <a:schemeClr val="accent3">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BE9701F-45FA-4048-822A-D7B1D7F8833C}" type="TxLink">
              <a:rPr lang="en-US" sz="1800" b="1" i="0" u="none" strike="noStrike">
                <a:solidFill>
                  <a:srgbClr val="000000"/>
                </a:solidFill>
                <a:latin typeface="Calibri"/>
                <a:ea typeface="Calibri"/>
                <a:cs typeface="Calibri"/>
              </a:rPr>
              <a:pPr algn="ctr"/>
              <a:t>$1,69,134.95</a:t>
            </a:fld>
            <a:endParaRPr lang="en-IN" sz="1800" b="1"/>
          </a:p>
        </xdr:txBody>
      </xdr:sp>
      <xdr:sp macro="" textlink="">
        <xdr:nvSpPr>
          <xdr:cNvPr id="7" name="Rectangle 6">
            <a:extLst>
              <a:ext uri="{FF2B5EF4-FFF2-40B4-BE49-F238E27FC236}">
                <a16:creationId xmlns:a16="http://schemas.microsoft.com/office/drawing/2014/main" id="{F2F9EB6D-AACE-E637-225A-D0BBAE797A1D}"/>
              </a:ext>
            </a:extLst>
          </xdr:cNvPr>
          <xdr:cNvSpPr/>
        </xdr:nvSpPr>
        <xdr:spPr>
          <a:xfrm>
            <a:off x="2177142" y="696686"/>
            <a:ext cx="1415143" cy="424543"/>
          </a:xfrm>
          <a:prstGeom prst="rect">
            <a:avLst/>
          </a:prstGeom>
          <a:solidFill>
            <a:schemeClr val="accent3">
              <a:lumMod val="40000"/>
              <a:lumOff val="60000"/>
            </a:schemeClr>
          </a:solidFill>
          <a:ln>
            <a:solidFill>
              <a:schemeClr val="accent3">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rPr>
              <a:t>Total </a:t>
            </a:r>
            <a:r>
              <a:rPr lang="en-IN" sz="1800" b="1">
                <a:solidFill>
                  <a:schemeClr val="tx1"/>
                </a:solidFill>
              </a:rPr>
              <a:t>Sales</a:t>
            </a:r>
          </a:p>
        </xdr:txBody>
      </xdr:sp>
    </xdr:grpSp>
    <xdr:clientData/>
  </xdr:twoCellAnchor>
  <xdr:twoCellAnchor>
    <xdr:from>
      <xdr:col>2</xdr:col>
      <xdr:colOff>261255</xdr:colOff>
      <xdr:row>2</xdr:row>
      <xdr:rowOff>76201</xdr:rowOff>
    </xdr:from>
    <xdr:to>
      <xdr:col>5</xdr:col>
      <xdr:colOff>97970</xdr:colOff>
      <xdr:row>8</xdr:row>
      <xdr:rowOff>65314</xdr:rowOff>
    </xdr:to>
    <xdr:grpSp>
      <xdr:nvGrpSpPr>
        <xdr:cNvPr id="11" name="Group 10">
          <a:extLst>
            <a:ext uri="{FF2B5EF4-FFF2-40B4-BE49-F238E27FC236}">
              <a16:creationId xmlns:a16="http://schemas.microsoft.com/office/drawing/2014/main" id="{7E18D2B6-5B50-B98E-9CBA-A535FFF9DA4D}"/>
            </a:ext>
          </a:extLst>
        </xdr:cNvPr>
        <xdr:cNvGrpSpPr/>
      </xdr:nvGrpSpPr>
      <xdr:grpSpPr>
        <a:xfrm>
          <a:off x="1480455" y="446315"/>
          <a:ext cx="1665515" cy="1099456"/>
          <a:chOff x="2079171" y="457202"/>
          <a:chExt cx="1665514" cy="1121228"/>
        </a:xfrm>
        <a:solidFill>
          <a:schemeClr val="accent3">
            <a:lumMod val="40000"/>
            <a:lumOff val="60000"/>
          </a:schemeClr>
        </a:solidFill>
      </xdr:grpSpPr>
      <xdr:sp macro="" textlink="Pivot_Tables!$H$38">
        <xdr:nvSpPr>
          <xdr:cNvPr id="9" name="Rectangle: Rounded Corners 8">
            <a:extLst>
              <a:ext uri="{FF2B5EF4-FFF2-40B4-BE49-F238E27FC236}">
                <a16:creationId xmlns:a16="http://schemas.microsoft.com/office/drawing/2014/main" id="{5B967045-A858-452F-A020-E4AC3D300A01}"/>
              </a:ext>
            </a:extLst>
          </xdr:cNvPr>
          <xdr:cNvSpPr/>
        </xdr:nvSpPr>
        <xdr:spPr>
          <a:xfrm>
            <a:off x="2079171" y="457202"/>
            <a:ext cx="1665514" cy="1121228"/>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4A3427A7-4FF4-48FF-BE9C-18B723CAB1E8}" type="TxLink">
              <a:rPr lang="en-US" sz="1800" b="1" i="0" u="none" strike="noStrike">
                <a:solidFill>
                  <a:srgbClr val="000000"/>
                </a:solidFill>
                <a:latin typeface="Calibri"/>
                <a:ea typeface="Calibri"/>
                <a:cs typeface="Calibri"/>
              </a:rPr>
              <a:pPr algn="ctr"/>
              <a:t>$26,998.38</a:t>
            </a:fld>
            <a:endParaRPr lang="en-US" sz="1800" b="1" i="0" u="none" strike="noStrike">
              <a:solidFill>
                <a:srgbClr val="000000"/>
              </a:solidFill>
              <a:latin typeface="Calibri"/>
              <a:ea typeface="Calibri"/>
              <a:cs typeface="Calibri"/>
            </a:endParaRPr>
          </a:p>
        </xdr:txBody>
      </xdr:sp>
      <xdr:sp macro="" textlink="">
        <xdr:nvSpPr>
          <xdr:cNvPr id="10" name="Rectangle 9">
            <a:extLst>
              <a:ext uri="{FF2B5EF4-FFF2-40B4-BE49-F238E27FC236}">
                <a16:creationId xmlns:a16="http://schemas.microsoft.com/office/drawing/2014/main" id="{B18FF56F-9CB6-46EF-924B-C9E151F2DA16}"/>
              </a:ext>
            </a:extLst>
          </xdr:cNvPr>
          <xdr:cNvSpPr/>
        </xdr:nvSpPr>
        <xdr:spPr>
          <a:xfrm>
            <a:off x="2155371" y="540597"/>
            <a:ext cx="1415143" cy="678604"/>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Cancelled</a:t>
            </a:r>
            <a:r>
              <a:rPr lang="en-IN" sz="1800" b="1" baseline="0">
                <a:solidFill>
                  <a:schemeClr val="tx1"/>
                </a:solidFill>
              </a:rPr>
              <a:t> order Value</a:t>
            </a:r>
            <a:endParaRPr lang="en-IN" sz="1800" b="1">
              <a:solidFill>
                <a:schemeClr val="tx1"/>
              </a:solidFill>
            </a:endParaRPr>
          </a:p>
        </xdr:txBody>
      </xdr:sp>
    </xdr:grpSp>
    <xdr:clientData/>
  </xdr:twoCellAnchor>
  <xdr:twoCellAnchor>
    <xdr:from>
      <xdr:col>5</xdr:col>
      <xdr:colOff>32658</xdr:colOff>
      <xdr:row>1</xdr:row>
      <xdr:rowOff>166525</xdr:rowOff>
    </xdr:from>
    <xdr:to>
      <xdr:col>7</xdr:col>
      <xdr:colOff>478972</xdr:colOff>
      <xdr:row>8</xdr:row>
      <xdr:rowOff>76200</xdr:rowOff>
    </xdr:to>
    <xdr:grpSp>
      <xdr:nvGrpSpPr>
        <xdr:cNvPr id="16" name="Group 15">
          <a:extLst>
            <a:ext uri="{FF2B5EF4-FFF2-40B4-BE49-F238E27FC236}">
              <a16:creationId xmlns:a16="http://schemas.microsoft.com/office/drawing/2014/main" id="{43B61031-DCA4-43C1-B198-836C773CD893}"/>
            </a:ext>
          </a:extLst>
        </xdr:cNvPr>
        <xdr:cNvGrpSpPr/>
      </xdr:nvGrpSpPr>
      <xdr:grpSpPr>
        <a:xfrm>
          <a:off x="3080658" y="351582"/>
          <a:ext cx="1665514" cy="1205075"/>
          <a:chOff x="2057400" y="576944"/>
          <a:chExt cx="1665514" cy="1121228"/>
        </a:xfrm>
        <a:solidFill>
          <a:schemeClr val="accent3">
            <a:lumMod val="60000"/>
            <a:lumOff val="40000"/>
          </a:schemeClr>
        </a:solidFill>
      </xdr:grpSpPr>
      <xdr:sp macro="" textlink="'Raw_Sales'!W3">
        <xdr:nvSpPr>
          <xdr:cNvPr id="17" name="Rectangle: Rounded Corners 16">
            <a:extLst>
              <a:ext uri="{FF2B5EF4-FFF2-40B4-BE49-F238E27FC236}">
                <a16:creationId xmlns:a16="http://schemas.microsoft.com/office/drawing/2014/main" id="{8973EC0F-DBE0-4573-3D0B-6DEE363633F9}"/>
              </a:ext>
            </a:extLst>
          </xdr:cNvPr>
          <xdr:cNvSpPr/>
        </xdr:nvSpPr>
        <xdr:spPr>
          <a:xfrm>
            <a:off x="2057400" y="576944"/>
            <a:ext cx="1665514" cy="1121228"/>
          </a:xfrm>
          <a:prstGeom prst="rect">
            <a:avLst/>
          </a:prstGeom>
          <a:solidFill>
            <a:schemeClr val="accent3">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3A36E385-8712-40A3-9D2E-F547261DED79}" type="TxLink">
              <a:rPr lang="en-US" sz="1600" b="1" i="0" u="none" strike="noStrike">
                <a:solidFill>
                  <a:srgbClr val="000000"/>
                </a:solidFill>
                <a:latin typeface="Calibri"/>
                <a:ea typeface="Calibri"/>
                <a:cs typeface="Calibri"/>
              </a:rPr>
              <a:pPr algn="ctr"/>
              <a:t>65%</a:t>
            </a:fld>
            <a:endParaRPr lang="en-IN" sz="1600" b="1"/>
          </a:p>
        </xdr:txBody>
      </xdr:sp>
      <xdr:sp macro="" textlink="">
        <xdr:nvSpPr>
          <xdr:cNvPr id="18" name="Rectangle 17">
            <a:extLst>
              <a:ext uri="{FF2B5EF4-FFF2-40B4-BE49-F238E27FC236}">
                <a16:creationId xmlns:a16="http://schemas.microsoft.com/office/drawing/2014/main" id="{DE2D2D58-5F50-FF29-9C8F-6F2F071A0E4E}"/>
              </a:ext>
            </a:extLst>
          </xdr:cNvPr>
          <xdr:cNvSpPr/>
        </xdr:nvSpPr>
        <xdr:spPr>
          <a:xfrm>
            <a:off x="2177142" y="608227"/>
            <a:ext cx="1415143" cy="856995"/>
          </a:xfrm>
          <a:prstGeom prst="rect">
            <a:avLst/>
          </a:prstGeom>
          <a:solidFill>
            <a:schemeClr val="accent3">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Order</a:t>
            </a:r>
            <a:r>
              <a:rPr lang="en-IN" sz="1800" b="1" baseline="0">
                <a:solidFill>
                  <a:schemeClr val="tx1"/>
                </a:solidFill>
              </a:rPr>
              <a:t> Fullfilment Rate</a:t>
            </a:r>
            <a:endParaRPr lang="en-IN" sz="1800" b="1">
              <a:solidFill>
                <a:schemeClr val="tx1"/>
              </a:solidFill>
            </a:endParaRPr>
          </a:p>
        </xdr:txBody>
      </xdr:sp>
    </xdr:grpSp>
    <xdr:clientData/>
  </xdr:twoCellAnchor>
  <xdr:twoCellAnchor editAs="oneCell">
    <xdr:from>
      <xdr:col>7</xdr:col>
      <xdr:colOff>468086</xdr:colOff>
      <xdr:row>2</xdr:row>
      <xdr:rowOff>176348</xdr:rowOff>
    </xdr:from>
    <xdr:to>
      <xdr:col>10</xdr:col>
      <xdr:colOff>468086</xdr:colOff>
      <xdr:row>8</xdr:row>
      <xdr:rowOff>65314</xdr:rowOff>
    </xdr:to>
    <mc:AlternateContent xmlns:mc="http://schemas.openxmlformats.org/markup-compatibility/2006" xmlns:a14="http://schemas.microsoft.com/office/drawing/2010/main">
      <mc:Choice Requires="a14">
        <xdr:graphicFrame macro="">
          <xdr:nvGraphicFramePr>
            <xdr:cNvPr id="20" name="Years (Order Date)">
              <a:extLst>
                <a:ext uri="{FF2B5EF4-FFF2-40B4-BE49-F238E27FC236}">
                  <a16:creationId xmlns:a16="http://schemas.microsoft.com/office/drawing/2014/main" id="{CA10C17B-CED8-F54C-A2A5-545843094C7E}"/>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4735286" y="546462"/>
              <a:ext cx="1828800" cy="9993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468086</xdr:colOff>
      <xdr:row>8</xdr:row>
      <xdr:rowOff>76200</xdr:rowOff>
    </xdr:from>
    <xdr:to>
      <xdr:col>10</xdr:col>
      <xdr:colOff>457199</xdr:colOff>
      <xdr:row>17</xdr:row>
      <xdr:rowOff>21771</xdr:rowOff>
    </xdr:to>
    <mc:AlternateContent xmlns:mc="http://schemas.openxmlformats.org/markup-compatibility/2006" xmlns:a14="http://schemas.microsoft.com/office/drawing/2010/main">
      <mc:Choice Requires="a14">
        <xdr:graphicFrame macro="">
          <xdr:nvGraphicFramePr>
            <xdr:cNvPr id="21" name="Months (Order Date)">
              <a:extLst>
                <a:ext uri="{FF2B5EF4-FFF2-40B4-BE49-F238E27FC236}">
                  <a16:creationId xmlns:a16="http://schemas.microsoft.com/office/drawing/2014/main" id="{D9922EBD-3E13-6F61-8D42-D82569CB0472}"/>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4680856" y="1556657"/>
              <a:ext cx="1872344" cy="16110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446313</xdr:colOff>
      <xdr:row>2</xdr:row>
      <xdr:rowOff>152399</xdr:rowOff>
    </xdr:from>
    <xdr:to>
      <xdr:col>17</xdr:col>
      <xdr:colOff>587829</xdr:colOff>
      <xdr:row>17</xdr:row>
      <xdr:rowOff>0</xdr:rowOff>
    </xdr:to>
    <xdr:graphicFrame macro="">
      <xdr:nvGraphicFramePr>
        <xdr:cNvPr id="22" name="Chart 21">
          <a:extLst>
            <a:ext uri="{FF2B5EF4-FFF2-40B4-BE49-F238E27FC236}">
              <a16:creationId xmlns:a16="http://schemas.microsoft.com/office/drawing/2014/main" id="{3A3D8FE5-45BA-46AB-A1D7-EB79EC8390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0</xdr:row>
      <xdr:rowOff>10885</xdr:rowOff>
    </xdr:from>
    <xdr:to>
      <xdr:col>24</xdr:col>
      <xdr:colOff>174170</xdr:colOff>
      <xdr:row>2</xdr:row>
      <xdr:rowOff>163286</xdr:rowOff>
    </xdr:to>
    <xdr:sp macro="" textlink="">
      <xdr:nvSpPr>
        <xdr:cNvPr id="12" name="Rectangle 11">
          <a:extLst>
            <a:ext uri="{FF2B5EF4-FFF2-40B4-BE49-F238E27FC236}">
              <a16:creationId xmlns:a16="http://schemas.microsoft.com/office/drawing/2014/main" id="{1068276D-C370-15A6-7099-5B3FCD210AF7}"/>
            </a:ext>
          </a:extLst>
        </xdr:cNvPr>
        <xdr:cNvSpPr/>
      </xdr:nvSpPr>
      <xdr:spPr>
        <a:xfrm>
          <a:off x="0" y="10885"/>
          <a:ext cx="14804570" cy="522515"/>
        </a:xfrm>
        <a:prstGeom prst="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t>Sales Performance Dashboard | 2024–2025</a:t>
          </a:r>
        </a:p>
      </xdr:txBody>
    </xdr:sp>
    <xdr:clientData/>
  </xdr:twoCellAnchor>
  <xdr:twoCellAnchor>
    <xdr:from>
      <xdr:col>19</xdr:col>
      <xdr:colOff>130629</xdr:colOff>
      <xdr:row>0</xdr:row>
      <xdr:rowOff>32657</xdr:rowOff>
    </xdr:from>
    <xdr:to>
      <xdr:col>24</xdr:col>
      <xdr:colOff>87085</xdr:colOff>
      <xdr:row>2</xdr:row>
      <xdr:rowOff>141515</xdr:rowOff>
    </xdr:to>
    <xdr:sp macro="" textlink="Pivot_Tables!A32">
      <xdr:nvSpPr>
        <xdr:cNvPr id="14" name="Rectangle 13">
          <a:extLst>
            <a:ext uri="{FF2B5EF4-FFF2-40B4-BE49-F238E27FC236}">
              <a16:creationId xmlns:a16="http://schemas.microsoft.com/office/drawing/2014/main" id="{A96BF6AE-9644-B9D0-0016-14FBFDF9D1B0}"/>
            </a:ext>
          </a:extLst>
        </xdr:cNvPr>
        <xdr:cNvSpPr/>
      </xdr:nvSpPr>
      <xdr:spPr>
        <a:xfrm>
          <a:off x="11713029" y="32657"/>
          <a:ext cx="3004456" cy="478972"/>
        </a:xfrm>
        <a:prstGeom prst="rect">
          <a:avLst/>
        </a:prstGeom>
        <a:solidFill>
          <a:schemeClr val="bg1">
            <a:lumMod val="50000"/>
          </a:schemeClr>
        </a:solid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8EF915B-7C28-41A9-B0A4-A1D514D35504}" type="TxLink">
            <a:rPr lang="en-US" sz="1800" b="1" i="0" u="none" strike="noStrike">
              <a:solidFill>
                <a:schemeClr val="bg1"/>
              </a:solidFill>
              <a:latin typeface="Calibri"/>
              <a:ea typeface="Calibri"/>
              <a:cs typeface="Calibri"/>
            </a:rPr>
            <a:pPr algn="ctr"/>
            <a:t>Last Updated: 02-10-2026</a:t>
          </a:fld>
          <a:endParaRPr lang="en-IN" sz="1800" b="1">
            <a:solidFill>
              <a:schemeClr val="bg1"/>
            </a:solidFill>
          </a:endParaRPr>
        </a:p>
      </xdr:txBody>
    </xdr:sp>
    <xdr:clientData/>
  </xdr:twoCellAnchor>
  <xdr:twoCellAnchor>
    <xdr:from>
      <xdr:col>17</xdr:col>
      <xdr:colOff>587829</xdr:colOff>
      <xdr:row>2</xdr:row>
      <xdr:rowOff>174172</xdr:rowOff>
    </xdr:from>
    <xdr:to>
      <xdr:col>24</xdr:col>
      <xdr:colOff>174171</xdr:colOff>
      <xdr:row>16</xdr:row>
      <xdr:rowOff>174172</xdr:rowOff>
    </xdr:to>
    <xdr:graphicFrame macro="">
      <xdr:nvGraphicFramePr>
        <xdr:cNvPr id="15" name="Chart 14">
          <a:extLst>
            <a:ext uri="{FF2B5EF4-FFF2-40B4-BE49-F238E27FC236}">
              <a16:creationId xmlns:a16="http://schemas.microsoft.com/office/drawing/2014/main" id="{5CE89F23-C5BA-48AB-8316-74B4C2AB1D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vek Anand" refreshedDate="46292.688484375001" createdVersion="8" refreshedVersion="8" minRefreshableVersion="3" recordCount="1454" xr:uid="{FAB99D19-EBA4-4DFE-9769-F1A835CBEDCD}">
  <cacheSource type="worksheet">
    <worksheetSource name="Raw_Sales"/>
  </cacheSource>
  <cacheFields count="20">
    <cacheField name="OrderID" numFmtId="0">
      <sharedItems containsBlank="1"/>
    </cacheField>
    <cacheField name="OrderDate" numFmtId="0">
      <sharedItems containsBlank="1"/>
    </cacheField>
    <cacheField name="Order Date" numFmtId="14">
      <sharedItems containsNonDate="0" containsDate="1" containsString="0" containsBlank="1" minDate="2024-01-01T00:00:00" maxDate="2026-01-01T00:00:00" count="623">
        <d v="2025-03-14T00:00:00"/>
        <d v="2024-01-06T00:00:00"/>
        <d v="2024-08-10T00:00:00"/>
        <d v="2024-11-06T00:00:00"/>
        <d v="2025-05-15T00:00:00"/>
        <d v="2025-12-25T00:00:00"/>
        <d v="2025-10-07T00:00:00"/>
        <d v="2024-04-10T00:00:00"/>
        <d v="2025-08-16T00:00:00"/>
        <d v="2025-08-25T00:00:00"/>
        <d v="2025-09-21T00:00:00"/>
        <d v="2025-11-14T00:00:00"/>
        <d v="2025-10-30T00:00:00"/>
        <d v="2025-03-25T00:00:00"/>
        <d v="2025-12-24T00:00:00"/>
        <d v="2025-08-06T00:00:00"/>
        <d v="2024-01-08T00:00:00"/>
        <d v="2025-03-04T00:00:00"/>
        <d v="2024-07-25T00:00:00"/>
        <d v="2024-11-28T00:00:00"/>
        <d v="2025-03-28T00:00:00"/>
        <d v="2024-02-07T00:00:00"/>
        <d v="2025-11-02T00:00:00"/>
        <d v="2024-07-16T00:00:00"/>
        <d v="2024-02-17T00:00:00"/>
        <d v="2025-07-20T00:00:00"/>
        <d v="2024-05-27T00:00:00"/>
        <d v="2025-04-02T00:00:00"/>
        <d v="2025-04-23T00:00:00"/>
        <d v="2024-05-14T00:00:00"/>
        <d v="2024-05-06T00:00:00"/>
        <d v="2025-11-07T00:00:00"/>
        <d v="2025-04-05T00:00:00"/>
        <d v="2025-03-15T00:00:00"/>
        <d v="2024-04-02T00:00:00"/>
        <d v="2024-05-08T00:00:00"/>
        <d v="2025-07-19T00:00:00"/>
        <d v="2024-01-03T00:00:00"/>
        <d v="2024-10-20T00:00:00"/>
        <d v="2025-06-11T00:00:00"/>
        <d v="2024-04-03T00:00:00"/>
        <d v="2025-07-06T00:00:00"/>
        <d v="2025-04-27T00:00:00"/>
        <d v="2024-11-19T00:00:00"/>
        <d v="2025-08-31T00:00:00"/>
        <d v="2025-05-19T00:00:00"/>
        <d v="2025-01-01T00:00:00"/>
        <d v="2024-03-27T00:00:00"/>
        <d v="2024-04-07T00:00:00"/>
        <d v="2024-09-11T00:00:00"/>
        <d v="2025-09-20T00:00:00"/>
        <d v="2024-06-26T00:00:00"/>
        <d v="2025-01-05T00:00:00"/>
        <d v="2024-12-29T00:00:00"/>
        <d v="2024-08-02T00:00:00"/>
        <d v="2025-08-09T00:00:00"/>
        <d v="2025-03-18T00:00:00"/>
        <d v="2025-09-09T00:00:00"/>
        <d v="2024-03-12T00:00:00"/>
        <d v="2025-04-15T00:00:00"/>
        <d v="2025-03-16T00:00:00"/>
        <d v="2024-11-17T00:00:00"/>
        <d v="2025-12-08T00:00:00"/>
        <d v="2025-09-04T00:00:00"/>
        <d v="2024-04-04T00:00:00"/>
        <d v="2025-12-30T00:00:00"/>
        <d v="2024-01-30T00:00:00"/>
        <d v="2024-02-20T00:00:00"/>
        <d v="2025-05-02T00:00:00"/>
        <d v="2025-12-12T00:00:00"/>
        <d v="2025-05-07T00:00:00"/>
        <d v="2025-02-05T00:00:00"/>
        <d v="2025-08-29T00:00:00"/>
        <d v="2024-08-27T00:00:00"/>
        <d v="2025-10-16T00:00:00"/>
        <d v="2025-09-14T00:00:00"/>
        <d v="2024-10-21T00:00:00"/>
        <d v="2024-03-21T00:00:00"/>
        <d v="2024-03-22T00:00:00"/>
        <d v="2025-11-01T00:00:00"/>
        <d v="2024-02-29T00:00:00"/>
        <d v="2024-01-17T00:00:00"/>
        <d v="2025-05-21T00:00:00"/>
        <d v="2024-05-05T00:00:00"/>
        <d v="2024-01-14T00:00:00"/>
        <d v="2024-04-05T00:00:00"/>
        <d v="2024-04-15T00:00:00"/>
        <d v="2025-06-08T00:00:00"/>
        <d v="2024-02-11T00:00:00"/>
        <d v="2024-02-02T00:00:00"/>
        <d v="2025-05-06T00:00:00"/>
        <d v="2025-07-10T00:00:00"/>
        <d v="2024-12-13T00:00:00"/>
        <d v="2024-01-04T00:00:00"/>
        <d v="2024-07-02T00:00:00"/>
        <d v="2025-08-05T00:00:00"/>
        <d v="2025-11-05T00:00:00"/>
        <d v="2024-12-01T00:00:00"/>
        <d v="2025-03-09T00:00:00"/>
        <d v="2024-05-30T00:00:00"/>
        <d v="2024-02-10T00:00:00"/>
        <d v="2025-11-30T00:00:00"/>
        <d v="2024-04-20T00:00:00"/>
        <d v="2025-01-26T00:00:00"/>
        <d v="2024-06-28T00:00:00"/>
        <d v="2024-05-11T00:00:00"/>
        <d v="2025-02-24T00:00:00"/>
        <d v="2025-12-04T00:00:00"/>
        <d v="2024-04-09T00:00:00"/>
        <d v="2025-06-16T00:00:00"/>
        <d v="2025-03-10T00:00:00"/>
        <d v="2024-08-24T00:00:00"/>
        <d v="2025-02-02T00:00:00"/>
        <d v="2025-07-05T00:00:00"/>
        <d v="2025-11-24T00:00:00"/>
        <d v="2025-08-19T00:00:00"/>
        <d v="2024-03-16T00:00:00"/>
        <d v="2024-04-16T00:00:00"/>
        <d v="2024-08-15T00:00:00"/>
        <d v="2025-11-10T00:00:00"/>
        <d v="2025-11-11T00:00:00"/>
        <d v="2024-11-30T00:00:00"/>
        <d v="2024-06-06T00:00:00"/>
        <d v="2024-06-01T00:00:00"/>
        <d v="2024-08-18T00:00:00"/>
        <d v="2025-05-23T00:00:00"/>
        <d v="2025-03-08T00:00:00"/>
        <d v="2024-05-26T00:00:00"/>
        <d v="2025-11-04T00:00:00"/>
        <d v="2025-10-29T00:00:00"/>
        <d v="2024-11-08T00:00:00"/>
        <d v="2024-02-12T00:00:00"/>
        <d v="2025-07-09T00:00:00"/>
        <d v="2025-03-03T00:00:00"/>
        <d v="2025-03-01T00:00:00"/>
        <d v="2024-09-05T00:00:00"/>
        <d v="2025-08-01T00:00:00"/>
        <d v="2025-02-17T00:00:00"/>
        <d v="2024-11-27T00:00:00"/>
        <d v="2024-06-14T00:00:00"/>
        <d v="2024-01-28T00:00:00"/>
        <d v="2025-06-19T00:00:00"/>
        <d v="2024-04-29T00:00:00"/>
        <d v="2024-09-07T00:00:00"/>
        <d v="2025-06-09T00:00:00"/>
        <d v="2024-06-07T00:00:00"/>
        <d v="2024-12-24T00:00:00"/>
        <d v="2025-01-13T00:00:00"/>
        <d v="2024-12-06T00:00:00"/>
        <d v="2024-07-14T00:00:00"/>
        <d v="2024-08-28T00:00:00"/>
        <d v="2025-05-05T00:00:00"/>
        <d v="2025-08-22T00:00:00"/>
        <d v="2025-08-10T00:00:00"/>
        <d v="2024-10-26T00:00:00"/>
        <d v="2025-08-03T00:00:00"/>
        <d v="2024-10-23T00:00:00"/>
        <d v="2024-05-21T00:00:00"/>
        <d v="2025-04-04T00:00:00"/>
        <d v="2025-03-26T00:00:00"/>
        <d v="2025-01-19T00:00:00"/>
        <d v="2024-01-23T00:00:00"/>
        <d v="2024-10-17T00:00:00"/>
        <d v="2024-09-17T00:00:00"/>
        <d v="2024-12-11T00:00:00"/>
        <d v="2025-11-20T00:00:00"/>
        <d v="2024-07-05T00:00:00"/>
        <d v="2025-04-24T00:00:00"/>
        <d v="2024-01-18T00:00:00"/>
        <d v="2025-10-15T00:00:00"/>
        <d v="2025-09-08T00:00:00"/>
        <d v="2025-01-22T00:00:00"/>
        <d v="2024-10-07T00:00:00"/>
        <d v="2025-02-27T00:00:00"/>
        <d v="2024-04-27T00:00:00"/>
        <d v="2024-12-18T00:00:00"/>
        <d v="2024-05-15T00:00:00"/>
        <d v="2024-02-16T00:00:00"/>
        <d v="2025-09-05T00:00:00"/>
        <d v="2025-12-11T00:00:00"/>
        <d v="2024-09-30T00:00:00"/>
        <d v="2024-07-27T00:00:00"/>
        <d v="2025-02-18T00:00:00"/>
        <d v="2025-12-02T00:00:00"/>
        <d v="2025-12-07T00:00:00"/>
        <d v="2025-09-27T00:00:00"/>
        <d v="2025-11-06T00:00:00"/>
        <d v="2025-01-27T00:00:00"/>
        <d v="2024-09-29T00:00:00"/>
        <d v="2025-12-27T00:00:00"/>
        <d v="2024-07-24T00:00:00"/>
        <d v="2024-11-21T00:00:00"/>
        <d v="2025-05-18T00:00:00"/>
        <d v="2025-12-15T00:00:00"/>
        <d v="2024-08-19T00:00:00"/>
        <d v="2024-06-13T00:00:00"/>
        <d v="2025-09-17T00:00:00"/>
        <d v="2025-05-14T00:00:00"/>
        <d v="2024-02-18T00:00:00"/>
        <d v="2025-05-31T00:00:00"/>
        <d v="2025-08-07T00:00:00"/>
        <d v="2025-07-21T00:00:00"/>
        <d v="2025-12-29T00:00:00"/>
        <d v="2024-05-20T00:00:00"/>
        <d v="2024-01-27T00:00:00"/>
        <d v="2025-11-26T00:00:00"/>
        <d v="2024-04-08T00:00:00"/>
        <d v="2025-05-27T00:00:00"/>
        <d v="2025-03-06T00:00:00"/>
        <d v="2024-06-21T00:00:00"/>
        <d v="2025-10-17T00:00:00"/>
        <d v="2024-08-03T00:00:00"/>
        <d v="2024-07-23T00:00:00"/>
        <d v="2025-12-14T00:00:00"/>
        <d v="2024-04-21T00:00:00"/>
        <d v="2025-01-31T00:00:00"/>
        <d v="2025-07-08T00:00:00"/>
        <d v="2024-12-03T00:00:00"/>
        <m/>
        <d v="2024-09-22T00:00:00"/>
        <d v="2025-06-14T00:00:00"/>
        <d v="2024-05-17T00:00:00"/>
        <d v="2025-09-10T00:00:00"/>
        <d v="2024-09-16T00:00:00"/>
        <d v="2025-02-04T00:00:00"/>
        <d v="2024-05-04T00:00:00"/>
        <d v="2024-04-22T00:00:00"/>
        <d v="2024-12-12T00:00:00"/>
        <d v="2024-08-11T00:00:00"/>
        <d v="2024-02-23T00:00:00"/>
        <d v="2024-12-22T00:00:00"/>
        <d v="2024-03-20T00:00:00"/>
        <d v="2024-03-07T00:00:00"/>
        <d v="2025-01-03T00:00:00"/>
        <d v="2025-08-27T00:00:00"/>
        <d v="2024-09-21T00:00:00"/>
        <d v="2025-06-17T00:00:00"/>
        <d v="2025-06-05T00:00:00"/>
        <d v="2024-02-26T00:00:00"/>
        <d v="2025-02-14T00:00:00"/>
        <d v="2025-04-12T00:00:00"/>
        <d v="2024-07-08T00:00:00"/>
        <d v="2025-12-21T00:00:00"/>
        <d v="2025-02-16T00:00:00"/>
        <d v="2025-08-02T00:00:00"/>
        <d v="2024-11-26T00:00:00"/>
        <d v="2024-07-09T00:00:00"/>
        <d v="2025-04-19T00:00:00"/>
        <d v="2025-01-02T00:00:00"/>
        <d v="2024-11-18T00:00:00"/>
        <d v="2025-06-26T00:00:00"/>
        <d v="2025-04-07T00:00:00"/>
        <d v="2025-07-17T00:00:00"/>
        <d v="2024-11-05T00:00:00"/>
        <d v="2025-03-30T00:00:00"/>
        <d v="2024-09-27T00:00:00"/>
        <d v="2025-10-01T00:00:00"/>
        <d v="2024-06-23T00:00:00"/>
        <d v="2024-10-13T00:00:00"/>
        <d v="2025-02-03T00:00:00"/>
        <d v="2024-12-21T00:00:00"/>
        <d v="2025-01-10T00:00:00"/>
        <d v="2024-03-31T00:00:00"/>
        <d v="2025-01-14T00:00:00"/>
        <d v="2024-04-12T00:00:00"/>
        <d v="2024-09-10T00:00:00"/>
        <d v="2025-11-25T00:00:00"/>
        <d v="2025-11-19T00:00:00"/>
        <d v="2025-12-17T00:00:00"/>
        <d v="2024-10-22T00:00:00"/>
        <d v="2025-01-16T00:00:00"/>
        <d v="2024-06-09T00:00:00"/>
        <d v="2024-08-30T00:00:00"/>
        <d v="2025-01-09T00:00:00"/>
        <d v="2025-03-22T00:00:00"/>
        <d v="2024-02-13T00:00:00"/>
        <d v="2024-07-26T00:00:00"/>
        <d v="2024-08-14T00:00:00"/>
        <d v="2024-02-01T00:00:00"/>
        <d v="2025-11-13T00:00:00"/>
        <d v="2025-07-04T00:00:00"/>
        <d v="2024-03-08T00:00:00"/>
        <d v="2025-04-28T00:00:00"/>
        <d v="2025-08-23T00:00:00"/>
        <d v="2024-02-21T00:00:00"/>
        <d v="2025-05-17T00:00:00"/>
        <d v="2025-05-26T00:00:00"/>
        <d v="2025-09-29T00:00:00"/>
        <d v="2025-08-04T00:00:00"/>
        <d v="2025-09-26T00:00:00"/>
        <d v="2025-03-13T00:00:00"/>
        <d v="2025-09-13T00:00:00"/>
        <d v="2025-08-11T00:00:00"/>
        <d v="2025-05-01T00:00:00"/>
        <d v="2025-07-28T00:00:00"/>
        <d v="2025-08-08T00:00:00"/>
        <d v="2024-04-11T00:00:00"/>
        <d v="2025-12-19T00:00:00"/>
        <d v="2025-07-12T00:00:00"/>
        <d v="2025-04-11T00:00:00"/>
        <d v="2024-11-07T00:00:00"/>
        <d v="2024-11-01T00:00:00"/>
        <d v="2024-12-16T00:00:00"/>
        <d v="2025-10-24T00:00:00"/>
        <d v="2024-02-14T00:00:00"/>
        <d v="2024-08-26T00:00:00"/>
        <d v="2024-01-15T00:00:00"/>
        <d v="2024-03-24T00:00:00"/>
        <d v="2025-10-09T00:00:00"/>
        <d v="2025-10-10T00:00:00"/>
        <d v="2025-05-22T00:00:00"/>
        <d v="2025-03-24T00:00:00"/>
        <d v="2025-08-17T00:00:00"/>
        <d v="2024-03-28T00:00:00"/>
        <d v="2024-04-26T00:00:00"/>
        <d v="2025-05-09T00:00:00"/>
        <d v="2025-04-18T00:00:00"/>
        <d v="2024-01-24T00:00:00"/>
        <d v="2024-04-18T00:00:00"/>
        <d v="2024-07-19T00:00:00"/>
        <d v="2024-09-06T00:00:00"/>
        <d v="2025-03-11T00:00:00"/>
        <d v="2025-10-05T00:00:00"/>
        <d v="2025-06-03T00:00:00"/>
        <d v="2025-12-18T00:00:00"/>
        <d v="2024-08-25T00:00:00"/>
        <d v="2025-05-30T00:00:00"/>
        <d v="2024-05-18T00:00:00"/>
        <d v="2025-08-28T00:00:00"/>
        <d v="2025-03-23T00:00:00"/>
        <d v="2025-01-21T00:00:00"/>
        <d v="2025-05-20T00:00:00"/>
        <d v="2024-06-04T00:00:00"/>
        <d v="2024-09-09T00:00:00"/>
        <d v="2024-09-13T00:00:00"/>
        <d v="2024-02-03T00:00:00"/>
        <d v="2024-03-29T00:00:00"/>
        <d v="2025-01-07T00:00:00"/>
        <d v="2024-06-25T00:00:00"/>
        <d v="2025-10-12T00:00:00"/>
        <d v="2024-03-01T00:00:00"/>
        <d v="2024-01-01T00:00:00"/>
        <d v="2024-12-08T00:00:00"/>
        <d v="2024-08-17T00:00:00"/>
        <d v="2025-12-09T00:00:00"/>
        <d v="2024-06-15T00:00:00"/>
        <d v="2024-08-04T00:00:00"/>
        <d v="2025-10-23T00:00:00"/>
        <d v="2024-06-29T00:00:00"/>
        <d v="2025-04-09T00:00:00"/>
        <d v="2024-01-10T00:00:00"/>
        <d v="2024-07-18T00:00:00"/>
        <d v="2025-06-13T00:00:00"/>
        <d v="2024-05-10T00:00:00"/>
        <d v="2025-09-11T00:00:00"/>
        <d v="2024-07-06T00:00:00"/>
        <d v="2025-07-30T00:00:00"/>
        <d v="2024-01-16T00:00:00"/>
        <d v="2025-04-20T00:00:00"/>
        <d v="2024-07-03T00:00:00"/>
        <d v="2024-08-08T00:00:00"/>
        <d v="2025-12-23T00:00:00"/>
        <d v="2025-03-31T00:00:00"/>
        <d v="2024-01-05T00:00:00"/>
        <d v="2024-04-19T00:00:00"/>
        <d v="2024-10-16T00:00:00"/>
        <d v="2025-03-02T00:00:00"/>
        <d v="2024-12-19T00:00:00"/>
        <d v="2025-02-19T00:00:00"/>
        <d v="2025-07-11T00:00:00"/>
        <d v="2025-11-03T00:00:00"/>
        <d v="2024-07-11T00:00:00"/>
        <d v="2025-01-04T00:00:00"/>
        <d v="2025-11-21T00:00:00"/>
        <d v="2024-08-21T00:00:00"/>
        <d v="2025-08-20T00:00:00"/>
        <d v="2025-06-28T00:00:00"/>
        <d v="2025-05-28T00:00:00"/>
        <d v="2024-01-11T00:00:00"/>
        <d v="2025-10-25T00:00:00"/>
        <d v="2025-06-10T00:00:00"/>
        <d v="2024-10-27T00:00:00"/>
        <d v="2024-07-01T00:00:00"/>
        <d v="2024-11-16T00:00:00"/>
        <d v="2025-03-05T00:00:00"/>
        <d v="2025-01-23T00:00:00"/>
        <d v="2024-07-04T00:00:00"/>
        <d v="2024-05-28T00:00:00"/>
        <d v="2025-03-07T00:00:00"/>
        <d v="2024-10-30T00:00:00"/>
        <d v="2025-06-15T00:00:00"/>
        <d v="2024-12-25T00:00:00"/>
        <d v="2025-12-06T00:00:00"/>
        <d v="2024-03-25T00:00:00"/>
        <d v="2025-01-12T00:00:00"/>
        <d v="2025-04-30T00:00:00"/>
        <d v="2025-09-15T00:00:00"/>
        <d v="2025-06-29T00:00:00"/>
        <d v="2024-02-24T00:00:00"/>
        <d v="2024-10-03T00:00:00"/>
        <d v="2024-05-07T00:00:00"/>
        <d v="2024-03-26T00:00:00"/>
        <d v="2024-06-19T00:00:00"/>
        <d v="2025-02-01T00:00:00"/>
        <d v="2024-06-27T00:00:00"/>
        <d v="2025-11-16T00:00:00"/>
        <d v="2024-01-29T00:00:00"/>
        <d v="2024-02-28T00:00:00"/>
        <d v="2024-06-02T00:00:00"/>
        <d v="2025-04-29T00:00:00"/>
        <d v="2024-03-18T00:00:00"/>
        <d v="2025-06-25T00:00:00"/>
        <d v="2024-03-23T00:00:00"/>
        <d v="2024-09-02T00:00:00"/>
        <d v="2025-02-10T00:00:00"/>
        <d v="2025-11-12T00:00:00"/>
        <d v="2024-03-19T00:00:00"/>
        <d v="2024-10-08T00:00:00"/>
        <d v="2025-04-25T00:00:00"/>
        <d v="2025-02-21T00:00:00"/>
        <d v="2025-07-23T00:00:00"/>
        <d v="2025-11-09T00:00:00"/>
        <d v="2024-12-02T00:00:00"/>
        <d v="2024-12-14T00:00:00"/>
        <d v="2025-08-15T00:00:00"/>
        <d v="2025-11-22T00:00:00"/>
        <d v="2025-10-14T00:00:00"/>
        <d v="2025-07-15T00:00:00"/>
        <d v="2025-01-29T00:00:00"/>
        <d v="2024-10-12T00:00:00"/>
        <d v="2025-08-21T00:00:00"/>
        <d v="2024-12-04T00:00:00"/>
        <d v="2025-11-18T00:00:00"/>
        <d v="2025-10-22T00:00:00"/>
        <d v="2024-10-11T00:00:00"/>
        <d v="2025-12-10T00:00:00"/>
        <d v="2025-07-14T00:00:00"/>
        <d v="2024-03-30T00:00:00"/>
        <d v="2025-07-27T00:00:00"/>
        <d v="2025-10-19T00:00:00"/>
        <d v="2025-01-20T00:00:00"/>
        <d v="2024-12-26T00:00:00"/>
        <d v="2024-02-05T00:00:00"/>
        <d v="2024-07-28T00:00:00"/>
        <d v="2025-02-07T00:00:00"/>
        <d v="2024-03-15T00:00:00"/>
        <d v="2025-09-16T00:00:00"/>
        <d v="2025-05-13T00:00:00"/>
        <d v="2025-10-06T00:00:00"/>
        <d v="2025-02-20T00:00:00"/>
        <d v="2024-05-25T00:00:00"/>
        <d v="2025-06-07T00:00:00"/>
        <d v="2024-08-23T00:00:00"/>
        <d v="2025-06-21T00:00:00"/>
        <d v="2024-04-30T00:00:00"/>
        <d v="2024-03-04T00:00:00"/>
        <d v="2025-07-25T00:00:00"/>
        <d v="2024-07-12T00:00:00"/>
        <d v="2024-03-14T00:00:00"/>
        <d v="2024-05-03T00:00:00"/>
        <d v="2024-01-12T00:00:00"/>
        <d v="2025-08-14T00:00:00"/>
        <d v="2024-10-28T00:00:00"/>
        <d v="2024-10-15T00:00:00"/>
        <d v="2024-01-26T00:00:00"/>
        <d v="2024-05-31T00:00:00"/>
        <d v="2024-07-31T00:00:00"/>
        <d v="2025-10-28T00:00:00"/>
        <d v="2024-02-08T00:00:00"/>
        <d v="2024-05-13T00:00:00"/>
        <d v="2025-10-31T00:00:00"/>
        <d v="2025-04-01T00:00:00"/>
        <d v="2025-12-05T00:00:00"/>
        <d v="2025-09-06T00:00:00"/>
        <d v="2025-11-15T00:00:00"/>
        <d v="2025-01-17T00:00:00"/>
        <d v="2024-03-03T00:00:00"/>
        <d v="2024-03-06T00:00:00"/>
        <d v="2025-06-12T00:00:00"/>
        <d v="2024-07-15T00:00:00"/>
        <d v="2025-05-24T00:00:00"/>
        <d v="2024-09-08T00:00:00"/>
        <d v="2025-12-03T00:00:00"/>
        <d v="2025-04-26T00:00:00"/>
        <d v="2024-11-13T00:00:00"/>
        <d v="2024-11-22T00:00:00"/>
        <d v="2025-07-18T00:00:00"/>
        <d v="2025-12-13T00:00:00"/>
        <d v="2024-08-31T00:00:00"/>
        <d v="2024-01-19T00:00:00"/>
        <d v="2025-05-12T00:00:00"/>
        <d v="2024-05-09T00:00:00"/>
        <d v="2024-08-29T00:00:00"/>
        <d v="2025-06-06T00:00:00"/>
        <d v="2024-10-09T00:00:00"/>
        <d v="2024-12-07T00:00:00"/>
        <d v="2025-02-13T00:00:00"/>
        <d v="2025-04-10T00:00:00"/>
        <d v="2024-02-15T00:00:00"/>
        <d v="2024-07-21T00:00:00"/>
        <d v="2024-03-17T00:00:00"/>
        <d v="2024-01-25T00:00:00"/>
        <d v="2025-05-16T00:00:00"/>
        <d v="2024-08-20T00:00:00"/>
        <d v="2024-09-03T00:00:00"/>
        <d v="2025-10-11T00:00:00"/>
        <d v="2024-08-16T00:00:00"/>
        <d v="2024-11-04T00:00:00"/>
        <d v="2024-11-23T00:00:00"/>
        <d v="2024-12-23T00:00:00"/>
        <d v="2024-12-15T00:00:00"/>
        <d v="2024-10-04T00:00:00"/>
        <d v="2024-08-05T00:00:00"/>
        <d v="2025-06-18T00:00:00"/>
        <d v="2024-01-09T00:00:00"/>
        <d v="2025-04-16T00:00:00"/>
        <d v="2025-10-26T00:00:00"/>
        <d v="2024-09-23T00:00:00"/>
        <d v="2025-10-08T00:00:00"/>
        <d v="2025-09-19T00:00:00"/>
        <d v="2025-01-08T00:00:00"/>
        <d v="2025-06-22T00:00:00"/>
        <d v="2024-05-24T00:00:00"/>
        <d v="2024-10-24T00:00:00"/>
        <d v="2024-07-07T00:00:00"/>
        <d v="2025-07-01T00:00:00"/>
        <d v="2025-12-20T00:00:00"/>
        <d v="2024-10-02T00:00:00"/>
        <d v="2025-09-23T00:00:00"/>
        <d v="2025-10-20T00:00:00"/>
        <d v="2024-11-02T00:00:00"/>
        <d v="2024-12-10T00:00:00"/>
        <d v="2024-03-10T00:00:00"/>
        <d v="2025-08-26T00:00:00"/>
        <d v="2024-12-09T00:00:00"/>
        <d v="2025-11-27T00:00:00"/>
        <d v="2024-08-01T00:00:00"/>
        <d v="2025-07-22T00:00:00"/>
        <d v="2025-09-07T00:00:00"/>
        <d v="2025-02-09T00:00:00"/>
        <d v="2024-02-04T00:00:00"/>
        <d v="2025-06-23T00:00:00"/>
        <d v="2025-07-16T00:00:00"/>
        <d v="2025-10-04T00:00:00"/>
        <d v="2024-03-02T00:00:00"/>
        <d v="2024-12-20T00:00:00"/>
        <d v="2025-06-30T00:00:00"/>
        <d v="2025-05-08T00:00:00"/>
        <d v="2024-02-09T00:00:00"/>
        <d v="2025-11-28T00:00:00"/>
        <d v="2025-06-24T00:00:00"/>
        <d v="2024-07-29T00:00:00"/>
        <d v="2025-05-10T00:00:00"/>
        <d v="2024-01-22T00:00:00"/>
        <d v="2024-11-29T00:00:00"/>
        <d v="2025-11-23T00:00:00"/>
        <d v="2024-10-18T00:00:00"/>
        <d v="2025-06-27T00:00:00"/>
        <d v="2025-12-01T00:00:00"/>
        <d v="2024-08-09T00:00:00"/>
        <d v="2024-06-12T00:00:00"/>
        <d v="2025-04-13T00:00:00"/>
        <d v="2024-09-12T00:00:00"/>
        <d v="2025-01-15T00:00:00"/>
        <d v="2024-06-30T00:00:00"/>
        <d v="2024-04-28T00:00:00"/>
        <d v="2024-01-13T00:00:00"/>
        <d v="2025-10-21T00:00:00"/>
        <d v="2025-06-01T00:00:00"/>
        <d v="2024-09-19T00:00:00"/>
        <d v="2025-02-23T00:00:00"/>
        <d v="2024-11-20T00:00:00"/>
        <d v="2025-02-26T00:00:00"/>
        <d v="2024-06-11T00:00:00"/>
        <d v="2024-07-20T00:00:00"/>
        <d v="2025-03-20T00:00:00"/>
        <d v="2024-07-13T00:00:00"/>
        <d v="2024-06-24T00:00:00"/>
        <d v="2024-12-28T00:00:00"/>
        <d v="2025-10-18T00:00:00"/>
        <d v="2025-06-20T00:00:00"/>
        <d v="2024-08-07T00:00:00"/>
        <d v="2024-09-26T00:00:00"/>
        <d v="2025-12-26T00:00:00"/>
        <d v="2025-08-24T00:00:00"/>
        <d v="2025-12-31T00:00:00"/>
        <d v="2024-05-19T00:00:00"/>
        <d v="2024-04-23T00:00:00"/>
        <d v="2024-10-29T00:00:00"/>
        <d v="2024-06-08T00:00:00"/>
        <d v="2024-04-01T00:00:00"/>
        <d v="2024-11-24T00:00:00"/>
        <d v="2024-03-05T00:00:00"/>
        <d v="2024-05-29T00:00:00"/>
        <d v="2025-05-29T00:00:00"/>
        <d v="2024-06-10T00:00:00"/>
        <d v="2025-02-28T00:00:00"/>
        <d v="2025-03-29T00:00:00"/>
        <d v="2024-12-30T00:00:00"/>
        <d v="2024-05-01T00:00:00"/>
        <d v="2024-04-14T00:00:00"/>
        <d v="2025-09-03T00:00:00"/>
        <d v="2024-11-15T00:00:00"/>
        <d v="2024-07-22T00:00:00"/>
        <d v="2024-06-05T00:00:00"/>
        <d v="2025-09-12T00:00:00"/>
        <d v="2025-07-13T00:00:00"/>
        <d v="2024-09-14T00:00:00"/>
        <d v="2024-04-25T00:00:00"/>
        <d v="2024-03-13T00:00:00"/>
        <d v="2024-11-12T00:00:00"/>
        <d v="2024-04-24T00:00:00"/>
        <d v="2024-03-09T00:00:00"/>
        <d v="2025-02-22T00:00:00"/>
        <d v="2025-08-13T00:00:00"/>
        <d v="2025-01-28T00:00:00"/>
        <d v="2025-08-18T00:00:00"/>
        <d v="2024-09-18T00:00:00"/>
        <d v="2025-06-02T00:00:00"/>
        <d v="2025-12-16T00:00:00"/>
        <d v="2024-02-27T00:00:00"/>
        <d v="2024-02-06T00:00:00"/>
        <d v="2024-05-23T00:00:00"/>
      </sharedItems>
      <fieldGroup par="19"/>
    </cacheField>
    <cacheField name="CustomerName" numFmtId="0">
      <sharedItems containsBlank="1" count="387">
        <s v="Ava Williams"/>
        <s v="Grace Thomas"/>
        <s v="Zara Jackson"/>
        <s v="Rohan Wilson"/>
        <s v="Ethan Johnson"/>
        <s v="Ava Thomas"/>
        <s v="Ishaan Moore"/>
        <s v="Kabir Reddy"/>
        <s v="Ethan Kapoor"/>
        <s v="Daniel Kapoor"/>
        <s v="Noah Miller"/>
        <s v="Mia Clark"/>
        <s v="Noah Moore"/>
        <s v="Kabir Wilson"/>
        <s v="Ava Sharma"/>
        <s v="Noah Wilson"/>
        <s v="Ava Wilson"/>
        <s v="Aarav Jackson"/>
        <s v="Noah Reddy"/>
        <s v="Arjun Davis"/>
        <s v="Ethan Jackson"/>
        <s v="Arjun Anderson"/>
        <s v="Ethan Miller"/>
        <s v="Ethan Davis"/>
        <s v="Daniel Sharma"/>
        <s v="Emma White"/>
        <s v="Advait Clark"/>
        <s v="Rohan Thomas"/>
        <s v="Daniel Jackson"/>
        <s v="Chloe Miller"/>
        <s v="Ishaan Davis"/>
        <s v="Arjun Iyer"/>
        <s v="Zara Iyer"/>
        <s v="Mia Jackson"/>
        <s v="Kabir Gupta"/>
        <s v="Mia Thomas"/>
        <s v="Rohan Kapoor"/>
        <s v="Liam Moore"/>
        <s v="Aarav Iyer"/>
        <s v="Ella Williams"/>
        <s v="Advait Davis"/>
        <s v="Grace Taylor"/>
        <s v="Liam Nair"/>
        <s v="Ethan Sharma"/>
        <s v="Daniel Nair"/>
        <s v="Kabir Harris"/>
        <s v="Olivia Brown"/>
        <s v="Chloe Kapoor"/>
        <s v="Emma Clark"/>
        <s v="Arjun Thomas"/>
        <s v="Sophia Nair"/>
        <s v="Ella Sharma"/>
        <s v="Arjun Sharma"/>
        <s v="Mia Iyer"/>
        <s v="Daniel Iyer"/>
        <s v="Sophia Wilson"/>
        <s v="Liam Gupta"/>
        <s v="Ava Miller"/>
        <s v="Sophia Anderson"/>
        <s v="Chloe Thomas"/>
        <s v="Arjun Clark"/>
        <s v="Chloe Moore"/>
        <s v="Ella White"/>
        <s v="Chloe Sharma"/>
        <s v="Liam Clark"/>
        <s v="Ella Thomas"/>
        <s v="Olivia Gupta"/>
        <s v="Daniel Clark"/>
        <s v="Daniel Reddy"/>
        <s v="Grace Iyer"/>
        <s v="Sophia Harris"/>
        <s v="Emma Jackson"/>
        <s v="Chloe Brown"/>
        <s v="Daniel Moore"/>
        <s v="Daniel White"/>
        <s v="Olivia Nair"/>
        <s v="Kabir Thomas"/>
        <s v="Arjun White"/>
        <s v="Lily Nair"/>
        <s v="Mia Kapoor"/>
        <s v="Ethan Reddy"/>
        <s v="Arjun Moore"/>
        <s v="Ella Iyer"/>
        <s v="Grace White"/>
        <s v="Rohan Nair"/>
        <s v="Aarav Thomas"/>
        <s v="Emma Wilson"/>
        <s v="Noah Anderson"/>
        <s v="Noah Clark"/>
        <s v="Noah Sharma"/>
        <s v="Sophia Iyer"/>
        <s v="Emma Davis"/>
        <s v="Ava Johnson"/>
        <s v="Ethan Iyer"/>
        <s v="Sophia Clark"/>
        <s v="Grace Wilson"/>
        <s v="Aarav Nair"/>
        <s v="Noah Davis"/>
        <s v="Ella Nair"/>
        <s v="Liam Harris"/>
        <s v="Mia Williams"/>
        <s v="Lily Harris"/>
        <s v="Emma Moore"/>
        <s v="Chloe Clark"/>
        <s v="Ethan Williams"/>
        <s v="Liam Johnson"/>
        <s v="Rohan Jackson"/>
        <s v="Mia Gupta"/>
        <s v="Ella Kapoor"/>
        <s v="Sophia Moore"/>
        <s v="Zara Davis"/>
        <s v="Ishaan Taylor"/>
        <s v="Aarav Sharma"/>
        <s v="Ishaan Brown"/>
        <s v="Advait Gupta"/>
        <s v="Aarav Taylor"/>
        <s v="Zara Miller"/>
        <s v="Rohan Sharma"/>
        <s v="Ishaan Nair"/>
        <s v="Kabir Moore"/>
        <s v="Advait Thomas"/>
        <s v="Ishaan Miller"/>
        <s v="Mia Brown"/>
        <s v="Ella Harris"/>
        <s v="Liam Williams"/>
        <s v="Sophia Williams"/>
        <s v="Olivia Wilson"/>
        <s v="Arjun Johnson"/>
        <s v="Lily Kapoor"/>
        <s v="Chloe Davis"/>
        <s v="Zara Williams"/>
        <s v="Sophia Gupta"/>
        <s v="Kabir Miller"/>
        <s v="Ishaan Sharma"/>
        <s v="Ella Reddy"/>
        <s v="Rohan Brown"/>
        <s v="Grace Nair"/>
        <s v="Rohan Miller"/>
        <s v="Ella Wilson"/>
        <s v="Rohan Davis"/>
        <s v="Noah Brown"/>
        <s v="Ethan Taylor"/>
        <s v="Ishaan Iyer"/>
        <s v="Zara Taylor"/>
        <s v="Liam Jackson"/>
        <s v="Liam Davis"/>
        <s v="Aarav Harris"/>
        <s v="Kabir White"/>
        <s v="Kabir Clark"/>
        <s v="Aarav Kapoor"/>
        <s v="Kabir Jackson"/>
        <s v="Emma Harris"/>
        <s v="Chloe Reddy"/>
        <s v="Kabir Brown"/>
        <s v="Rohan Iyer"/>
        <s v="Daniel Williams"/>
        <s v="Sophia Jackson"/>
        <s v="Olivia Jackson"/>
        <s v="Sophia White"/>
        <s v="Emma Brown"/>
        <s v="Ethan Anderson"/>
        <s v="Noah Jackson"/>
        <s v="Daniel Anderson"/>
        <s v="Lily Davis"/>
        <s v="Lily Sharma"/>
        <s v="Emma Miller"/>
        <s v="Olivia Reddy"/>
        <s v="Ishaan Wilson"/>
        <s v="Lily Iyer"/>
        <s v="Emma Sharma"/>
        <s v="Chloe Williams"/>
        <s v="Advait Johnson"/>
        <s v="Ava Reddy"/>
        <s v="Zara Johnson"/>
        <s v="Olivia Williams"/>
        <s v="Advait Wilson"/>
        <s v="Liam Taylor"/>
        <s v="Arjun Reddy"/>
        <s v="Arjun Jackson"/>
        <s v="Ishaan Williams"/>
        <s v="Aarav Anderson"/>
        <s v="Advait Jackson"/>
        <s v="Liam Reddy"/>
        <s v="Sophia Miller"/>
        <s v="Zara Thomas"/>
        <s v="Chloe Iyer"/>
        <s v="Noah White"/>
        <s v="Noah Iyer"/>
        <s v="Rohan Gupta"/>
        <s v="Olivia Taylor"/>
        <m/>
        <s v="Zara Reddy"/>
        <s v="Emma Reddy"/>
        <s v="Chloe Taylor"/>
        <s v="Mia White"/>
        <s v="Ethan Wilson"/>
        <s v="Olivia Moore"/>
        <s v="Daniel Thomas"/>
        <s v="Zara Harris"/>
        <s v="Daniel Davis"/>
        <s v="Zara Gupta"/>
        <s v="Advait Iyer"/>
        <s v="Aarav Reddy"/>
        <s v="Ethan Nair"/>
        <s v="Mia Harris"/>
        <s v="Rohan Anderson"/>
        <s v="Sophia Kapoor"/>
        <s v="Ishaan Clark"/>
        <s v="Kabir Davis"/>
        <s v="Olivia Sharma"/>
        <s v="Sophia Sharma"/>
        <s v="Zara Sharma"/>
        <s v="Kabir Iyer"/>
        <s v="Grace Miller"/>
        <s v="Olivia Anderson"/>
        <s v="Kabir Nair"/>
        <s v="Olivia Thomas"/>
        <s v="Ella Miller"/>
        <s v="Mia Taylor"/>
        <s v="Aarav White"/>
        <s v="Kabir Kapoor"/>
        <s v="Lily Johnson"/>
        <s v="Zara Anderson"/>
        <s v="Aarav Brown"/>
        <s v="Ethan White"/>
        <s v="Noah Thomas"/>
        <s v="Emma Taylor"/>
        <s v="Olivia Kapoor"/>
        <s v="Ella Davis"/>
        <s v="Ishaan Johnson"/>
        <s v="Liam Miller"/>
        <s v="Daniel Gupta"/>
        <s v="Mia Moore"/>
        <s v="Zara Kapoor"/>
        <s v="Noah Harris"/>
        <s v="Ava Davis"/>
        <s v="Grace Anderson"/>
        <s v="Ella Brown"/>
        <s v="Lily Anderson"/>
        <s v="Ethan Harris"/>
        <s v="Grace Clark"/>
        <s v="Arjun Harris"/>
        <s v="Arjun Nair"/>
        <s v="Rohan Williams"/>
        <s v="Ishaan Thomas"/>
        <s v="Ava Brown"/>
        <s v="Chloe Harris"/>
        <s v="Advait Taylor"/>
        <s v="Ella Anderson"/>
        <s v="Chloe Gupta"/>
        <s v="Rohan Harris"/>
        <s v="Grace Kapoor"/>
        <s v="Grace Reddy"/>
        <s v="Liam Kapoor"/>
        <s v="Sophia Davis"/>
        <s v="Olivia Harris"/>
        <s v="Olivia Iyer"/>
        <s v="Lily Clark"/>
        <s v="Chloe Johnson"/>
        <s v="Emma Iyer"/>
        <s v="Lily White"/>
        <s v="Advait Brown"/>
        <s v="Chloe White"/>
        <s v="Ella Moore"/>
        <s v="Lily Brown"/>
        <s v="Ava Taylor"/>
        <s v="Kabir Williams"/>
        <s v="Grace Gupta"/>
        <s v="Grace Moore"/>
        <s v="Daniel Johnson"/>
        <s v="Kabir Taylor"/>
        <s v="Sophia Taylor"/>
        <s v="Grace Johnson"/>
        <s v="Advait Reddy"/>
        <s v="Rohan Johnson"/>
        <s v="Ava Kapoor"/>
        <s v="Grace Jackson"/>
        <s v="Ishaan White"/>
        <s v="Noah Nair"/>
        <s v="Ava White"/>
        <s v="Olivia White"/>
        <s v="Noah Kapoor"/>
        <s v="Mia Reddy"/>
        <s v="Noah Taylor"/>
        <s v="Zara White"/>
        <s v="Ethan Moore"/>
        <s v="Advait White"/>
        <s v="Mia Nair"/>
        <s v="Advait Harris"/>
        <s v="Sophia Johnson"/>
        <s v="Ishaan Gupta"/>
        <s v="Zara Moore"/>
        <s v="Mia Miller"/>
        <s v="Chloe Wilson"/>
        <s v="Ava Iyer"/>
        <s v="Ishaan Reddy"/>
        <s v="Chloe Anderson"/>
        <s v="Olivia Clark"/>
        <s v="Ava Clark"/>
        <s v="Daniel Wilson"/>
        <s v="Daniel Taylor"/>
        <s v="Lily Taylor"/>
        <s v="Rohan Reddy"/>
        <s v="Rohan White"/>
        <s v="Daniel Harris"/>
        <s v="Grace Davis"/>
        <s v="Noah Gupta"/>
        <s v="Lily Moore"/>
        <s v="Noah Williams"/>
        <s v="Lily Reddy"/>
        <s v="Emma Kapoor"/>
        <s v="Lily Williams"/>
        <s v="Ethan Brown"/>
        <s v="Grace Sharma"/>
        <s v="Mia Davis"/>
        <s v="Ella Taylor"/>
        <s v="Arjun Miller"/>
        <s v="Ava Gupta"/>
        <s v="Lily Thomas"/>
        <s v="Sophia Reddy"/>
        <s v="Mia Anderson"/>
        <s v="Emma Johnson"/>
        <s v="Zara Brown"/>
        <s v="Ava Jackson"/>
        <s v="Aarav Johnson"/>
        <s v="Advait Miller"/>
        <s v="Emma Gupta"/>
        <s v="Advait Sharma"/>
        <s v="Ethan Clark"/>
        <s v="Ella Johnson"/>
        <s v="Aarav Gupta"/>
        <s v="Emma Anderson"/>
        <s v="Ishaan Anderson"/>
        <s v="Ethan Thomas"/>
        <s v="Liam Thomas"/>
        <s v="Ishaan Jackson"/>
        <s v="Arjun Gupta"/>
        <s v="Ava Nair"/>
        <s v="Daniel Miller"/>
        <s v="Kabir Johnson"/>
        <s v="Sophia Brown"/>
        <s v="Ishaan Harris"/>
        <s v="Aarav Davis"/>
        <s v="Liam Wilson"/>
        <s v="Grace Williams"/>
        <s v="Chloe Jackson"/>
        <s v="Kabir Anderson"/>
        <s v="Ethan Gupta"/>
        <s v="Ava Anderson"/>
        <s v="Ella Gupta"/>
        <s v="Zara Nair"/>
        <s v="Zara Wilson"/>
        <s v="Kabir Sharma"/>
        <s v="Olivia Miller"/>
        <s v="Zara Clark"/>
        <s v="Ella Clark"/>
        <s v="Arjun Williams"/>
        <s v="Lily Miller"/>
        <s v="Liam Anderson"/>
        <s v="Ishaan Kapoor"/>
        <s v="Rohan Clark"/>
        <s v="Liam Brown"/>
        <s v="Advait Williams"/>
        <s v="Lily Jackson"/>
        <s v="Mia Wilson"/>
        <s v="Advait Anderson"/>
        <s v="Arjun Kapoor"/>
        <s v="Rohan Moore"/>
        <s v="Daniel Brown"/>
        <s v="Ava Moore"/>
        <s v="Ava Harris"/>
        <s v="Aarav Miller"/>
        <s v="Advait Nair"/>
        <s v="Chloe Nair"/>
        <s v="Advait Kapoor"/>
        <s v="Arjun Brown"/>
        <s v="Emma Thomas"/>
        <s v="Grace Harris"/>
        <s v="Olivia Davis"/>
        <s v="Liam White"/>
        <s v="Liam Sharma"/>
        <s v="Emma Williams"/>
        <s v="Lily Wilson"/>
        <s v="Rohan Taylor"/>
        <s v="Liam Iyer"/>
        <s v="Aarav Wilson"/>
        <s v="Sophia Thomas"/>
      </sharedItems>
    </cacheField>
    <cacheField name="CustomerEmail" numFmtId="0">
      <sharedItems/>
    </cacheField>
    <cacheField name="Region" numFmtId="0">
      <sharedItems containsBlank="1" count="6">
        <s v="East"/>
        <s v="North"/>
        <s v="West"/>
        <s v="Central"/>
        <s v="South"/>
        <m/>
      </sharedItems>
    </cacheField>
    <cacheField name="Country" numFmtId="0">
      <sharedItems count="12">
        <s v="Japan"/>
        <s v="USA"/>
        <s v="UK"/>
        <s v="Germany"/>
        <s v="Poland"/>
        <s v="Brazil"/>
        <s v="Canada"/>
        <s v="France"/>
        <s v="India"/>
        <s v="China"/>
        <s v="Not Known"/>
        <s v="Mexico"/>
      </sharedItems>
    </cacheField>
    <cacheField name="ProductCategory" numFmtId="0">
      <sharedItems count="6">
        <s v="Home &amp; Kitchen"/>
        <s v="Electronics"/>
        <s v="Office Supplies"/>
        <s v="Furniture"/>
        <s v="Apparel"/>
        <s v="Not Known"/>
      </sharedItems>
    </cacheField>
    <cacheField name="ProductName" numFmtId="0">
      <sharedItems containsBlank="1" count="24">
        <s v="Blender"/>
        <s v="Webcam HD"/>
        <s v="Desk Organizer"/>
        <s v="Stapler"/>
        <s v="Notebook Pack"/>
        <s v="Filing Cabinet"/>
        <s v="Running Shoes"/>
        <s v="Bluetooth Speaker"/>
        <s v="Baseball Cap"/>
        <s v="Bookshelf"/>
        <s v="Sticky Notes"/>
        <s v="Standing Desk"/>
        <s v="Cotton T-Shirt"/>
        <s v="27in Monitor"/>
        <s v="Ballpoint Pens (12pk)"/>
        <s v="USB-C Cable"/>
        <s v="Cutting Board Set"/>
        <s v="Coffee Maker"/>
        <s v="Hoodie"/>
        <s v="Laptop Stand"/>
        <s v="Wireless Mouse"/>
        <s v="Office Chair"/>
        <s v="Air Fryer"/>
        <m/>
      </sharedItems>
    </cacheField>
    <cacheField name="Quantity" numFmtId="0">
      <sharedItems containsString="0" containsBlank="1" containsNumber="1" containsInteger="1" minValue="1" maxValue="10"/>
    </cacheField>
    <cacheField name="UnitPrice" numFmtId="0">
      <sharedItems containsString="0" containsBlank="1" containsNumber="1" minValue="2.95" maxValue="261.13"/>
    </cacheField>
    <cacheField name="Discount" numFmtId="0">
      <sharedItems containsSemiMixedTypes="0" containsString="0" containsNumber="1" minValue="0" maxValue="0.15"/>
    </cacheField>
    <cacheField name="ShippingCost" numFmtId="0">
      <sharedItems containsString="0" containsBlank="1" containsNumber="1" minValue="0" maxValue="14.99"/>
    </cacheField>
    <cacheField name="SalesRep" numFmtId="0">
      <sharedItems count="8">
        <s v="S. Okafor"/>
        <s v="L. Rossi"/>
        <s v="J. Smith"/>
        <s v="Not Known"/>
        <s v="R. Fernandez"/>
        <s v="M. Chen"/>
        <s v="A. Kapoor"/>
        <s v="T. Nguyen"/>
      </sharedItems>
    </cacheField>
    <cacheField name="PaymentMethod" numFmtId="0">
      <sharedItems/>
    </cacheField>
    <cacheField name="OrderStatus" numFmtId="0">
      <sharedItems containsBlank="1" count="5">
        <s v="Returned"/>
        <s v="Pending"/>
        <s v="Completed"/>
        <s v="Cancelled"/>
        <m/>
      </sharedItems>
    </cacheField>
    <cacheField name="Revenue" numFmtId="164">
      <sharedItems containsString="0" containsBlank="1" containsNumber="1" minValue="2.5754999999999999" maxValue="2599.6"/>
    </cacheField>
    <cacheField name="Months (Order Date)" numFmtId="0" databaseField="0">
      <fieldGroup base="2">
        <rangePr groupBy="months" startDate="2024-01-01T00:00:00" endDate="2026-01-01T00:00:00"/>
        <groupItems count="14">
          <s v="&lt;01-01-2024"/>
          <s v="Jan"/>
          <s v="Feb"/>
          <s v="Mar"/>
          <s v="Apr"/>
          <s v="May"/>
          <s v="Jun"/>
          <s v="Jul"/>
          <s v="Aug"/>
          <s v="Sep"/>
          <s v="Oct"/>
          <s v="Nov"/>
          <s v="Dec"/>
          <s v="&gt;01-01-2026"/>
        </groupItems>
      </fieldGroup>
    </cacheField>
    <cacheField name="Quarters (Order Date)" numFmtId="0" databaseField="0">
      <fieldGroup base="2">
        <rangePr groupBy="quarters" startDate="2024-01-01T00:00:00" endDate="2026-01-01T00:00:00"/>
        <groupItems count="6">
          <s v="&lt;01-01-2024"/>
          <s v="Qtr1"/>
          <s v="Qtr2"/>
          <s v="Qtr3"/>
          <s v="Qtr4"/>
          <s v="&gt;01-01-2026"/>
        </groupItems>
      </fieldGroup>
    </cacheField>
    <cacheField name="Years (Order Date)" numFmtId="0" databaseField="0">
      <fieldGroup base="2">
        <rangePr groupBy="years" startDate="2024-01-01T00:00:00" endDate="2026-01-01T00:00:00"/>
        <groupItems count="5">
          <s v="&lt;01-01-2024"/>
          <s v="2024"/>
          <s v="2025"/>
          <s v="2026"/>
          <s v="&gt;01-01-2026"/>
        </groupItems>
      </fieldGroup>
    </cacheField>
  </cacheFields>
  <extLst>
    <ext xmlns:x14="http://schemas.microsoft.com/office/spreadsheetml/2009/9/main" uri="{725AE2AE-9491-48be-B2B4-4EB974FC3084}">
      <x14:pivotCacheDefinition pivotCacheId="200644516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vek Anand" refreshedDate="46293.588539699071" createdVersion="8" refreshedVersion="8" minRefreshableVersion="3" recordCount="1" xr:uid="{90A4937A-08B0-466A-A329-0D6AF3DEB13A}">
  <cacheSource type="worksheet">
    <worksheetSource ref="U2:W3" sheet="Raw_Sales"/>
  </cacheSource>
  <cacheFields count="3">
    <cacheField name="Total Sales" numFmtId="165">
      <sharedItems containsSemiMixedTypes="0" containsString="0" containsNumber="1" minValue="169134.95049999989" maxValue="169134.95049999989"/>
    </cacheField>
    <cacheField name="Cancelled Order Value" numFmtId="166">
      <sharedItems containsSemiMixedTypes="0" containsString="0" containsNumber="1" minValue="26998.381999999998" maxValue="26998.381999999998"/>
    </cacheField>
    <cacheField name="Order fulfillment rate" numFmtId="9">
      <sharedItems containsSemiMixedTypes="0" containsString="0" containsNumber="1" minValue="0.10946882217090069" maxValue="0.10946882217090069" count="1">
        <n v="0.10946882217090069"/>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54">
  <r>
    <s v="ORD-100186"/>
    <s v="14-03-2025"/>
    <x v="0"/>
    <x v="0"/>
    <s v="ava.williams6@hotmail.com"/>
    <x v="0"/>
    <x v="0"/>
    <x v="0"/>
    <x v="0"/>
    <n v="2"/>
    <n v="41.09"/>
    <n v="0.05"/>
    <n v="2.41"/>
    <x v="0"/>
    <s v="Credit Card"/>
    <x v="0"/>
    <n v="78.070999999999998"/>
  </r>
  <r>
    <s v="ORD-100936"/>
    <s v="06-01-2024"/>
    <x v="1"/>
    <x v="1"/>
    <s v="grace.thomas8@yahoo.com"/>
    <x v="1"/>
    <x v="1"/>
    <x v="1"/>
    <x v="1"/>
    <n v="2"/>
    <n v="35.159999999999997"/>
    <n v="0.1"/>
    <n v="8.09"/>
    <x v="1"/>
    <s v="Bank Transfer"/>
    <x v="1"/>
    <n v="63.287999999999997"/>
  </r>
  <r>
    <s v="ORD-100666"/>
    <s v="August 10, 2024"/>
    <x v="2"/>
    <x v="2"/>
    <s v="zara.jackson33@yahoo.com"/>
    <x v="2"/>
    <x v="1"/>
    <x v="2"/>
    <x v="2"/>
    <n v="2"/>
    <n v="14.33"/>
    <n v="0.1"/>
    <n v="3.25"/>
    <x v="2"/>
    <s v="Not Known"/>
    <x v="0"/>
    <n v="25.794"/>
  </r>
  <r>
    <s v="ORD-101388"/>
    <s v="06 Nov 2024"/>
    <x v="3"/>
    <x v="3"/>
    <s v="rohan.wilson73@company.co"/>
    <x v="2"/>
    <x v="2"/>
    <x v="2"/>
    <x v="3"/>
    <n v="1"/>
    <n v="7.97"/>
    <n v="0.05"/>
    <n v="4.0999999999999996"/>
    <x v="3"/>
    <s v="COD"/>
    <x v="2"/>
    <n v="7.5714999999999995"/>
  </r>
  <r>
    <s v="ORD-100801"/>
    <s v="May 15, 2025"/>
    <x v="4"/>
    <x v="4"/>
    <s v="ethan.johnson71@gmail.com"/>
    <x v="3"/>
    <x v="3"/>
    <x v="2"/>
    <x v="4"/>
    <n v="1"/>
    <n v="6.7"/>
    <n v="0.15"/>
    <n v="13.27"/>
    <x v="3"/>
    <s v="PayPal"/>
    <x v="2"/>
    <n v="5.6950000000000003"/>
  </r>
  <r>
    <s v="ORD-100564"/>
    <s v="December 25, 2025"/>
    <x v="5"/>
    <x v="5"/>
    <s v="ava.thomas44@gmail.com"/>
    <x v="3"/>
    <x v="4"/>
    <x v="3"/>
    <x v="5"/>
    <n v="3"/>
    <n v="112.33"/>
    <n v="0"/>
    <n v="12.19"/>
    <x v="3"/>
    <s v="Debit Card"/>
    <x v="2"/>
    <n v="336.99"/>
  </r>
  <r>
    <s v="ORD-100346"/>
    <s v="10/07/25"/>
    <x v="6"/>
    <x v="6"/>
    <s v="ishaan.moore14@gmail.com"/>
    <x v="4"/>
    <x v="5"/>
    <x v="4"/>
    <x v="6"/>
    <n v="1"/>
    <n v="59.82"/>
    <n v="0.05"/>
    <n v="12.73"/>
    <x v="0"/>
    <s v="Credit Card"/>
    <x v="2"/>
    <n v="56.829000000000001"/>
  </r>
  <r>
    <s v="ORD-101344"/>
    <s v="10-04-2024"/>
    <x v="7"/>
    <x v="7"/>
    <s v="kabir.reddy3@outlook.com"/>
    <x v="2"/>
    <x v="2"/>
    <x v="0"/>
    <x v="0"/>
    <n v="1"/>
    <n v="40.619999999999997"/>
    <n v="0"/>
    <n v="10.210000000000001"/>
    <x v="3"/>
    <s v="PayPal"/>
    <x v="3"/>
    <n v="40.619999999999997"/>
  </r>
  <r>
    <s v="ORD-100577"/>
    <s v="2025-08-16"/>
    <x v="8"/>
    <x v="8"/>
    <s v="ethan.kapoor34@gmail.com"/>
    <x v="1"/>
    <x v="6"/>
    <x v="1"/>
    <x v="7"/>
    <n v="1"/>
    <n v="43.31"/>
    <n v="0.15"/>
    <n v="6.19"/>
    <x v="4"/>
    <s v="Credit Card"/>
    <x v="2"/>
    <n v="36.813499999999998"/>
  </r>
  <r>
    <s v="ORD-100791"/>
    <s v="25 Aug 2025"/>
    <x v="9"/>
    <x v="9"/>
    <s v="daniel.kapoor44@outlook.com"/>
    <x v="3"/>
    <x v="7"/>
    <x v="4"/>
    <x v="6"/>
    <n v="1"/>
    <n v="58.67"/>
    <n v="0.05"/>
    <n v="4.76"/>
    <x v="0"/>
    <s v="Credit Card"/>
    <x v="2"/>
    <n v="55.736499999999999"/>
  </r>
  <r>
    <s v="ORD-100840"/>
    <s v="09/21/25"/>
    <x v="10"/>
    <x v="10"/>
    <s v="noah.miller69@company.co"/>
    <x v="0"/>
    <x v="0"/>
    <x v="4"/>
    <x v="8"/>
    <n v="1"/>
    <n v="15.36"/>
    <n v="0"/>
    <n v="10.23"/>
    <x v="5"/>
    <s v="Debit Card"/>
    <x v="2"/>
    <n v="15.36"/>
  </r>
  <r>
    <s v="ORD-100095"/>
    <s v="2025-11-14"/>
    <x v="11"/>
    <x v="11"/>
    <s v="mia.clark8@outlook.com"/>
    <x v="2"/>
    <x v="1"/>
    <x v="1"/>
    <x v="7"/>
    <n v="2"/>
    <n v="41.51"/>
    <n v="0.15"/>
    <n v="6.08"/>
    <x v="0"/>
    <s v="COD"/>
    <x v="2"/>
    <n v="70.566999999999993"/>
  </r>
  <r>
    <s v="ORD-100348"/>
    <s v="10/30/25"/>
    <x v="12"/>
    <x v="12"/>
    <s v="noah.moore87@company.co"/>
    <x v="2"/>
    <x v="2"/>
    <x v="2"/>
    <x v="2"/>
    <n v="3"/>
    <n v="13.61"/>
    <n v="0.05"/>
    <n v="12"/>
    <x v="2"/>
    <s v="Bank Transfer"/>
    <x v="2"/>
    <n v="38.788499999999999"/>
  </r>
  <r>
    <s v="ORD-101257"/>
    <s v="25 Mar 2025"/>
    <x v="13"/>
    <x v="13"/>
    <s v="kabir.wilson40@gmail.com"/>
    <x v="0"/>
    <x v="8"/>
    <x v="3"/>
    <x v="9"/>
    <n v="1"/>
    <n v="85.93"/>
    <n v="0"/>
    <n v="14.07"/>
    <x v="5"/>
    <s v="COD"/>
    <x v="2"/>
    <n v="85.93"/>
  </r>
  <r>
    <s v="ORD-100285"/>
    <s v="12/24/25"/>
    <x v="14"/>
    <x v="14"/>
    <s v="ava.sharma12@gmail.com"/>
    <x v="3"/>
    <x v="7"/>
    <x v="2"/>
    <x v="2"/>
    <n v="1"/>
    <n v="13.36"/>
    <n v="0.1"/>
    <n v="6.24"/>
    <x v="3"/>
    <s v="COD"/>
    <x v="2"/>
    <n v="12.023999999999999"/>
  </r>
  <r>
    <s v="ORD-101062"/>
    <s v="06 Aug 2025"/>
    <x v="15"/>
    <x v="15"/>
    <s v="noah.wilson35@yahoo.com"/>
    <x v="0"/>
    <x v="9"/>
    <x v="2"/>
    <x v="10"/>
    <n v="1"/>
    <n v="3.01"/>
    <n v="0"/>
    <n v="13.9"/>
    <x v="6"/>
    <s v="Credit Card"/>
    <x v="1"/>
    <n v="3.01"/>
  </r>
  <r>
    <s v="ORD-100975"/>
    <s v="08-01-2024"/>
    <x v="16"/>
    <x v="16"/>
    <s v="ava.wilson18@outlook.com"/>
    <x v="4"/>
    <x v="1"/>
    <x v="3"/>
    <x v="9"/>
    <n v="2"/>
    <n v="91.56"/>
    <n v="0"/>
    <n v="0.3"/>
    <x v="3"/>
    <s v="COD"/>
    <x v="3"/>
    <n v="183.12"/>
  </r>
  <r>
    <s v="ORD-101026"/>
    <s v="03/04/25"/>
    <x v="17"/>
    <x v="17"/>
    <s v="aarav.jackson1@hotmail.com"/>
    <x v="2"/>
    <x v="2"/>
    <x v="3"/>
    <x v="11"/>
    <n v="1"/>
    <n v="251.19"/>
    <n v="0.15"/>
    <n v="11.3"/>
    <x v="6"/>
    <s v="Credit Card"/>
    <x v="2"/>
    <n v="213.51149999999998"/>
  </r>
  <r>
    <s v="ORD-100249"/>
    <s v="25 Jul 2024"/>
    <x v="18"/>
    <x v="18"/>
    <s v="noah.reddy92@yahoo.com"/>
    <x v="4"/>
    <x v="5"/>
    <x v="4"/>
    <x v="12"/>
    <n v="1"/>
    <n v="13.28"/>
    <n v="0"/>
    <n v="10.38"/>
    <x v="2"/>
    <s v="COD"/>
    <x v="2"/>
    <n v="13.28"/>
  </r>
  <r>
    <s v="ORD-100652"/>
    <s v="28 Nov 2024"/>
    <x v="19"/>
    <x v="19"/>
    <s v="arjun.davis60@outlook.com"/>
    <x v="0"/>
    <x v="9"/>
    <x v="4"/>
    <x v="8"/>
    <n v="2"/>
    <n v="15.07"/>
    <n v="0.05"/>
    <n v="6.97"/>
    <x v="2"/>
    <s v="Credit Card"/>
    <x v="1"/>
    <n v="28.632999999999999"/>
  </r>
  <r>
    <s v="ORD-100354"/>
    <s v="03/28/25"/>
    <x v="20"/>
    <x v="20"/>
    <s v="ethan.jackson84@hotmail.com"/>
    <x v="3"/>
    <x v="4"/>
    <x v="3"/>
    <x v="9"/>
    <n v="10"/>
    <n v="84.62"/>
    <n v="0"/>
    <n v="11.72"/>
    <x v="7"/>
    <s v="Not Known"/>
    <x v="2"/>
    <n v="846.2"/>
  </r>
  <r>
    <s v="ORD-101075"/>
    <s v="February 07, 2024"/>
    <x v="21"/>
    <x v="21"/>
    <s v="arjun.anderson33@outlook.com"/>
    <x v="1"/>
    <x v="6"/>
    <x v="1"/>
    <x v="13"/>
    <n v="1"/>
    <n v="193.7"/>
    <n v="0"/>
    <n v="0"/>
    <x v="4"/>
    <s v="Bank Transfer"/>
    <x v="2"/>
    <n v="193.7"/>
  </r>
  <r>
    <s v="ORD-101369"/>
    <s v="02 Nov 2025"/>
    <x v="22"/>
    <x v="22"/>
    <s v="ethan.miller81@gmail.com"/>
    <x v="1"/>
    <x v="6"/>
    <x v="3"/>
    <x v="9"/>
    <n v="1"/>
    <n v="88.39"/>
    <n v="0.15"/>
    <n v="2.2000000000000002"/>
    <x v="6"/>
    <s v="Credit Card"/>
    <x v="0"/>
    <n v="75.131500000000003"/>
  </r>
  <r>
    <s v="ORD-100369"/>
    <s v="16 Jul 2024"/>
    <x v="23"/>
    <x v="23"/>
    <s v="ethan.davis48@gmail.com"/>
    <x v="3"/>
    <x v="4"/>
    <x v="4"/>
    <x v="12"/>
    <n v="1"/>
    <n v="12.8"/>
    <n v="0.15"/>
    <n v="0.3"/>
    <x v="0"/>
    <s v="COD"/>
    <x v="0"/>
    <n v="10.88"/>
  </r>
  <r>
    <s v="ORD-100921"/>
    <s v="02/17/2024"/>
    <x v="24"/>
    <x v="16"/>
    <s v="ava.wilson17@outlook.com"/>
    <x v="4"/>
    <x v="1"/>
    <x v="2"/>
    <x v="14"/>
    <n v="2"/>
    <n v="4.3499999999999996"/>
    <n v="0.05"/>
    <n v="1.02"/>
    <x v="6"/>
    <s v="Credit Card"/>
    <x v="2"/>
    <n v="8.2649999999999988"/>
  </r>
  <r>
    <s v="ORD-100111"/>
    <s v="20 Jul 2025"/>
    <x v="25"/>
    <x v="24"/>
    <s v="daniel.sharma46@company.co"/>
    <x v="1"/>
    <x v="6"/>
    <x v="2"/>
    <x v="4"/>
    <n v="1"/>
    <n v="6.4"/>
    <n v="0.1"/>
    <n v="8.7899999999999991"/>
    <x v="7"/>
    <s v="Credit Card"/>
    <x v="3"/>
    <n v="5.7600000000000007"/>
  </r>
  <r>
    <s v="ORD-100071"/>
    <s v="27-05-2024"/>
    <x v="26"/>
    <x v="25"/>
    <s v="emma.white92@hotmail.com"/>
    <x v="4"/>
    <x v="1"/>
    <x v="1"/>
    <x v="15"/>
    <n v="5"/>
    <n v="9.42"/>
    <n v="0"/>
    <n v="0"/>
    <x v="4"/>
    <s v="Credit Card"/>
    <x v="1"/>
    <n v="47.1"/>
  </r>
  <r>
    <s v="ORD-100935"/>
    <s v="04/02/2025"/>
    <x v="27"/>
    <x v="26"/>
    <s v="advait.clark79@gmail.com"/>
    <x v="4"/>
    <x v="10"/>
    <x v="0"/>
    <x v="0"/>
    <n v="2"/>
    <n v="41.17"/>
    <n v="0.05"/>
    <n v="8.82"/>
    <x v="0"/>
    <s v="Bank Transfer"/>
    <x v="2"/>
    <n v="78.222999999999999"/>
  </r>
  <r>
    <s v="ORD-100517"/>
    <s v="04/23/25"/>
    <x v="28"/>
    <x v="27"/>
    <s v="rohan.thomas49@hotmail.com"/>
    <x v="2"/>
    <x v="1"/>
    <x v="0"/>
    <x v="16"/>
    <n v="2"/>
    <n v="23.52"/>
    <n v="0"/>
    <n v="0.23"/>
    <x v="0"/>
    <s v="Credit Card"/>
    <x v="2"/>
    <n v="47.04"/>
  </r>
  <r>
    <s v="ORD-100602"/>
    <s v="14-05-2024"/>
    <x v="29"/>
    <x v="28"/>
    <s v="daniel.jackson35@hotmail.com"/>
    <x v="1"/>
    <x v="6"/>
    <x v="0"/>
    <x v="17"/>
    <n v="1"/>
    <n v="43.87"/>
    <n v="0.1"/>
    <n v="2.1800000000000002"/>
    <x v="6"/>
    <s v="COD"/>
    <x v="1"/>
    <n v="39.482999999999997"/>
  </r>
  <r>
    <s v="ORD-100432"/>
    <s v="06 May 2024"/>
    <x v="30"/>
    <x v="29"/>
    <s v="chloe.miller53@hotmail.com"/>
    <x v="0"/>
    <x v="10"/>
    <x v="3"/>
    <x v="11"/>
    <n v="1"/>
    <n v="246.56"/>
    <n v="0.1"/>
    <n v="9.85"/>
    <x v="1"/>
    <s v="Debit Card"/>
    <x v="1"/>
    <n v="221.904"/>
  </r>
  <r>
    <s v="ORD-100804"/>
    <s v="11/07/2025"/>
    <x v="31"/>
    <x v="30"/>
    <s v="ishaan.davis97@company.co"/>
    <x v="1"/>
    <x v="1"/>
    <x v="5"/>
    <x v="3"/>
    <n v="1"/>
    <n v="7.45"/>
    <n v="0"/>
    <n v="11.57"/>
    <x v="5"/>
    <s v="Credit Card"/>
    <x v="2"/>
    <n v="7.45"/>
  </r>
  <r>
    <s v="ORD-100718"/>
    <s v="04/05/2025"/>
    <x v="32"/>
    <x v="31"/>
    <s v="Not Known"/>
    <x v="2"/>
    <x v="1"/>
    <x v="3"/>
    <x v="11"/>
    <n v="1"/>
    <n v="247.74"/>
    <n v="0.05"/>
    <n v="0"/>
    <x v="6"/>
    <s v="Credit Card"/>
    <x v="3"/>
    <n v="235.35300000000001"/>
  </r>
  <r>
    <s v="ORD-100828"/>
    <s v="15-03-2025"/>
    <x v="33"/>
    <x v="32"/>
    <s v="zara.iyer13@outlook.com"/>
    <x v="1"/>
    <x v="6"/>
    <x v="0"/>
    <x v="17"/>
    <n v="1"/>
    <n v="44.55"/>
    <n v="0"/>
    <n v="0"/>
    <x v="1"/>
    <s v="COD"/>
    <x v="3"/>
    <n v="44.55"/>
  </r>
  <r>
    <s v="ORD-100063"/>
    <s v="April 02, 2024"/>
    <x v="34"/>
    <x v="33"/>
    <s v="Not Known"/>
    <x v="1"/>
    <x v="6"/>
    <x v="3"/>
    <x v="9"/>
    <n v="10"/>
    <n v="89.81"/>
    <n v="0"/>
    <n v="6.94"/>
    <x v="6"/>
    <s v="Debit Card"/>
    <x v="2"/>
    <n v="898.1"/>
  </r>
  <r>
    <s v="ORD-101288"/>
    <s v="05/08/2024"/>
    <x v="35"/>
    <x v="34"/>
    <s v="kabir.gupta65@hotmail.com"/>
    <x v="3"/>
    <x v="3"/>
    <x v="1"/>
    <x v="1"/>
    <n v="1"/>
    <n v="35.78"/>
    <n v="0"/>
    <n v="0"/>
    <x v="3"/>
    <s v="PayPal"/>
    <x v="1"/>
    <n v="35.78"/>
  </r>
  <r>
    <s v="ORD-100691"/>
    <s v="19-07-2025"/>
    <x v="36"/>
    <x v="35"/>
    <s v="mia.thomas35@hotmail.com"/>
    <x v="2"/>
    <x v="1"/>
    <x v="0"/>
    <x v="17"/>
    <n v="1"/>
    <n v="42.79"/>
    <n v="0.1"/>
    <n v="0.34"/>
    <x v="4"/>
    <s v="Not Known"/>
    <x v="2"/>
    <n v="38.511000000000003"/>
  </r>
  <r>
    <s v="ORD-101280"/>
    <s v="01/03/2024"/>
    <x v="37"/>
    <x v="36"/>
    <s v="rohan.kapoor17@outlook.com"/>
    <x v="0"/>
    <x v="9"/>
    <x v="4"/>
    <x v="18"/>
    <n v="1"/>
    <n v="29.13"/>
    <n v="0.1"/>
    <n v="4.2300000000000004"/>
    <x v="6"/>
    <s v="COD"/>
    <x v="2"/>
    <n v="26.216999999999999"/>
  </r>
  <r>
    <s v="ORD-100758"/>
    <s v="2024-10-20"/>
    <x v="38"/>
    <x v="37"/>
    <s v="liam.moore74@hotmail.com"/>
    <x v="1"/>
    <x v="1"/>
    <x v="4"/>
    <x v="8"/>
    <n v="1"/>
    <n v="15.16"/>
    <n v="0"/>
    <n v="3.47"/>
    <x v="3"/>
    <s v="PayPal"/>
    <x v="2"/>
    <n v="15.16"/>
  </r>
  <r>
    <s v="ORD-100945"/>
    <s v="11 Jun 2025"/>
    <x v="39"/>
    <x v="38"/>
    <s v="aarav.iyer82@hotmail.com"/>
    <x v="4"/>
    <x v="5"/>
    <x v="0"/>
    <x v="17"/>
    <n v="1"/>
    <n v="47.24"/>
    <n v="0"/>
    <n v="2.56"/>
    <x v="6"/>
    <s v="Credit Card"/>
    <x v="1"/>
    <n v="47.24"/>
  </r>
  <r>
    <s v="ORD-100363"/>
    <s v="2024-04-03"/>
    <x v="40"/>
    <x v="5"/>
    <s v="ava.thomas33@hotmail.com"/>
    <x v="1"/>
    <x v="6"/>
    <x v="4"/>
    <x v="12"/>
    <n v="3"/>
    <n v="12.98"/>
    <n v="0.1"/>
    <n v="4.28"/>
    <x v="2"/>
    <s v="PayPal"/>
    <x v="2"/>
    <n v="35.045999999999999"/>
  </r>
  <r>
    <s v="ORD-100294"/>
    <s v="2025-07-06"/>
    <x v="41"/>
    <x v="39"/>
    <s v="ella.williams31@yahoo.com"/>
    <x v="1"/>
    <x v="6"/>
    <x v="3"/>
    <x v="5"/>
    <n v="3"/>
    <n v="111.31"/>
    <n v="0"/>
    <n v="14.09"/>
    <x v="1"/>
    <s v="Not Known"/>
    <x v="2"/>
    <n v="333.93"/>
  </r>
  <r>
    <s v="ORD-101318"/>
    <s v="April 27, 2025"/>
    <x v="42"/>
    <x v="40"/>
    <s v="advait.davis94@company.co"/>
    <x v="2"/>
    <x v="2"/>
    <x v="4"/>
    <x v="8"/>
    <n v="4"/>
    <n v="15.09"/>
    <n v="0"/>
    <n v="12"/>
    <x v="2"/>
    <s v="Bank Transfer"/>
    <x v="2"/>
    <n v="60.36"/>
  </r>
  <r>
    <s v="ORD-100640"/>
    <s v="November 19, 2024"/>
    <x v="43"/>
    <x v="41"/>
    <s v="grace.taylor63@yahoo.com"/>
    <x v="2"/>
    <x v="1"/>
    <x v="3"/>
    <x v="11"/>
    <n v="2"/>
    <n v="252.52"/>
    <n v="0"/>
    <n v="11.03"/>
    <x v="6"/>
    <s v="COD"/>
    <x v="2"/>
    <n v="505.04"/>
  </r>
  <r>
    <s v="ORD-100779"/>
    <s v="2025-08-31"/>
    <x v="44"/>
    <x v="0"/>
    <s v="ava.williams59@hotmail.com"/>
    <x v="3"/>
    <x v="3"/>
    <x v="3"/>
    <x v="5"/>
    <n v="1"/>
    <n v="110.76"/>
    <n v="0"/>
    <n v="11.59"/>
    <x v="0"/>
    <s v="Credit Card"/>
    <x v="1"/>
    <n v="110.76"/>
  </r>
  <r>
    <s v="ORD-100782"/>
    <s v="19 May 2025"/>
    <x v="45"/>
    <x v="42"/>
    <s v="liam.nair69@company.co"/>
    <x v="4"/>
    <x v="5"/>
    <x v="2"/>
    <x v="4"/>
    <n v="2"/>
    <n v="6.78"/>
    <n v="0.1"/>
    <n v="9.35"/>
    <x v="7"/>
    <s v="Bank Transfer"/>
    <x v="2"/>
    <n v="12.204000000000001"/>
  </r>
  <r>
    <s v="ORD-100478"/>
    <s v="01/01/2025"/>
    <x v="46"/>
    <x v="43"/>
    <s v="ethan.sharma24@outlook.com"/>
    <x v="1"/>
    <x v="6"/>
    <x v="5"/>
    <x v="16"/>
    <n v="10"/>
    <n v="22.04"/>
    <n v="0.15"/>
    <n v="5.57"/>
    <x v="2"/>
    <s v="Not Known"/>
    <x v="0"/>
    <n v="187.33999999999997"/>
  </r>
  <r>
    <s v="ORD-101097"/>
    <s v="03/27/24"/>
    <x v="47"/>
    <x v="44"/>
    <s v="daniel.nair37@outlook.com"/>
    <x v="1"/>
    <x v="1"/>
    <x v="2"/>
    <x v="2"/>
    <n v="4"/>
    <n v="13.81"/>
    <n v="0"/>
    <n v="0"/>
    <x v="3"/>
    <s v="Not Known"/>
    <x v="3"/>
    <n v="55.24"/>
  </r>
  <r>
    <s v="ORD-101346"/>
    <s v="07-04-2024"/>
    <x v="48"/>
    <x v="45"/>
    <s v="kabir.harris1@hotmail.com"/>
    <x v="1"/>
    <x v="6"/>
    <x v="4"/>
    <x v="18"/>
    <n v="5"/>
    <n v="29.18"/>
    <n v="0"/>
    <n v="8.48"/>
    <x v="3"/>
    <s v="Bank Transfer"/>
    <x v="2"/>
    <n v="145.9"/>
  </r>
  <r>
    <s v="ORD-100009"/>
    <s v="09/11/2024"/>
    <x v="49"/>
    <x v="46"/>
    <s v="olivia.brown14@outlook.com"/>
    <x v="2"/>
    <x v="10"/>
    <x v="1"/>
    <x v="1"/>
    <n v="4"/>
    <n v="34.75"/>
    <n v="0.05"/>
    <n v="2.1"/>
    <x v="2"/>
    <s v="PayPal"/>
    <x v="2"/>
    <n v="132.04999999999998"/>
  </r>
  <r>
    <s v="ORD-101293"/>
    <s v="September 20, 2025"/>
    <x v="50"/>
    <x v="47"/>
    <s v="chloe.kapoor90@company.co"/>
    <x v="1"/>
    <x v="6"/>
    <x v="3"/>
    <x v="5"/>
    <n v="10"/>
    <n v="113.36"/>
    <n v="0"/>
    <n v="3.09"/>
    <x v="6"/>
    <s v="Debit Card"/>
    <x v="2"/>
    <n v="1133.5999999999999"/>
  </r>
  <r>
    <s v="ORD-100284"/>
    <s v="26-06-2024"/>
    <x v="51"/>
    <x v="48"/>
    <s v="emma.clark76@yahoo.com"/>
    <x v="3"/>
    <x v="10"/>
    <x v="1"/>
    <x v="15"/>
    <n v="4"/>
    <n v="9.43"/>
    <n v="0.15"/>
    <n v="2.12"/>
    <x v="7"/>
    <s v="Credit Card"/>
    <x v="0"/>
    <n v="32.061999999999998"/>
  </r>
  <r>
    <s v="ORD-100451"/>
    <s v="2025-01-05"/>
    <x v="52"/>
    <x v="49"/>
    <s v="arjun.thomas31@yahoo.com"/>
    <x v="2"/>
    <x v="2"/>
    <x v="0"/>
    <x v="16"/>
    <n v="4"/>
    <n v="22.57"/>
    <n v="0"/>
    <n v="0.26"/>
    <x v="3"/>
    <s v="Credit Card"/>
    <x v="2"/>
    <n v="90.28"/>
  </r>
  <r>
    <s v="ORD-100925"/>
    <s v="12/29/2024"/>
    <x v="53"/>
    <x v="50"/>
    <s v="sophia.nair89@hotmail.com"/>
    <x v="2"/>
    <x v="1"/>
    <x v="1"/>
    <x v="13"/>
    <n v="2"/>
    <n v="196.74"/>
    <n v="0"/>
    <n v="13.29"/>
    <x v="5"/>
    <s v="Debit Card"/>
    <x v="2"/>
    <n v="393.48"/>
  </r>
  <r>
    <s v="ORD-101297"/>
    <s v="2024-08-02"/>
    <x v="54"/>
    <x v="51"/>
    <s v="ella.sharma48@yahoo.com"/>
    <x v="2"/>
    <x v="1"/>
    <x v="3"/>
    <x v="11"/>
    <n v="10"/>
    <n v="258.27999999999997"/>
    <n v="0"/>
    <n v="7.71"/>
    <x v="7"/>
    <s v="Bank Transfer"/>
    <x v="3"/>
    <n v="2582.7999999999997"/>
  </r>
  <r>
    <s v="ORD-100963"/>
    <s v="08/09/25"/>
    <x v="55"/>
    <x v="52"/>
    <s v="arjun.sharma93@hotmail.com"/>
    <x v="1"/>
    <x v="1"/>
    <x v="0"/>
    <x v="16"/>
    <n v="2"/>
    <n v="23.25"/>
    <n v="0.15"/>
    <n v="1.58"/>
    <x v="3"/>
    <s v="Bank Transfer"/>
    <x v="2"/>
    <n v="39.524999999999999"/>
  </r>
  <r>
    <s v="ORD-101079"/>
    <s v="18 Mar 2025"/>
    <x v="56"/>
    <x v="53"/>
    <s v="mia.iyer98@hotmail.com"/>
    <x v="4"/>
    <x v="11"/>
    <x v="4"/>
    <x v="18"/>
    <n v="1"/>
    <n v="29.09"/>
    <n v="0.05"/>
    <n v="14.47"/>
    <x v="3"/>
    <s v="Credit Card"/>
    <x v="2"/>
    <n v="27.635499999999997"/>
  </r>
  <r>
    <s v="ORD-100665"/>
    <s v="09/09/25"/>
    <x v="57"/>
    <x v="54"/>
    <s v="Not Known"/>
    <x v="0"/>
    <x v="9"/>
    <x v="2"/>
    <x v="14"/>
    <n v="3"/>
    <n v="4.3600000000000003"/>
    <n v="0.05"/>
    <n v="6.09"/>
    <x v="2"/>
    <s v="Credit Card"/>
    <x v="2"/>
    <n v="12.426000000000002"/>
  </r>
  <r>
    <s v="ORD-100017"/>
    <s v="12-03-2024"/>
    <x v="58"/>
    <x v="55"/>
    <s v="sophia.wilson36@yahoo.com"/>
    <x v="1"/>
    <x v="1"/>
    <x v="4"/>
    <x v="18"/>
    <n v="3"/>
    <n v="29.09"/>
    <n v="0.1"/>
    <n v="6"/>
    <x v="4"/>
    <s v="Credit Card"/>
    <x v="2"/>
    <n v="78.542999999999992"/>
  </r>
  <r>
    <s v="ORD-100473"/>
    <s v="April 15, 2025"/>
    <x v="59"/>
    <x v="56"/>
    <s v="liam.gupta15@hotmail.com"/>
    <x v="0"/>
    <x v="10"/>
    <x v="2"/>
    <x v="3"/>
    <n v="1"/>
    <n v="8.01"/>
    <n v="0.1"/>
    <n v="4.24"/>
    <x v="2"/>
    <s v="Credit Card"/>
    <x v="2"/>
    <n v="7.2089999999999996"/>
  </r>
  <r>
    <s v="ORD-100765"/>
    <s v="16 Mar 2025"/>
    <x v="60"/>
    <x v="57"/>
    <s v="ava.miller19@yahoo.com"/>
    <x v="3"/>
    <x v="7"/>
    <x v="1"/>
    <x v="19"/>
    <n v="1"/>
    <n v="25.97"/>
    <n v="0.05"/>
    <n v="14.06"/>
    <x v="7"/>
    <s v="Bank Transfer"/>
    <x v="2"/>
    <n v="24.671499999999998"/>
  </r>
  <r>
    <s v="ORD-101025"/>
    <s v="08 May 2024"/>
    <x v="35"/>
    <x v="58"/>
    <s v="sophia.anderson8@hotmail.com"/>
    <x v="4"/>
    <x v="1"/>
    <x v="0"/>
    <x v="17"/>
    <n v="1"/>
    <n v="43.47"/>
    <n v="0.1"/>
    <n v="5.93"/>
    <x v="4"/>
    <s v="Not Known"/>
    <x v="2"/>
    <n v="39.122999999999998"/>
  </r>
  <r>
    <s v="ORD-100768"/>
    <s v="November 17, 2024"/>
    <x v="61"/>
    <x v="59"/>
    <s v="chloe.thomas68@yahoo.com"/>
    <x v="2"/>
    <x v="2"/>
    <x v="3"/>
    <x v="5"/>
    <n v="1"/>
    <n v="111.43"/>
    <n v="0"/>
    <n v="11.26"/>
    <x v="0"/>
    <s v="Not Known"/>
    <x v="2"/>
    <n v="111.43"/>
  </r>
  <r>
    <s v="ORD-100118"/>
    <s v="December 08, 2025"/>
    <x v="62"/>
    <x v="60"/>
    <s v="arjun.clark76@company.co"/>
    <x v="0"/>
    <x v="8"/>
    <x v="1"/>
    <x v="20"/>
    <n v="10"/>
    <n v="18.53"/>
    <n v="0"/>
    <n v="0.37"/>
    <x v="5"/>
    <s v="PayPal"/>
    <x v="1"/>
    <n v="185.3"/>
  </r>
  <r>
    <s v="ORD-100300"/>
    <s v="28-03-2025"/>
    <x v="20"/>
    <x v="61"/>
    <s v="chloe.moore73@hotmail.com"/>
    <x v="2"/>
    <x v="1"/>
    <x v="1"/>
    <x v="1"/>
    <n v="3"/>
    <n v="35.15"/>
    <n v="0.1"/>
    <n v="7.18"/>
    <x v="6"/>
    <s v="Credit Card"/>
    <x v="2"/>
    <n v="94.904999999999987"/>
  </r>
  <r>
    <s v="ORD-100671"/>
    <s v="04-09-2025"/>
    <x v="63"/>
    <x v="62"/>
    <s v="ella.white12@gmail.com"/>
    <x v="4"/>
    <x v="5"/>
    <x v="4"/>
    <x v="12"/>
    <n v="1"/>
    <n v="13.63"/>
    <n v="0.1"/>
    <n v="8.17"/>
    <x v="4"/>
    <s v="COD"/>
    <x v="0"/>
    <n v="12.267000000000001"/>
  </r>
  <r>
    <s v="ORD-100677"/>
    <s v="2024-04-04"/>
    <x v="64"/>
    <x v="63"/>
    <s v="chloe.sharma70@gmail.com"/>
    <x v="1"/>
    <x v="6"/>
    <x v="4"/>
    <x v="12"/>
    <n v="1"/>
    <n v="12.89"/>
    <n v="0.15"/>
    <n v="10.73"/>
    <x v="5"/>
    <s v="Debit Card"/>
    <x v="1"/>
    <n v="10.9565"/>
  </r>
  <r>
    <s v="ORD-101194"/>
    <s v="December 30, 2025"/>
    <x v="65"/>
    <x v="64"/>
    <s v="liam.clark75@company.co"/>
    <x v="2"/>
    <x v="1"/>
    <x v="3"/>
    <x v="5"/>
    <n v="4"/>
    <n v="109.17"/>
    <n v="0"/>
    <m/>
    <x v="5"/>
    <s v="Debit Card"/>
    <x v="2"/>
    <n v="436.68"/>
  </r>
  <r>
    <s v="ORD-101079"/>
    <s v="18 Mar 2025"/>
    <x v="56"/>
    <x v="53"/>
    <s v="mia.iyer98@hotmail.com"/>
    <x v="4"/>
    <x v="11"/>
    <x v="4"/>
    <x v="18"/>
    <n v="1"/>
    <n v="29.09"/>
    <n v="0.05"/>
    <n v="14.47"/>
    <x v="3"/>
    <s v="Credit Card"/>
    <x v="2"/>
    <n v="27.635499999999997"/>
  </r>
  <r>
    <s v="ORD-100324"/>
    <s v="30-01-2024"/>
    <x v="66"/>
    <x v="65"/>
    <s v="ella.thomas18@yahoo.com"/>
    <x v="2"/>
    <x v="1"/>
    <x v="2"/>
    <x v="14"/>
    <n v="5"/>
    <n v="4.05"/>
    <n v="0.05"/>
    <n v="9.8800000000000008"/>
    <x v="2"/>
    <s v="COD"/>
    <x v="2"/>
    <n v="19.237500000000001"/>
  </r>
  <r>
    <s v="ORD-100252"/>
    <s v="2024-02-20"/>
    <x v="67"/>
    <x v="66"/>
    <s v="olivia.gupta12@hotmail.com"/>
    <x v="4"/>
    <x v="11"/>
    <x v="0"/>
    <x v="0"/>
    <n v="1"/>
    <n v="38.19"/>
    <n v="0.15"/>
    <m/>
    <x v="0"/>
    <s v="Bank Transfer"/>
    <x v="2"/>
    <n v="32.461499999999994"/>
  </r>
  <r>
    <s v="ORD-100313"/>
    <s v="05/02/25"/>
    <x v="68"/>
    <x v="3"/>
    <s v="rohan.wilson9@company.co"/>
    <x v="3"/>
    <x v="3"/>
    <x v="3"/>
    <x v="5"/>
    <n v="5"/>
    <n v="105.77"/>
    <n v="0.1"/>
    <n v="14.98"/>
    <x v="3"/>
    <s v="COD"/>
    <x v="2"/>
    <n v="475.96500000000003"/>
  </r>
  <r>
    <s v="ORD-100656"/>
    <s v="08/09/2025"/>
    <x v="55"/>
    <x v="67"/>
    <s v="daniel.clark81@yahoo.com"/>
    <x v="4"/>
    <x v="11"/>
    <x v="2"/>
    <x v="10"/>
    <n v="2"/>
    <n v="3.14"/>
    <n v="0"/>
    <n v="3.56"/>
    <x v="1"/>
    <s v="Debit Card"/>
    <x v="2"/>
    <n v="6.28"/>
  </r>
  <r>
    <s v="ORD-100669"/>
    <s v="December 12, 2025"/>
    <x v="69"/>
    <x v="14"/>
    <s v="ava.sharma75@yahoo.com"/>
    <x v="0"/>
    <x v="8"/>
    <x v="1"/>
    <x v="1"/>
    <n v="1"/>
    <n v="35.840000000000003"/>
    <n v="0.05"/>
    <n v="10.54"/>
    <x v="3"/>
    <s v="Credit Card"/>
    <x v="2"/>
    <n v="34.048000000000002"/>
  </r>
  <r>
    <s v="ORD-100562"/>
    <s v="2025-05-07"/>
    <x v="70"/>
    <x v="68"/>
    <s v="daniel.reddy87@outlook.com"/>
    <x v="1"/>
    <x v="1"/>
    <x v="4"/>
    <x v="18"/>
    <n v="4"/>
    <n v="28.62"/>
    <n v="0"/>
    <n v="6.33"/>
    <x v="2"/>
    <s v="Debit Card"/>
    <x v="2"/>
    <n v="114.48"/>
  </r>
  <r>
    <s v="ORD-100263"/>
    <s v="02/05/2025"/>
    <x v="71"/>
    <x v="55"/>
    <s v="sophia.wilson47@hotmail.com"/>
    <x v="3"/>
    <x v="3"/>
    <x v="5"/>
    <x v="12"/>
    <n v="5"/>
    <n v="12.93"/>
    <n v="0.05"/>
    <n v="4.95"/>
    <x v="4"/>
    <s v="Debit Card"/>
    <x v="2"/>
    <n v="61.417500000000004"/>
  </r>
  <r>
    <s v="ORD-100903"/>
    <s v="08/29/2025"/>
    <x v="72"/>
    <x v="69"/>
    <s v="grace.iyer49@gmail.com"/>
    <x v="0"/>
    <x v="9"/>
    <x v="3"/>
    <x v="21"/>
    <n v="3"/>
    <n v="123.55"/>
    <n v="0.15"/>
    <n v="8.2100000000000009"/>
    <x v="4"/>
    <s v="Not Known"/>
    <x v="2"/>
    <n v="315.05249999999995"/>
  </r>
  <r>
    <s v="ORD-100101"/>
    <s v="08/27/24"/>
    <x v="73"/>
    <x v="70"/>
    <s v="sophia.harris38@gmail.com"/>
    <x v="1"/>
    <x v="1"/>
    <x v="4"/>
    <x v="12"/>
    <n v="4"/>
    <n v="12.66"/>
    <n v="0.05"/>
    <n v="8.9700000000000006"/>
    <x v="4"/>
    <s v="Credit Card"/>
    <x v="3"/>
    <n v="48.107999999999997"/>
  </r>
  <r>
    <s v="ORD-100378"/>
    <s v="10/16/2025"/>
    <x v="74"/>
    <x v="71"/>
    <s v="emma.jackson1@company.co"/>
    <x v="3"/>
    <x v="4"/>
    <x v="0"/>
    <x v="22"/>
    <n v="3"/>
    <n v="80.92"/>
    <n v="0"/>
    <n v="9.36"/>
    <x v="1"/>
    <s v="Debit Card"/>
    <x v="0"/>
    <n v="242.76"/>
  </r>
  <r>
    <s v="ORD-100210"/>
    <s v="19 Nov 2024"/>
    <x v="43"/>
    <x v="72"/>
    <s v="chloe.brown30@yahoo.com"/>
    <x v="2"/>
    <x v="2"/>
    <x v="2"/>
    <x v="10"/>
    <n v="5"/>
    <n v="3.24"/>
    <n v="0"/>
    <n v="0.15"/>
    <x v="0"/>
    <s v="Credit Card"/>
    <x v="3"/>
    <n v="16.200000000000003"/>
  </r>
  <r>
    <s v="ORD-100835"/>
    <s v="14-09-2025"/>
    <x v="75"/>
    <x v="73"/>
    <s v="daniel.moore78@company.co"/>
    <x v="4"/>
    <x v="11"/>
    <x v="4"/>
    <x v="6"/>
    <n v="1"/>
    <n v="61.69"/>
    <n v="0.1"/>
    <n v="0.14000000000000001"/>
    <x v="7"/>
    <s v="Credit Card"/>
    <x v="2"/>
    <n v="55.521000000000001"/>
  </r>
  <r>
    <s v="ORD-100043"/>
    <s v="10/21/2024"/>
    <x v="76"/>
    <x v="74"/>
    <s v="daniel.white88@gmail.com"/>
    <x v="1"/>
    <x v="6"/>
    <x v="3"/>
    <x v="5"/>
    <n v="10"/>
    <n v="111.65"/>
    <n v="0.1"/>
    <n v="0"/>
    <x v="5"/>
    <s v="Not Known"/>
    <x v="2"/>
    <n v="1004.85"/>
  </r>
  <r>
    <s v="ORD-101227"/>
    <s v="21 Mar 2024"/>
    <x v="77"/>
    <x v="75"/>
    <s v="olivia.nair13@hotmail.com"/>
    <x v="3"/>
    <x v="4"/>
    <x v="3"/>
    <x v="9"/>
    <n v="2"/>
    <n v="87.15"/>
    <n v="0.1"/>
    <n v="4.57"/>
    <x v="4"/>
    <s v="PayPal"/>
    <x v="2"/>
    <n v="156.87"/>
  </r>
  <r>
    <s v="ORD-100408"/>
    <s v="22-03-2024"/>
    <x v="78"/>
    <x v="76"/>
    <s v="kabir.thomas22@gmail.com"/>
    <x v="4"/>
    <x v="1"/>
    <x v="4"/>
    <x v="18"/>
    <n v="1"/>
    <n v="29.05"/>
    <n v="0.05"/>
    <n v="4.1500000000000004"/>
    <x v="4"/>
    <s v="Credit Card"/>
    <x v="2"/>
    <n v="27.5975"/>
  </r>
  <r>
    <s v="ORD-100816"/>
    <s v="01-11-2025"/>
    <x v="79"/>
    <x v="77"/>
    <s v="Not Known"/>
    <x v="2"/>
    <x v="2"/>
    <x v="3"/>
    <x v="21"/>
    <n v="1"/>
    <n v="132.29"/>
    <n v="0.05"/>
    <n v="11.52"/>
    <x v="5"/>
    <s v="Not Known"/>
    <x v="3"/>
    <n v="125.67549999999999"/>
  </r>
  <r>
    <s v="ORD-100146"/>
    <s v="29 Feb 2024"/>
    <x v="80"/>
    <x v="68"/>
    <s v="daniel.reddy36@hotmail.com"/>
    <x v="4"/>
    <x v="1"/>
    <x v="4"/>
    <x v="8"/>
    <n v="3"/>
    <n v="14.97"/>
    <n v="0"/>
    <n v="8.76"/>
    <x v="1"/>
    <s v="Credit Card"/>
    <x v="2"/>
    <n v="44.910000000000004"/>
  </r>
  <r>
    <s v="ORD-101201"/>
    <s v="2024-01-17"/>
    <x v="81"/>
    <x v="78"/>
    <s v="lily.nair35@yahoo.com"/>
    <x v="3"/>
    <x v="7"/>
    <x v="4"/>
    <x v="6"/>
    <n v="2"/>
    <n v="61.61"/>
    <n v="0"/>
    <n v="2.29"/>
    <x v="0"/>
    <s v="Credit Card"/>
    <x v="1"/>
    <n v="123.22"/>
  </r>
  <r>
    <s v="ORD-100416"/>
    <s v="21-05-2025"/>
    <x v="82"/>
    <x v="79"/>
    <s v="mia.kapoor28@hotmail.com"/>
    <x v="0"/>
    <x v="9"/>
    <x v="4"/>
    <x v="18"/>
    <n v="1"/>
    <n v="30.29"/>
    <n v="0.15"/>
    <n v="0.88"/>
    <x v="4"/>
    <s v="Credit Card"/>
    <x v="2"/>
    <n v="25.746499999999997"/>
  </r>
  <r>
    <s v="ORD-100410"/>
    <s v="May 05, 2024"/>
    <x v="83"/>
    <x v="17"/>
    <s v="Not Known"/>
    <x v="0"/>
    <x v="9"/>
    <x v="4"/>
    <x v="6"/>
    <n v="3"/>
    <n v="60.65"/>
    <n v="0"/>
    <n v="11.27"/>
    <x v="1"/>
    <s v="PayPal"/>
    <x v="2"/>
    <n v="181.95"/>
  </r>
  <r>
    <s v="ORD-100185"/>
    <s v="01/14/24"/>
    <x v="84"/>
    <x v="80"/>
    <s v="ethan.reddy7@outlook.com"/>
    <x v="4"/>
    <x v="11"/>
    <x v="2"/>
    <x v="2"/>
    <n v="2"/>
    <n v="14.4"/>
    <n v="0"/>
    <n v="13.03"/>
    <x v="3"/>
    <s v="Not Known"/>
    <x v="2"/>
    <n v="28.8"/>
  </r>
  <r>
    <s v="ORD-100715"/>
    <s v="05 Apr 2024"/>
    <x v="85"/>
    <x v="19"/>
    <s v="arjun.davis54@yahoo.com"/>
    <x v="2"/>
    <x v="2"/>
    <x v="4"/>
    <x v="18"/>
    <n v="4"/>
    <n v="30.94"/>
    <n v="0.15"/>
    <n v="13.26"/>
    <x v="1"/>
    <s v="Bank Transfer"/>
    <x v="2"/>
    <n v="105.196"/>
  </r>
  <r>
    <s v="ORD-100572"/>
    <s v="10 Aug 2024"/>
    <x v="2"/>
    <x v="81"/>
    <s v="arjun.moore46@company.co"/>
    <x v="3"/>
    <x v="7"/>
    <x v="0"/>
    <x v="17"/>
    <n v="2"/>
    <n v="43.19"/>
    <n v="0"/>
    <n v="11.56"/>
    <x v="5"/>
    <s v="COD"/>
    <x v="0"/>
    <n v="86.38"/>
  </r>
  <r>
    <s v="ORD-100447"/>
    <s v="April 15, 2024"/>
    <x v="86"/>
    <x v="82"/>
    <s v="ella.iyer38@gmail.com"/>
    <x v="2"/>
    <x v="2"/>
    <x v="5"/>
    <x v="10"/>
    <n v="2"/>
    <n v="3.05"/>
    <n v="0"/>
    <n v="0.02"/>
    <x v="1"/>
    <s v="Credit Card"/>
    <x v="2"/>
    <n v="6.1"/>
  </r>
  <r>
    <s v="ORD-101051"/>
    <s v="08 Jun 2025"/>
    <x v="87"/>
    <x v="83"/>
    <s v="grace.white99@gmail.com"/>
    <x v="1"/>
    <x v="6"/>
    <x v="1"/>
    <x v="19"/>
    <n v="1"/>
    <n v="26.08"/>
    <n v="0.1"/>
    <n v="6.46"/>
    <x v="1"/>
    <s v="Bank Transfer"/>
    <x v="0"/>
    <n v="23.471999999999998"/>
  </r>
  <r>
    <s v="ORD-101336"/>
    <s v="27 May 2024"/>
    <x v="26"/>
    <x v="84"/>
    <s v="rohan.nair53@yahoo.com"/>
    <x v="3"/>
    <x v="7"/>
    <x v="0"/>
    <x v="16"/>
    <n v="5"/>
    <n v="21.45"/>
    <n v="0.05"/>
    <n v="8.84"/>
    <x v="3"/>
    <s v="Credit Card"/>
    <x v="2"/>
    <n v="101.88749999999999"/>
  </r>
  <r>
    <s v="ORD-101164"/>
    <s v="February 11, 2024"/>
    <x v="88"/>
    <x v="85"/>
    <s v="aarav.thomas72@outlook.com"/>
    <x v="1"/>
    <x v="1"/>
    <x v="3"/>
    <x v="5"/>
    <n v="10"/>
    <n v="114.7"/>
    <n v="0"/>
    <n v="3.6"/>
    <x v="2"/>
    <s v="Bank Transfer"/>
    <x v="2"/>
    <n v="1147"/>
  </r>
  <r>
    <s v="ORD-101238"/>
    <s v="February 02, 2024"/>
    <x v="89"/>
    <x v="86"/>
    <s v="emma.wilson23@outlook.com"/>
    <x v="4"/>
    <x v="11"/>
    <x v="1"/>
    <x v="20"/>
    <n v="1"/>
    <n v="19.079999999999998"/>
    <n v="0"/>
    <m/>
    <x v="7"/>
    <s v="Bank Transfer"/>
    <x v="2"/>
    <n v="19.079999999999998"/>
  </r>
  <r>
    <s v="ORD-101071"/>
    <s v="05/06/2025"/>
    <x v="90"/>
    <x v="84"/>
    <s v="rohan.nair43@hotmail.com"/>
    <x v="2"/>
    <x v="1"/>
    <x v="1"/>
    <x v="20"/>
    <n v="2"/>
    <n v="18.940000000000001"/>
    <n v="0"/>
    <m/>
    <x v="0"/>
    <s v="Not Known"/>
    <x v="2"/>
    <n v="37.880000000000003"/>
  </r>
  <r>
    <s v="ORD-100013"/>
    <s v="07/10/25"/>
    <x v="91"/>
    <x v="87"/>
    <s v="noah.anderson57@outlook.com"/>
    <x v="1"/>
    <x v="6"/>
    <x v="0"/>
    <x v="17"/>
    <n v="10"/>
    <n v="43.08"/>
    <n v="0.1"/>
    <n v="14.81"/>
    <x v="6"/>
    <s v="COD"/>
    <x v="2"/>
    <n v="387.71999999999997"/>
  </r>
  <r>
    <s v="ORD-101233"/>
    <s v="2024-12-13"/>
    <x v="92"/>
    <x v="88"/>
    <s v="noah.clark50@company.co"/>
    <x v="3"/>
    <x v="7"/>
    <x v="1"/>
    <x v="1"/>
    <n v="1"/>
    <n v="35.49"/>
    <n v="0.1"/>
    <n v="2.4300000000000002"/>
    <x v="5"/>
    <s v="Not Known"/>
    <x v="1"/>
    <n v="31.941000000000003"/>
  </r>
  <r>
    <s v="ORD-101343"/>
    <s v="2024-01-04"/>
    <x v="93"/>
    <x v="89"/>
    <s v="noah.sharma84@yahoo.com"/>
    <x v="1"/>
    <x v="1"/>
    <x v="1"/>
    <x v="15"/>
    <n v="3"/>
    <n v="9.5299999999999994"/>
    <n v="0"/>
    <n v="5.41"/>
    <x v="4"/>
    <s v="PayPal"/>
    <x v="2"/>
    <n v="28.589999999999996"/>
  </r>
  <r>
    <s v="ORD-101300"/>
    <s v="01/01/25"/>
    <x v="46"/>
    <x v="90"/>
    <s v="Not Known"/>
    <x v="0"/>
    <x v="0"/>
    <x v="1"/>
    <x v="19"/>
    <n v="2"/>
    <n v="25.3"/>
    <n v="0.15"/>
    <n v="1.67"/>
    <x v="7"/>
    <s v="Debit Card"/>
    <x v="2"/>
    <n v="43.01"/>
  </r>
  <r>
    <s v="ORD-100585"/>
    <s v="2024-07-02"/>
    <x v="94"/>
    <x v="91"/>
    <s v="emma.davis21@hotmail.com"/>
    <x v="0"/>
    <x v="8"/>
    <x v="3"/>
    <x v="9"/>
    <n v="2"/>
    <n v="90.58"/>
    <n v="0.05"/>
    <n v="4.57"/>
    <x v="3"/>
    <s v="PayPal"/>
    <x v="2"/>
    <n v="172.10199999999998"/>
  </r>
  <r>
    <s v="ORD-100034"/>
    <s v="August 05, 2025"/>
    <x v="95"/>
    <x v="20"/>
    <s v="ethan.jackson40@hotmail.com"/>
    <x v="1"/>
    <x v="10"/>
    <x v="0"/>
    <x v="16"/>
    <n v="2"/>
    <n v="22.74"/>
    <n v="0"/>
    <n v="11.1"/>
    <x v="1"/>
    <s v="COD"/>
    <x v="2"/>
    <n v="45.48"/>
  </r>
  <r>
    <s v="ORD-100179"/>
    <s v="11/05/2025"/>
    <x v="96"/>
    <x v="78"/>
    <s v="lily.nair98@company.co"/>
    <x v="4"/>
    <x v="11"/>
    <x v="3"/>
    <x v="21"/>
    <n v="3"/>
    <n v="133.08000000000001"/>
    <n v="0"/>
    <n v="12.45"/>
    <x v="0"/>
    <s v="Bank Transfer"/>
    <x v="2"/>
    <n v="399.24"/>
  </r>
  <r>
    <s v="ORD-101301"/>
    <s v="December 01, 2024"/>
    <x v="97"/>
    <x v="92"/>
    <s v="ava.johnson11@yahoo.com"/>
    <x v="3"/>
    <x v="3"/>
    <x v="1"/>
    <x v="20"/>
    <n v="3"/>
    <n v="19.11"/>
    <n v="0"/>
    <n v="2.33"/>
    <x v="0"/>
    <s v="Credit Card"/>
    <x v="2"/>
    <n v="57.33"/>
  </r>
  <r>
    <s v="ORD-100098"/>
    <s v="09-03-2025"/>
    <x v="98"/>
    <x v="93"/>
    <s v="Not Known"/>
    <x v="2"/>
    <x v="2"/>
    <x v="4"/>
    <x v="12"/>
    <n v="2"/>
    <n v="13.07"/>
    <n v="0"/>
    <n v="0"/>
    <x v="6"/>
    <s v="Credit Card"/>
    <x v="2"/>
    <n v="26.14"/>
  </r>
  <r>
    <s v="ORD-101146"/>
    <s v="30-05-2024"/>
    <x v="99"/>
    <x v="94"/>
    <s v="sophia.clark69@gmail.com"/>
    <x v="4"/>
    <x v="11"/>
    <x v="2"/>
    <x v="10"/>
    <n v="10"/>
    <n v="3.07"/>
    <n v="0.1"/>
    <n v="9.58"/>
    <x v="5"/>
    <s v="Debit Card"/>
    <x v="2"/>
    <n v="27.63"/>
  </r>
  <r>
    <s v="ORD-100414"/>
    <s v="08/29/2025"/>
    <x v="72"/>
    <x v="95"/>
    <s v="grace.wilson44@gmail.com"/>
    <x v="3"/>
    <x v="3"/>
    <x v="3"/>
    <x v="5"/>
    <n v="4"/>
    <n v="114.51"/>
    <n v="0"/>
    <n v="8.59"/>
    <x v="2"/>
    <s v="Not Known"/>
    <x v="0"/>
    <n v="458.04"/>
  </r>
  <r>
    <s v="ORD-101039"/>
    <s v="02/10/2024"/>
    <x v="100"/>
    <x v="96"/>
    <s v="aarav.nair57@yahoo.com"/>
    <x v="4"/>
    <x v="11"/>
    <x v="1"/>
    <x v="7"/>
    <n v="1"/>
    <n v="42.29"/>
    <n v="0"/>
    <n v="3.93"/>
    <x v="4"/>
    <s v="Not Known"/>
    <x v="2"/>
    <n v="42.29"/>
  </r>
  <r>
    <s v="ORD-100650"/>
    <s v="30-11-2025"/>
    <x v="101"/>
    <x v="69"/>
    <s v="Not Known"/>
    <x v="4"/>
    <x v="11"/>
    <x v="0"/>
    <x v="22"/>
    <n v="2"/>
    <n v="80.8"/>
    <n v="0.05"/>
    <n v="0.97"/>
    <x v="5"/>
    <s v="Debit Card"/>
    <x v="0"/>
    <n v="153.51999999999998"/>
  </r>
  <r>
    <s v="ORD-100977"/>
    <s v="April 20, 2024"/>
    <x v="102"/>
    <x v="97"/>
    <s v="noah.davis13@yahoo.com"/>
    <x v="0"/>
    <x v="9"/>
    <x v="2"/>
    <x v="14"/>
    <n v="5"/>
    <n v="4.1100000000000003"/>
    <n v="0.1"/>
    <n v="0.53"/>
    <x v="0"/>
    <s v="Debit Card"/>
    <x v="2"/>
    <n v="18.495000000000001"/>
  </r>
  <r>
    <s v="ORD-100611"/>
    <s v="2025-01-26"/>
    <x v="103"/>
    <x v="98"/>
    <s v="ella.nair86@hotmail.com"/>
    <x v="4"/>
    <x v="11"/>
    <x v="2"/>
    <x v="2"/>
    <n v="1"/>
    <n v="13.91"/>
    <n v="0.05"/>
    <n v="12.57"/>
    <x v="5"/>
    <s v="Bank Transfer"/>
    <x v="2"/>
    <n v="13.214499999999999"/>
  </r>
  <r>
    <s v="ORD-100207"/>
    <s v="06/28/24"/>
    <x v="104"/>
    <x v="80"/>
    <s v="Not Known"/>
    <x v="2"/>
    <x v="2"/>
    <x v="1"/>
    <x v="20"/>
    <n v="1"/>
    <n v="18.54"/>
    <n v="0"/>
    <n v="3.03"/>
    <x v="0"/>
    <s v="Credit Card"/>
    <x v="2"/>
    <n v="18.54"/>
  </r>
  <r>
    <s v="ORD-100877"/>
    <s v="05/06/2025"/>
    <x v="90"/>
    <x v="99"/>
    <s v="liam.harris75@yahoo.com"/>
    <x v="1"/>
    <x v="6"/>
    <x v="2"/>
    <x v="3"/>
    <n v="1"/>
    <n v="7.83"/>
    <n v="0.05"/>
    <n v="4.9800000000000004"/>
    <x v="0"/>
    <s v="Not Known"/>
    <x v="2"/>
    <n v="7.4384999999999994"/>
  </r>
  <r>
    <s v="ORD-101132"/>
    <s v="11 May 2024"/>
    <x v="105"/>
    <x v="4"/>
    <s v="ethan.johnson97@company.co"/>
    <x v="0"/>
    <x v="9"/>
    <x v="3"/>
    <x v="5"/>
    <n v="2"/>
    <n v="114.49"/>
    <n v="0"/>
    <n v="0"/>
    <x v="4"/>
    <s v="COD"/>
    <x v="1"/>
    <n v="228.98"/>
  </r>
  <r>
    <s v="ORD-100330"/>
    <s v="24-02-2025"/>
    <x v="106"/>
    <x v="91"/>
    <s v="emma.davis88@yahoo.com"/>
    <x v="2"/>
    <x v="1"/>
    <x v="4"/>
    <x v="18"/>
    <n v="1"/>
    <n v="30.37"/>
    <n v="0"/>
    <n v="11.03"/>
    <x v="0"/>
    <s v="Credit Card"/>
    <x v="0"/>
    <n v="30.37"/>
  </r>
  <r>
    <s v="ORD-100367"/>
    <s v="03/18/2025"/>
    <x v="56"/>
    <x v="100"/>
    <s v="mia.williams36@yahoo.com"/>
    <x v="2"/>
    <x v="1"/>
    <x v="0"/>
    <x v="22"/>
    <n v="10"/>
    <n v="76.349999999999994"/>
    <n v="0"/>
    <n v="12.03"/>
    <x v="4"/>
    <s v="COD"/>
    <x v="3"/>
    <n v="763.5"/>
  </r>
  <r>
    <s v="ORD-100754"/>
    <s v="12/04/25"/>
    <x v="107"/>
    <x v="84"/>
    <s v="Not Known"/>
    <x v="1"/>
    <x v="1"/>
    <x v="0"/>
    <x v="0"/>
    <n v="3"/>
    <n v="41.31"/>
    <n v="0"/>
    <n v="4.37"/>
    <x v="1"/>
    <s v="Credit Card"/>
    <x v="2"/>
    <n v="123.93"/>
  </r>
  <r>
    <s v="ORD-100720"/>
    <s v="09-04-2024"/>
    <x v="108"/>
    <x v="53"/>
    <s v="mia.iyer47@yahoo.com"/>
    <x v="1"/>
    <x v="1"/>
    <x v="4"/>
    <x v="12"/>
    <n v="2"/>
    <n v="12.47"/>
    <n v="0"/>
    <n v="10.37"/>
    <x v="5"/>
    <s v="Credit Card"/>
    <x v="2"/>
    <n v="24.94"/>
  </r>
  <r>
    <s v="ORD-100204"/>
    <s v="2025-06-16"/>
    <x v="109"/>
    <x v="101"/>
    <s v="lily.harris16@gmail.com"/>
    <x v="2"/>
    <x v="1"/>
    <x v="4"/>
    <x v="18"/>
    <n v="1"/>
    <n v="29.25"/>
    <n v="0.1"/>
    <n v="10.32"/>
    <x v="4"/>
    <s v="Debit Card"/>
    <x v="0"/>
    <n v="26.324999999999999"/>
  </r>
  <r>
    <s v="ORD-100058"/>
    <s v="10 Mar 2025"/>
    <x v="110"/>
    <x v="66"/>
    <s v="olivia.gupta85@gmail.com"/>
    <x v="4"/>
    <x v="11"/>
    <x v="4"/>
    <x v="8"/>
    <n v="3"/>
    <n v="14.49"/>
    <n v="0"/>
    <n v="4.0999999999999996"/>
    <x v="5"/>
    <s v="PayPal"/>
    <x v="1"/>
    <n v="43.47"/>
  </r>
  <r>
    <s v="ORD-101391"/>
    <s v="August 24, 2024"/>
    <x v="111"/>
    <x v="102"/>
    <s v="emma.moore1@outlook.com"/>
    <x v="2"/>
    <x v="2"/>
    <x v="2"/>
    <x v="2"/>
    <n v="5"/>
    <n v="14.05"/>
    <n v="0"/>
    <n v="9.92"/>
    <x v="3"/>
    <s v="COD"/>
    <x v="2"/>
    <n v="70.25"/>
  </r>
  <r>
    <s v="ORD-100754"/>
    <s v="12/04/25"/>
    <x v="107"/>
    <x v="84"/>
    <s v="Not Known"/>
    <x v="1"/>
    <x v="1"/>
    <x v="0"/>
    <x v="0"/>
    <n v="3"/>
    <n v="41.31"/>
    <n v="0"/>
    <n v="4.37"/>
    <x v="1"/>
    <s v="Credit Card"/>
    <x v="2"/>
    <n v="123.93"/>
  </r>
  <r>
    <s v="ORD-100719"/>
    <s v="February 02, 2025"/>
    <x v="112"/>
    <x v="103"/>
    <s v="chloe.clark31@outlook.com"/>
    <x v="3"/>
    <x v="7"/>
    <x v="1"/>
    <x v="19"/>
    <n v="2"/>
    <n v="25.92"/>
    <n v="0"/>
    <n v="8.18"/>
    <x v="1"/>
    <s v="Credit Card"/>
    <x v="1"/>
    <n v="51.84"/>
  </r>
  <r>
    <s v="ORD-100024"/>
    <s v="07/05/25"/>
    <x v="113"/>
    <x v="63"/>
    <s v="chloe.sharma54@company.co"/>
    <x v="2"/>
    <x v="1"/>
    <x v="4"/>
    <x v="6"/>
    <n v="1"/>
    <n v="62.42"/>
    <n v="0.1"/>
    <n v="9.0500000000000007"/>
    <x v="1"/>
    <s v="Debit Card"/>
    <x v="2"/>
    <n v="56.178000000000004"/>
  </r>
  <r>
    <s v="ORD-100110"/>
    <s v="November 24, 2025"/>
    <x v="114"/>
    <x v="104"/>
    <s v="ethan.williams50@hotmail.com"/>
    <x v="1"/>
    <x v="1"/>
    <x v="2"/>
    <x v="10"/>
    <n v="1"/>
    <n v="2.95"/>
    <n v="0"/>
    <n v="11.1"/>
    <x v="5"/>
    <s v="Bank Transfer"/>
    <x v="0"/>
    <n v="2.95"/>
  </r>
  <r>
    <s v="ORD-100015"/>
    <s v="August 19, 2025"/>
    <x v="115"/>
    <x v="65"/>
    <s v="ella.thomas48@yahoo.com"/>
    <x v="0"/>
    <x v="8"/>
    <x v="3"/>
    <x v="11"/>
    <n v="1"/>
    <n v="252.41"/>
    <n v="0.05"/>
    <n v="0.63"/>
    <x v="4"/>
    <s v="Not Known"/>
    <x v="2"/>
    <n v="239.78949999999998"/>
  </r>
  <r>
    <s v="ORD-101152"/>
    <s v="16-03-2024"/>
    <x v="116"/>
    <x v="105"/>
    <s v="liam.johnson5@company.co"/>
    <x v="2"/>
    <x v="10"/>
    <x v="5"/>
    <x v="17"/>
    <n v="10"/>
    <n v="44.02"/>
    <n v="0.1"/>
    <n v="0"/>
    <x v="7"/>
    <s v="Credit Card"/>
    <x v="3"/>
    <n v="396.18000000000006"/>
  </r>
  <r>
    <s v="ORD-101303"/>
    <s v="16-04-2024"/>
    <x v="117"/>
    <x v="58"/>
    <s v="sophia.anderson63@company.co"/>
    <x v="4"/>
    <x v="11"/>
    <x v="0"/>
    <x v="17"/>
    <n v="2"/>
    <n v="43.07"/>
    <n v="0.05"/>
    <n v="6.25"/>
    <x v="6"/>
    <s v="PayPal"/>
    <x v="2"/>
    <n v="81.832999999999998"/>
  </r>
  <r>
    <s v="ORD-101385"/>
    <s v="08/15/24"/>
    <x v="118"/>
    <x v="106"/>
    <s v="rohan.jackson98@gmail.com"/>
    <x v="3"/>
    <x v="7"/>
    <x v="1"/>
    <x v="1"/>
    <n v="1"/>
    <n v="34.1"/>
    <n v="0"/>
    <n v="13.61"/>
    <x v="1"/>
    <s v="Not Known"/>
    <x v="2"/>
    <n v="34.1"/>
  </r>
  <r>
    <s v="ORD-100683"/>
    <s v="10 Nov 2025"/>
    <x v="119"/>
    <x v="107"/>
    <s v="mia.gupta25@company.co"/>
    <x v="1"/>
    <x v="1"/>
    <x v="1"/>
    <x v="19"/>
    <n v="10"/>
    <n v="25.41"/>
    <n v="0"/>
    <n v="1.49"/>
    <x v="7"/>
    <s v="Bank Transfer"/>
    <x v="2"/>
    <n v="254.1"/>
  </r>
  <r>
    <s v="ORD-101237"/>
    <s v="11/11/2025"/>
    <x v="120"/>
    <x v="108"/>
    <s v="ella.kapoor71@gmail.com"/>
    <x v="2"/>
    <x v="2"/>
    <x v="1"/>
    <x v="19"/>
    <n v="2"/>
    <n v="25.53"/>
    <n v="0.1"/>
    <n v="0.73"/>
    <x v="4"/>
    <s v="Credit Card"/>
    <x v="2"/>
    <n v="45.954000000000001"/>
  </r>
  <r>
    <s v="ORD-100141"/>
    <s v="30-11-2024"/>
    <x v="121"/>
    <x v="109"/>
    <s v="sophia.moore95@company.co"/>
    <x v="3"/>
    <x v="4"/>
    <x v="4"/>
    <x v="12"/>
    <n v="4"/>
    <n v="13.11"/>
    <n v="0"/>
    <n v="1.1200000000000001"/>
    <x v="1"/>
    <s v="Credit Card"/>
    <x v="2"/>
    <n v="52.44"/>
  </r>
  <r>
    <s v="ORD-100351"/>
    <s v="06/06/24"/>
    <x v="122"/>
    <x v="110"/>
    <s v="zara.davis13@hotmail.com"/>
    <x v="1"/>
    <x v="1"/>
    <x v="0"/>
    <x v="17"/>
    <n v="1"/>
    <n v="45.03"/>
    <n v="0.05"/>
    <n v="2.0699999999999998"/>
    <x v="1"/>
    <s v="Debit Card"/>
    <x v="1"/>
    <n v="42.778500000000001"/>
  </r>
  <r>
    <s v="ORD-100713"/>
    <s v="06/01/24"/>
    <x v="123"/>
    <x v="105"/>
    <s v="liam.johnson17@gmail.com"/>
    <x v="2"/>
    <x v="2"/>
    <x v="3"/>
    <x v="11"/>
    <n v="1"/>
    <n v="242.54"/>
    <n v="0"/>
    <n v="4.99"/>
    <x v="4"/>
    <s v="Bank Transfer"/>
    <x v="2"/>
    <n v="242.54"/>
  </r>
  <r>
    <s v="ORD-100099"/>
    <s v="07/06/2025"/>
    <x v="41"/>
    <x v="20"/>
    <s v="ethan.jackson85@company.co"/>
    <x v="1"/>
    <x v="6"/>
    <x v="2"/>
    <x v="14"/>
    <n v="4"/>
    <n v="4.3600000000000003"/>
    <n v="0.15"/>
    <n v="1.78"/>
    <x v="7"/>
    <s v="Bank Transfer"/>
    <x v="2"/>
    <n v="14.824"/>
  </r>
  <r>
    <s v="ORD-100684"/>
    <s v="18-08-2024"/>
    <x v="124"/>
    <x v="64"/>
    <s v="liam.clark47@company.co"/>
    <x v="1"/>
    <x v="1"/>
    <x v="0"/>
    <x v="0"/>
    <n v="5"/>
    <n v="41.43"/>
    <n v="0"/>
    <n v="0"/>
    <x v="7"/>
    <s v="Credit Card"/>
    <x v="0"/>
    <n v="207.15"/>
  </r>
  <r>
    <s v="ORD-100046"/>
    <s v="23-05-2025"/>
    <x v="125"/>
    <x v="93"/>
    <s v="ethan.iyer96@gmail.com"/>
    <x v="2"/>
    <x v="1"/>
    <x v="4"/>
    <x v="8"/>
    <n v="2"/>
    <n v="15.11"/>
    <n v="0"/>
    <n v="9.11"/>
    <x v="4"/>
    <s v="Credit Card"/>
    <x v="2"/>
    <n v="30.22"/>
  </r>
  <r>
    <s v="ORD-100830"/>
    <s v="March 08, 2025"/>
    <x v="126"/>
    <x v="44"/>
    <s v="daniel.nair70@company.co"/>
    <x v="4"/>
    <x v="11"/>
    <x v="1"/>
    <x v="13"/>
    <n v="1"/>
    <n v="185.64"/>
    <n v="0.05"/>
    <n v="12.07"/>
    <x v="1"/>
    <s v="COD"/>
    <x v="1"/>
    <n v="176.35799999999998"/>
  </r>
  <r>
    <s v="ORD-100259"/>
    <s v="2024-05-26"/>
    <x v="127"/>
    <x v="111"/>
    <s v="ishaan.taylor42@hotmail.com"/>
    <x v="0"/>
    <x v="8"/>
    <x v="1"/>
    <x v="13"/>
    <n v="10"/>
    <n v="190.1"/>
    <n v="0"/>
    <n v="7.74"/>
    <x v="2"/>
    <s v="Credit Card"/>
    <x v="2"/>
    <n v="1901"/>
  </r>
  <r>
    <s v="ORD-100344"/>
    <s v="11/04/25"/>
    <x v="128"/>
    <x v="112"/>
    <s v="aarav.sharma52@company.co"/>
    <x v="4"/>
    <x v="1"/>
    <x v="0"/>
    <x v="22"/>
    <n v="4"/>
    <n v="82.96"/>
    <n v="0"/>
    <n v="4.54"/>
    <x v="4"/>
    <s v="COD"/>
    <x v="1"/>
    <n v="331.84"/>
  </r>
  <r>
    <s v="ORD-101122"/>
    <s v="10/29/25"/>
    <x v="129"/>
    <x v="113"/>
    <s v="ishaan.brown7@outlook.com"/>
    <x v="3"/>
    <x v="4"/>
    <x v="3"/>
    <x v="9"/>
    <n v="10"/>
    <n v="84.95"/>
    <n v="0"/>
    <m/>
    <x v="4"/>
    <s v="Not Known"/>
    <x v="2"/>
    <n v="849.5"/>
  </r>
  <r>
    <s v="ORD-100901"/>
    <s v="2024-11-08"/>
    <x v="130"/>
    <x v="86"/>
    <s v="emma.wilson72@outlook.com"/>
    <x v="4"/>
    <x v="5"/>
    <x v="1"/>
    <x v="19"/>
    <n v="5"/>
    <n v="23.89"/>
    <n v="0.1"/>
    <n v="2.23"/>
    <x v="5"/>
    <s v="Credit Card"/>
    <x v="1"/>
    <n v="107.50500000000001"/>
  </r>
  <r>
    <s v="ORD-100829"/>
    <s v="February 12, 2024"/>
    <x v="131"/>
    <x v="114"/>
    <s v="advait.gupta81@hotmail.com"/>
    <x v="0"/>
    <x v="0"/>
    <x v="4"/>
    <x v="6"/>
    <n v="5"/>
    <n v="62.06"/>
    <n v="0"/>
    <n v="10.94"/>
    <x v="7"/>
    <s v="Debit Card"/>
    <x v="2"/>
    <n v="310.3"/>
  </r>
  <r>
    <s v="ORD-101375"/>
    <s v="2025-07-09"/>
    <x v="132"/>
    <x v="115"/>
    <s v="aarav.taylor91@company.co"/>
    <x v="1"/>
    <x v="1"/>
    <x v="3"/>
    <x v="21"/>
    <n v="1"/>
    <n v="134.46"/>
    <n v="0"/>
    <m/>
    <x v="3"/>
    <s v="Bank Transfer"/>
    <x v="2"/>
    <n v="134.46"/>
  </r>
  <r>
    <s v="ORD-100668"/>
    <s v="03/03/25"/>
    <x v="133"/>
    <x v="116"/>
    <s v="Not Known"/>
    <x v="0"/>
    <x v="9"/>
    <x v="4"/>
    <x v="6"/>
    <n v="1"/>
    <n v="61.36"/>
    <n v="0"/>
    <n v="0.52"/>
    <x v="5"/>
    <s v="PayPal"/>
    <x v="2"/>
    <n v="61.36"/>
  </r>
  <r>
    <s v="ORD-100571"/>
    <s v="2025-03-01"/>
    <x v="134"/>
    <x v="117"/>
    <s v="rohan.sharma56@hotmail.com"/>
    <x v="3"/>
    <x v="3"/>
    <x v="2"/>
    <x v="2"/>
    <n v="3"/>
    <n v="13.82"/>
    <n v="0.05"/>
    <n v="8.35"/>
    <x v="3"/>
    <s v="Credit Card"/>
    <x v="1"/>
    <n v="39.387"/>
  </r>
  <r>
    <s v="ORD-100113"/>
    <s v="September 05, 2024"/>
    <x v="135"/>
    <x v="43"/>
    <s v="ethan.sharma72@gmail.com"/>
    <x v="3"/>
    <x v="3"/>
    <x v="1"/>
    <x v="20"/>
    <n v="1"/>
    <n v="18.71"/>
    <n v="0.15"/>
    <n v="5.71"/>
    <x v="2"/>
    <s v="PayPal"/>
    <x v="3"/>
    <n v="15.903500000000001"/>
  </r>
  <r>
    <s v="ORD-100051"/>
    <s v="08/01/2025"/>
    <x v="136"/>
    <x v="118"/>
    <s v="ishaan.nair17@outlook.com"/>
    <x v="1"/>
    <x v="6"/>
    <x v="1"/>
    <x v="13"/>
    <n v="5"/>
    <n v="185.73"/>
    <n v="0"/>
    <n v="8.31"/>
    <x v="1"/>
    <s v="Not Known"/>
    <x v="2"/>
    <n v="928.65"/>
  </r>
  <r>
    <s v="ORD-100392"/>
    <s v="2025-07-20"/>
    <x v="25"/>
    <x v="100"/>
    <s v="mia.williams53@yahoo.com"/>
    <x v="3"/>
    <x v="7"/>
    <x v="1"/>
    <x v="15"/>
    <n v="2"/>
    <n v="9.8699999999999992"/>
    <n v="0"/>
    <n v="0"/>
    <x v="5"/>
    <s v="Bank Transfer"/>
    <x v="0"/>
    <n v="19.739999999999998"/>
  </r>
  <r>
    <s v="ORD-100164"/>
    <s v="02/17/25"/>
    <x v="137"/>
    <x v="119"/>
    <s v="kabir.moore77@yahoo.com"/>
    <x v="0"/>
    <x v="9"/>
    <x v="1"/>
    <x v="7"/>
    <n v="3"/>
    <n v="44.05"/>
    <n v="0.1"/>
    <n v="10.82"/>
    <x v="3"/>
    <s v="PayPal"/>
    <x v="3"/>
    <n v="118.93499999999999"/>
  </r>
  <r>
    <s v="ORD-100586"/>
    <s v="11/27/2024"/>
    <x v="138"/>
    <x v="72"/>
    <s v="chloe.brown20@yahoo.com"/>
    <x v="4"/>
    <x v="10"/>
    <x v="2"/>
    <x v="14"/>
    <n v="3"/>
    <n v="4.17"/>
    <n v="0"/>
    <n v="11.79"/>
    <x v="2"/>
    <s v="Bank Transfer"/>
    <x v="2"/>
    <n v="12.51"/>
  </r>
  <r>
    <s v="ORD-100700"/>
    <s v="March 16, 2024"/>
    <x v="116"/>
    <x v="120"/>
    <s v="advait.thomas27@yahoo.com"/>
    <x v="2"/>
    <x v="2"/>
    <x v="0"/>
    <x v="22"/>
    <n v="4"/>
    <n v="82.28"/>
    <n v="0.1"/>
    <n v="1.73"/>
    <x v="7"/>
    <s v="Debit Card"/>
    <x v="1"/>
    <n v="296.20800000000003"/>
  </r>
  <r>
    <s v="ORD-100506"/>
    <s v="14 Jun 2024"/>
    <x v="139"/>
    <x v="121"/>
    <s v="ishaan.miller95@outlook.com"/>
    <x v="3"/>
    <x v="3"/>
    <x v="3"/>
    <x v="21"/>
    <n v="1"/>
    <n v="131.56"/>
    <n v="0"/>
    <n v="11.85"/>
    <x v="5"/>
    <s v="Bank Transfer"/>
    <x v="2"/>
    <n v="131.56"/>
  </r>
  <r>
    <s v="ORD-101188"/>
    <s v="2024-01-28"/>
    <x v="140"/>
    <x v="120"/>
    <s v="advait.thomas20@yahoo.com"/>
    <x v="2"/>
    <x v="2"/>
    <x v="4"/>
    <x v="12"/>
    <n v="2"/>
    <n v="12.85"/>
    <n v="0"/>
    <n v="4.38"/>
    <x v="0"/>
    <s v="Credit Card"/>
    <x v="1"/>
    <n v="25.7"/>
  </r>
  <r>
    <s v="ORD-100172"/>
    <s v="06/19/2025"/>
    <x v="141"/>
    <x v="122"/>
    <s v="mia.brown34@hotmail.com"/>
    <x v="3"/>
    <x v="4"/>
    <x v="0"/>
    <x v="0"/>
    <n v="10"/>
    <n v="39.67"/>
    <n v="0"/>
    <n v="4.43"/>
    <x v="6"/>
    <s v="Bank Transfer"/>
    <x v="2"/>
    <n v="396.70000000000005"/>
  </r>
  <r>
    <s v="ORD-100308"/>
    <s v="04/29/2024"/>
    <x v="142"/>
    <x v="123"/>
    <s v="ella.harris10@company.co"/>
    <x v="4"/>
    <x v="1"/>
    <x v="2"/>
    <x v="2"/>
    <n v="10"/>
    <n v="13.61"/>
    <n v="0"/>
    <n v="4.67"/>
    <x v="4"/>
    <s v="Credit Card"/>
    <x v="2"/>
    <n v="136.1"/>
  </r>
  <r>
    <s v="ORD-100756"/>
    <s v="2025-02-02"/>
    <x v="112"/>
    <x v="124"/>
    <s v="liam.williams42@hotmail.com"/>
    <x v="2"/>
    <x v="1"/>
    <x v="4"/>
    <x v="8"/>
    <n v="4"/>
    <n v="15.75"/>
    <n v="0"/>
    <n v="12.88"/>
    <x v="6"/>
    <s v="Credit Card"/>
    <x v="2"/>
    <n v="63"/>
  </r>
  <r>
    <s v="ORD-100930"/>
    <s v="07 Sep 2024"/>
    <x v="143"/>
    <x v="88"/>
    <s v="noah.clark56@hotmail.com"/>
    <x v="4"/>
    <x v="11"/>
    <x v="1"/>
    <x v="20"/>
    <n v="2"/>
    <n v="18.649999999999999"/>
    <n v="0"/>
    <n v="2.31"/>
    <x v="7"/>
    <s v="Credit Card"/>
    <x v="3"/>
    <n v="37.299999999999997"/>
  </r>
  <r>
    <s v="ORD-100531"/>
    <s v="06/09/25"/>
    <x v="144"/>
    <x v="125"/>
    <s v="sophia.williams95@outlook.com"/>
    <x v="2"/>
    <x v="1"/>
    <x v="2"/>
    <x v="10"/>
    <n v="3"/>
    <n v="3.17"/>
    <n v="0"/>
    <n v="0"/>
    <x v="4"/>
    <s v="Credit Card"/>
    <x v="1"/>
    <n v="9.51"/>
  </r>
  <r>
    <s v="ORD-101013"/>
    <s v="07 Jun 2024"/>
    <x v="145"/>
    <x v="21"/>
    <s v="arjun.anderson34@gmail.com"/>
    <x v="4"/>
    <x v="1"/>
    <x v="4"/>
    <x v="6"/>
    <n v="1"/>
    <n v="58.97"/>
    <n v="0.05"/>
    <n v="0.68"/>
    <x v="3"/>
    <s v="Credit Card"/>
    <x v="2"/>
    <n v="56.021499999999996"/>
  </r>
  <r>
    <s v="ORD-101020"/>
    <s v="30 May 2024"/>
    <x v="99"/>
    <x v="30"/>
    <s v="ishaan.davis83@yahoo.com"/>
    <x v="0"/>
    <x v="8"/>
    <x v="4"/>
    <x v="18"/>
    <n v="1"/>
    <n v="31.07"/>
    <n v="0.05"/>
    <n v="1.1299999999999999"/>
    <x v="3"/>
    <s v="Not Known"/>
    <x v="0"/>
    <n v="29.516500000000001"/>
  </r>
  <r>
    <s v="ORD-100702"/>
    <s v="24 Dec 2024"/>
    <x v="146"/>
    <x v="126"/>
    <s v="olivia.wilson7@gmail.com"/>
    <x v="2"/>
    <x v="2"/>
    <x v="4"/>
    <x v="8"/>
    <n v="1"/>
    <n v="15.57"/>
    <n v="0.1"/>
    <n v="13.08"/>
    <x v="5"/>
    <s v="Bank Transfer"/>
    <x v="3"/>
    <n v="14.013"/>
  </r>
  <r>
    <s v="ORD-101190"/>
    <s v="2025-01-13"/>
    <x v="147"/>
    <x v="127"/>
    <s v="arjun.johnson80@yahoo.com"/>
    <x v="3"/>
    <x v="7"/>
    <x v="0"/>
    <x v="0"/>
    <n v="4"/>
    <n v="38.090000000000003"/>
    <n v="0.1"/>
    <n v="5.61"/>
    <x v="6"/>
    <s v="Credit Card"/>
    <x v="2"/>
    <n v="137.12400000000002"/>
  </r>
  <r>
    <s v="ORD-100262"/>
    <s v="12/06/2024"/>
    <x v="148"/>
    <x v="23"/>
    <s v="ethan.davis40@company.co"/>
    <x v="1"/>
    <x v="1"/>
    <x v="4"/>
    <x v="12"/>
    <n v="1"/>
    <n v="12.48"/>
    <n v="0.1"/>
    <n v="12.14"/>
    <x v="5"/>
    <s v="Not Known"/>
    <x v="2"/>
    <n v="11.232000000000001"/>
  </r>
  <r>
    <s v="ORD-100687"/>
    <s v="14-07-2024"/>
    <x v="149"/>
    <x v="128"/>
    <s v="lily.kapoor73@outlook.com"/>
    <x v="1"/>
    <x v="6"/>
    <x v="0"/>
    <x v="17"/>
    <n v="2"/>
    <n v="43.88"/>
    <n v="0.1"/>
    <n v="5.0199999999999996"/>
    <x v="7"/>
    <s v="PayPal"/>
    <x v="3"/>
    <n v="78.984000000000009"/>
  </r>
  <r>
    <s v="ORD-100020"/>
    <s v="08/28/24"/>
    <x v="150"/>
    <x v="129"/>
    <s v="chloe.davis97@hotmail.com"/>
    <x v="4"/>
    <x v="5"/>
    <x v="0"/>
    <x v="22"/>
    <n v="2"/>
    <n v="79.709999999999994"/>
    <n v="0"/>
    <n v="2.99"/>
    <x v="6"/>
    <s v="Credit Card"/>
    <x v="2"/>
    <n v="159.41999999999999"/>
  </r>
  <r>
    <s v="ORD-100510"/>
    <s v="05/05/2025"/>
    <x v="151"/>
    <x v="130"/>
    <s v="zara.williams71@hotmail.com"/>
    <x v="0"/>
    <x v="8"/>
    <x v="4"/>
    <x v="12"/>
    <n v="1"/>
    <n v="13.39"/>
    <n v="0"/>
    <n v="1.56"/>
    <x v="3"/>
    <s v="Bank Transfer"/>
    <x v="2"/>
    <n v="13.39"/>
  </r>
  <r>
    <s v="ORD-101149"/>
    <s v="August 22, 2025"/>
    <x v="152"/>
    <x v="22"/>
    <s v="ethan.miller96@gmail.com"/>
    <x v="0"/>
    <x v="0"/>
    <x v="0"/>
    <x v="0"/>
    <n v="2"/>
    <n v="39.54"/>
    <n v="0.15"/>
    <n v="0.17"/>
    <x v="7"/>
    <s v="Not Known"/>
    <x v="3"/>
    <n v="67.218000000000004"/>
  </r>
  <r>
    <s v="ORD-100881"/>
    <s v="03/01/25"/>
    <x v="134"/>
    <x v="131"/>
    <s v="sophia.gupta12@yahoo.com"/>
    <x v="2"/>
    <x v="2"/>
    <x v="3"/>
    <x v="5"/>
    <n v="1"/>
    <n v="114.43"/>
    <n v="0"/>
    <n v="11.13"/>
    <x v="3"/>
    <s v="PayPal"/>
    <x v="1"/>
    <n v="114.43"/>
  </r>
  <r>
    <s v="ORD-100740"/>
    <s v="08/02/2024"/>
    <x v="54"/>
    <x v="132"/>
    <s v="kabir.miller26@gmail.com"/>
    <x v="0"/>
    <x v="0"/>
    <x v="2"/>
    <x v="4"/>
    <n v="1"/>
    <n v="6.66"/>
    <n v="0"/>
    <n v="0.92"/>
    <x v="3"/>
    <s v="Credit Card"/>
    <x v="2"/>
    <n v="6.66"/>
  </r>
  <r>
    <s v="ORD-100802"/>
    <s v="10-08-2025"/>
    <x v="153"/>
    <x v="133"/>
    <s v="ishaan.sharma74@company.co"/>
    <x v="0"/>
    <x v="9"/>
    <x v="2"/>
    <x v="14"/>
    <n v="1"/>
    <n v="4.3099999999999996"/>
    <n v="0"/>
    <n v="5.2"/>
    <x v="2"/>
    <s v="Credit Card"/>
    <x v="2"/>
    <n v="4.3099999999999996"/>
  </r>
  <r>
    <s v="ORD-101113"/>
    <s v="October 26, 2024"/>
    <x v="154"/>
    <x v="134"/>
    <s v="ella.reddy62@yahoo.com"/>
    <x v="4"/>
    <x v="5"/>
    <x v="2"/>
    <x v="14"/>
    <n v="1"/>
    <n v="4.45"/>
    <n v="0.15"/>
    <n v="0"/>
    <x v="3"/>
    <s v="Credit Card"/>
    <x v="2"/>
    <n v="3.7825000000000002"/>
  </r>
  <r>
    <s v="ORD-100985"/>
    <s v="08/03/2025"/>
    <x v="155"/>
    <x v="39"/>
    <s v="ella.williams80@gmail.com"/>
    <x v="3"/>
    <x v="7"/>
    <x v="4"/>
    <x v="8"/>
    <n v="2"/>
    <n v="14.29"/>
    <n v="0.05"/>
    <n v="0.65"/>
    <x v="7"/>
    <s v="Bank Transfer"/>
    <x v="2"/>
    <n v="27.150999999999996"/>
  </r>
  <r>
    <s v="ORD-100955"/>
    <s v="October 23, 2024"/>
    <x v="156"/>
    <x v="135"/>
    <s v="rohan.brown34@hotmail.com"/>
    <x v="4"/>
    <x v="1"/>
    <x v="3"/>
    <x v="5"/>
    <n v="2"/>
    <n v="114.11"/>
    <n v="0"/>
    <n v="0"/>
    <x v="1"/>
    <s v="Debit Card"/>
    <x v="2"/>
    <n v="228.22"/>
  </r>
  <r>
    <s v="ORD-101094"/>
    <s v="05/21/2024"/>
    <x v="157"/>
    <x v="136"/>
    <s v="grace.nair38@yahoo.com"/>
    <x v="1"/>
    <x v="1"/>
    <x v="2"/>
    <x v="4"/>
    <n v="1"/>
    <n v="6.55"/>
    <n v="0"/>
    <n v="1.06"/>
    <x v="2"/>
    <s v="Bank Transfer"/>
    <x v="2"/>
    <n v="6.55"/>
  </r>
  <r>
    <s v="ORD-100619"/>
    <s v="April 04, 2025"/>
    <x v="158"/>
    <x v="103"/>
    <s v="Not Known"/>
    <x v="0"/>
    <x v="8"/>
    <x v="4"/>
    <x v="8"/>
    <n v="5"/>
    <n v="15.11"/>
    <n v="0.05"/>
    <n v="0"/>
    <x v="4"/>
    <s v="Debit Card"/>
    <x v="2"/>
    <n v="71.772499999999994"/>
  </r>
  <r>
    <s v="ORD-101111"/>
    <s v="03/26/25"/>
    <x v="159"/>
    <x v="137"/>
    <s v="rohan.miller96@yahoo.com"/>
    <x v="4"/>
    <x v="11"/>
    <x v="0"/>
    <x v="0"/>
    <n v="1"/>
    <n v="39.32"/>
    <n v="0"/>
    <n v="7.99"/>
    <x v="3"/>
    <s v="PayPal"/>
    <x v="0"/>
    <n v="39.32"/>
  </r>
  <r>
    <s v="ORD-100648"/>
    <s v="22 Mar 2024"/>
    <x v="78"/>
    <x v="124"/>
    <s v="liam.williams92@yahoo.com"/>
    <x v="1"/>
    <x v="1"/>
    <x v="1"/>
    <x v="1"/>
    <n v="1"/>
    <n v="33.729999999999997"/>
    <n v="0"/>
    <n v="2.89"/>
    <x v="1"/>
    <s v="COD"/>
    <x v="2"/>
    <n v="33.729999999999997"/>
  </r>
  <r>
    <s v="ORD-100484"/>
    <s v="2025-05-21"/>
    <x v="82"/>
    <x v="138"/>
    <s v="ella.wilson10@yahoo.com"/>
    <x v="2"/>
    <x v="2"/>
    <x v="4"/>
    <x v="18"/>
    <n v="1"/>
    <n v="28.77"/>
    <n v="0.15"/>
    <n v="0"/>
    <x v="1"/>
    <s v="Debit Card"/>
    <x v="1"/>
    <n v="24.454499999999999"/>
  </r>
  <r>
    <s v="ORD-100962"/>
    <s v="08/10/24"/>
    <x v="2"/>
    <x v="129"/>
    <s v="chloe.davis24@hotmail.com"/>
    <x v="1"/>
    <x v="6"/>
    <x v="3"/>
    <x v="9"/>
    <n v="2"/>
    <n v="91.77"/>
    <n v="0.1"/>
    <n v="7.54"/>
    <x v="7"/>
    <s v="Not Known"/>
    <x v="2"/>
    <n v="165.18600000000001"/>
  </r>
  <r>
    <s v="ORD-100926"/>
    <s v="01/19/2025"/>
    <x v="160"/>
    <x v="139"/>
    <s v="rohan.davis15@outlook.com"/>
    <x v="4"/>
    <x v="1"/>
    <x v="4"/>
    <x v="6"/>
    <n v="2"/>
    <n v="61.48"/>
    <n v="0"/>
    <n v="10.28"/>
    <x v="0"/>
    <s v="Bank Transfer"/>
    <x v="1"/>
    <n v="122.96"/>
  </r>
  <r>
    <s v="ORD-100838"/>
    <s v="05-05-2025"/>
    <x v="151"/>
    <x v="140"/>
    <s v="noah.brown95@hotmail.com"/>
    <x v="0"/>
    <x v="8"/>
    <x v="4"/>
    <x v="8"/>
    <n v="4"/>
    <n v="15.53"/>
    <n v="0"/>
    <n v="10.45"/>
    <x v="7"/>
    <s v="Not Known"/>
    <x v="2"/>
    <n v="62.12"/>
  </r>
  <r>
    <s v="ORD-100809"/>
    <s v="23 Jan 2024"/>
    <x v="161"/>
    <x v="78"/>
    <s v="lily.nair76@gmail.com"/>
    <x v="1"/>
    <x v="1"/>
    <x v="4"/>
    <x v="18"/>
    <n v="1"/>
    <n v="30.16"/>
    <n v="0"/>
    <n v="12.9"/>
    <x v="5"/>
    <s v="PayPal"/>
    <x v="0"/>
    <n v="30.16"/>
  </r>
  <r>
    <s v="ORD-100128"/>
    <s v="17-10-2024"/>
    <x v="162"/>
    <x v="134"/>
    <s v="ella.reddy42@yahoo.com"/>
    <x v="0"/>
    <x v="8"/>
    <x v="1"/>
    <x v="1"/>
    <n v="3"/>
    <n v="36.64"/>
    <n v="0"/>
    <n v="8.49"/>
    <x v="3"/>
    <s v="Not Known"/>
    <x v="0"/>
    <n v="109.92"/>
  </r>
  <r>
    <s v="ORD-101105"/>
    <s v="17 Sep 2024"/>
    <x v="163"/>
    <x v="141"/>
    <s v="ethan.taylor23@company.co"/>
    <x v="0"/>
    <x v="0"/>
    <x v="4"/>
    <x v="6"/>
    <n v="5"/>
    <n v="62.7"/>
    <n v="0"/>
    <n v="0.1"/>
    <x v="7"/>
    <s v="Bank Transfer"/>
    <x v="2"/>
    <n v="313.5"/>
  </r>
  <r>
    <s v="ORD-101222"/>
    <s v="December 11, 2024"/>
    <x v="164"/>
    <x v="142"/>
    <s v="ishaan.iyer89@company.co"/>
    <x v="1"/>
    <x v="6"/>
    <x v="2"/>
    <x v="14"/>
    <n v="4"/>
    <n v="4.37"/>
    <n v="0"/>
    <n v="11.45"/>
    <x v="0"/>
    <s v="PayPal"/>
    <x v="2"/>
    <n v="17.48"/>
  </r>
  <r>
    <s v="ORD-101305"/>
    <s v="20 Nov 2025"/>
    <x v="165"/>
    <x v="143"/>
    <s v="zara.taylor3@yahoo.com"/>
    <x v="0"/>
    <x v="9"/>
    <x v="2"/>
    <x v="2"/>
    <n v="1"/>
    <n v="13.81"/>
    <n v="0"/>
    <n v="4.8"/>
    <x v="2"/>
    <s v="Credit Card"/>
    <x v="2"/>
    <n v="13.81"/>
  </r>
  <r>
    <s v="ORD-100389"/>
    <s v="30 Nov 2024"/>
    <x v="121"/>
    <x v="144"/>
    <s v="Not Known"/>
    <x v="1"/>
    <x v="1"/>
    <x v="1"/>
    <x v="13"/>
    <n v="2"/>
    <n v="185.88"/>
    <n v="0"/>
    <n v="1.66"/>
    <x v="7"/>
    <s v="Debit Card"/>
    <x v="2"/>
    <n v="371.76"/>
  </r>
  <r>
    <s v="ORD-100593"/>
    <s v="07/05/24"/>
    <x v="166"/>
    <x v="69"/>
    <s v="grace.iyer10@yahoo.com"/>
    <x v="3"/>
    <x v="4"/>
    <x v="1"/>
    <x v="19"/>
    <n v="2"/>
    <n v="26.06"/>
    <n v="0"/>
    <m/>
    <x v="7"/>
    <s v="Credit Card"/>
    <x v="1"/>
    <n v="52.12"/>
  </r>
  <r>
    <s v="ORD-100800"/>
    <s v="April 24, 2025"/>
    <x v="167"/>
    <x v="145"/>
    <s v="liam.davis77@yahoo.com"/>
    <x v="3"/>
    <x v="3"/>
    <x v="4"/>
    <x v="6"/>
    <n v="1"/>
    <n v="57.01"/>
    <n v="0.05"/>
    <n v="3.21"/>
    <x v="4"/>
    <s v="Credit Card"/>
    <x v="2"/>
    <n v="54.159499999999994"/>
  </r>
  <r>
    <s v="ORD-101206"/>
    <s v="18-01-2024"/>
    <x v="168"/>
    <x v="146"/>
    <s v="aarav.harris49@outlook.com"/>
    <x v="0"/>
    <x v="8"/>
    <x v="4"/>
    <x v="18"/>
    <n v="1"/>
    <n v="29.36"/>
    <n v="0"/>
    <n v="8.39"/>
    <x v="4"/>
    <s v="PayPal"/>
    <x v="2"/>
    <n v="29.36"/>
  </r>
  <r>
    <s v="ORD-100370"/>
    <s v="15 Oct 2025"/>
    <x v="169"/>
    <x v="147"/>
    <s v="Not Known"/>
    <x v="4"/>
    <x v="5"/>
    <x v="3"/>
    <x v="11"/>
    <n v="3"/>
    <n v="242.38"/>
    <n v="0"/>
    <m/>
    <x v="3"/>
    <s v="Credit Card"/>
    <x v="2"/>
    <n v="727.14"/>
  </r>
  <r>
    <s v="ORD-100037"/>
    <s v="28-03-2025"/>
    <x v="20"/>
    <x v="148"/>
    <s v="kabir.clark84@yahoo.com"/>
    <x v="3"/>
    <x v="7"/>
    <x v="3"/>
    <x v="9"/>
    <n v="1"/>
    <n v="84.78"/>
    <n v="0"/>
    <n v="6.54"/>
    <x v="3"/>
    <s v="Credit Card"/>
    <x v="2"/>
    <n v="84.78"/>
  </r>
  <r>
    <s v="ORD-101189"/>
    <s v="2025-10-15"/>
    <x v="169"/>
    <x v="149"/>
    <s v="aarav.kapoor64@hotmail.com"/>
    <x v="0"/>
    <x v="8"/>
    <x v="2"/>
    <x v="14"/>
    <n v="1"/>
    <n v="4.22"/>
    <n v="0.1"/>
    <n v="0.13"/>
    <x v="4"/>
    <s v="COD"/>
    <x v="3"/>
    <n v="3.798"/>
  </r>
  <r>
    <s v="ORD-100736"/>
    <s v="September 08, 2025"/>
    <x v="170"/>
    <x v="69"/>
    <s v="grace.iyer86@yahoo.com"/>
    <x v="3"/>
    <x v="4"/>
    <x v="3"/>
    <x v="21"/>
    <n v="1"/>
    <n v="128.76"/>
    <n v="0.1"/>
    <n v="5.7"/>
    <x v="1"/>
    <s v="Credit Card"/>
    <x v="0"/>
    <n v="115.884"/>
  </r>
  <r>
    <s v="ORD-101384"/>
    <s v="01/22/25"/>
    <x v="171"/>
    <x v="150"/>
    <s v="kabir.jackson72@company.co"/>
    <x v="4"/>
    <x v="1"/>
    <x v="4"/>
    <x v="12"/>
    <n v="1"/>
    <n v="12.85"/>
    <n v="0"/>
    <n v="7.78"/>
    <x v="0"/>
    <s v="Bank Transfer"/>
    <x v="3"/>
    <n v="12.85"/>
  </r>
  <r>
    <s v="ORD-100947"/>
    <s v="02-04-2025"/>
    <x v="27"/>
    <x v="151"/>
    <s v="Not Known"/>
    <x v="0"/>
    <x v="9"/>
    <x v="0"/>
    <x v="0"/>
    <n v="5"/>
    <n v="40.47"/>
    <n v="0.1"/>
    <n v="0"/>
    <x v="1"/>
    <s v="Credit Card"/>
    <x v="0"/>
    <n v="182.11500000000001"/>
  </r>
  <r>
    <s v="ORD-101389"/>
    <s v="October 07, 2024"/>
    <x v="172"/>
    <x v="152"/>
    <s v="chloe.reddy31@outlook.com"/>
    <x v="4"/>
    <x v="11"/>
    <x v="0"/>
    <x v="16"/>
    <n v="2"/>
    <n v="23.31"/>
    <n v="0"/>
    <n v="13.42"/>
    <x v="3"/>
    <s v="Bank Transfer"/>
    <x v="1"/>
    <n v="46.62"/>
  </r>
  <r>
    <s v="ORD-100151"/>
    <s v="27 Feb 2025"/>
    <x v="173"/>
    <x v="153"/>
    <s v="kabir.brown22@company.co"/>
    <x v="1"/>
    <x v="6"/>
    <x v="1"/>
    <x v="7"/>
    <n v="1"/>
    <n v="40.78"/>
    <n v="0.15"/>
    <n v="5.63"/>
    <x v="3"/>
    <s v="Not Known"/>
    <x v="2"/>
    <n v="34.662999999999997"/>
  </r>
  <r>
    <s v="ORD-100027"/>
    <s v="04/27/2024"/>
    <x v="174"/>
    <x v="154"/>
    <s v="rohan.iyer92@hotmail.com"/>
    <x v="1"/>
    <x v="1"/>
    <x v="2"/>
    <x v="14"/>
    <n v="1"/>
    <n v="4.24"/>
    <n v="0.05"/>
    <n v="0.39"/>
    <x v="0"/>
    <s v="Bank Transfer"/>
    <x v="1"/>
    <n v="4.0279999999999996"/>
  </r>
  <r>
    <s v="ORD-101028"/>
    <s v="2024-12-18"/>
    <x v="175"/>
    <x v="130"/>
    <s v="zara.williams43@outlook.com"/>
    <x v="4"/>
    <x v="11"/>
    <x v="2"/>
    <x v="14"/>
    <n v="1"/>
    <n v="4.13"/>
    <n v="0.05"/>
    <n v="10.94"/>
    <x v="4"/>
    <s v="PayPal"/>
    <x v="0"/>
    <n v="3.9234999999999998"/>
  </r>
  <r>
    <s v="ORD-100361"/>
    <s v="December 13, 2024"/>
    <x v="92"/>
    <x v="155"/>
    <s v="daniel.williams51@company.co"/>
    <x v="2"/>
    <x v="1"/>
    <x v="2"/>
    <x v="2"/>
    <n v="5"/>
    <n v="14.19"/>
    <n v="0"/>
    <n v="13.35"/>
    <x v="0"/>
    <s v="COD"/>
    <x v="2"/>
    <n v="70.95"/>
  </r>
  <r>
    <s v="ORD-100680"/>
    <s v="05/15/24"/>
    <x v="176"/>
    <x v="156"/>
    <s v="sophia.jackson18@gmail.com"/>
    <x v="1"/>
    <x v="1"/>
    <x v="4"/>
    <x v="12"/>
    <n v="3"/>
    <n v="12.73"/>
    <n v="0.05"/>
    <n v="6.57"/>
    <x v="4"/>
    <s v="Not Known"/>
    <x v="1"/>
    <n v="36.280499999999996"/>
  </r>
  <r>
    <s v="ORD-101223"/>
    <s v="02/16/24"/>
    <x v="177"/>
    <x v="157"/>
    <s v="olivia.jackson73@hotmail.com"/>
    <x v="0"/>
    <x v="0"/>
    <x v="2"/>
    <x v="2"/>
    <n v="1"/>
    <n v="13.68"/>
    <n v="0"/>
    <n v="13.72"/>
    <x v="3"/>
    <s v="Credit Card"/>
    <x v="0"/>
    <n v="13.68"/>
  </r>
  <r>
    <s v="ORD-100228"/>
    <s v="September 05, 2025"/>
    <x v="178"/>
    <x v="29"/>
    <s v="chloe.miller36@outlook.com"/>
    <x v="0"/>
    <x v="9"/>
    <x v="1"/>
    <x v="13"/>
    <n v="2"/>
    <n v="193.92"/>
    <n v="0"/>
    <n v="0"/>
    <x v="2"/>
    <s v="Debit Card"/>
    <x v="3"/>
    <n v="387.84"/>
  </r>
  <r>
    <s v="ORD-101352"/>
    <s v="12/11/2025"/>
    <x v="179"/>
    <x v="158"/>
    <s v="sophia.white89@yahoo.com"/>
    <x v="1"/>
    <x v="6"/>
    <x v="1"/>
    <x v="19"/>
    <n v="3"/>
    <n v="23.91"/>
    <n v="0.05"/>
    <n v="8.91"/>
    <x v="6"/>
    <s v="Credit Card"/>
    <x v="1"/>
    <n v="68.143500000000003"/>
  </r>
  <r>
    <s v="ORD-100108"/>
    <s v="30 Sep 2024"/>
    <x v="180"/>
    <x v="159"/>
    <s v="emma.brown46@hotmail.com"/>
    <x v="3"/>
    <x v="10"/>
    <x v="3"/>
    <x v="21"/>
    <n v="4"/>
    <n v="129.03"/>
    <n v="0"/>
    <n v="6.09"/>
    <x v="1"/>
    <s v="COD"/>
    <x v="2"/>
    <n v="516.12"/>
  </r>
  <r>
    <s v="ORD-100488"/>
    <s v="27-07-2024"/>
    <x v="181"/>
    <x v="80"/>
    <s v="ethan.reddy22@outlook.com"/>
    <x v="1"/>
    <x v="6"/>
    <x v="2"/>
    <x v="4"/>
    <n v="2"/>
    <n v="6.52"/>
    <n v="0.1"/>
    <n v="8.94"/>
    <x v="6"/>
    <s v="Credit Card"/>
    <x v="2"/>
    <n v="11.735999999999999"/>
  </r>
  <r>
    <s v="ORD-100748"/>
    <s v="18 Feb 2025"/>
    <x v="182"/>
    <x v="160"/>
    <s v="ethan.anderson20@hotmail.com"/>
    <x v="2"/>
    <x v="1"/>
    <x v="1"/>
    <x v="19"/>
    <n v="2"/>
    <n v="23.87"/>
    <n v="0.05"/>
    <n v="6.19"/>
    <x v="0"/>
    <s v="Bank Transfer"/>
    <x v="2"/>
    <n v="45.353000000000002"/>
  </r>
  <r>
    <s v="ORD-101041"/>
    <s v="12/02/25"/>
    <x v="183"/>
    <x v="161"/>
    <s v="noah.jackson15@company.co"/>
    <x v="1"/>
    <x v="1"/>
    <x v="4"/>
    <x v="12"/>
    <n v="1"/>
    <n v="13.24"/>
    <n v="0"/>
    <n v="0.82"/>
    <x v="7"/>
    <s v="Not Known"/>
    <x v="2"/>
    <n v="13.24"/>
  </r>
  <r>
    <s v="ORD-100350"/>
    <s v="December 07, 2025"/>
    <x v="184"/>
    <x v="162"/>
    <s v="daniel.anderson20@hotmail.com"/>
    <x v="0"/>
    <x v="8"/>
    <x v="0"/>
    <x v="0"/>
    <n v="5"/>
    <n v="38.47"/>
    <n v="0.1"/>
    <n v="10.6"/>
    <x v="3"/>
    <s v="Not Known"/>
    <x v="2"/>
    <n v="173.11500000000001"/>
  </r>
  <r>
    <s v="ORD-100468"/>
    <s v="2025-09-27"/>
    <x v="185"/>
    <x v="163"/>
    <s v="lily.davis90@company.co"/>
    <x v="2"/>
    <x v="2"/>
    <x v="1"/>
    <x v="15"/>
    <n v="1"/>
    <n v="9.4600000000000009"/>
    <n v="0"/>
    <n v="1.56"/>
    <x v="6"/>
    <s v="Bank Transfer"/>
    <x v="1"/>
    <n v="9.4600000000000009"/>
  </r>
  <r>
    <s v="ORD-100241"/>
    <s v="06-11-2025"/>
    <x v="186"/>
    <x v="157"/>
    <s v="olivia.jackson85@company.co"/>
    <x v="1"/>
    <x v="1"/>
    <x v="1"/>
    <x v="7"/>
    <n v="1"/>
    <n v="40.74"/>
    <n v="0.1"/>
    <n v="4.3899999999999997"/>
    <x v="7"/>
    <s v="Credit Card"/>
    <x v="1"/>
    <n v="36.666000000000004"/>
  </r>
  <r>
    <s v="ORD-101314"/>
    <s v="27 Jan 2025"/>
    <x v="187"/>
    <x v="164"/>
    <s v="lily.sharma5@gmail.com"/>
    <x v="2"/>
    <x v="10"/>
    <x v="0"/>
    <x v="16"/>
    <n v="5"/>
    <n v="21.6"/>
    <n v="0.15"/>
    <n v="4.05"/>
    <x v="6"/>
    <s v="Debit Card"/>
    <x v="2"/>
    <n v="91.8"/>
  </r>
  <r>
    <s v="ORD-100409"/>
    <s v="29 Sep 2024"/>
    <x v="188"/>
    <x v="165"/>
    <s v="emma.miller98@hotmail.com"/>
    <x v="2"/>
    <x v="1"/>
    <x v="1"/>
    <x v="20"/>
    <n v="1"/>
    <n v="18.55"/>
    <n v="0"/>
    <n v="9.07"/>
    <x v="4"/>
    <s v="PayPal"/>
    <x v="0"/>
    <n v="18.55"/>
  </r>
  <r>
    <s v="ORD-100609"/>
    <s v="12/27/25"/>
    <x v="189"/>
    <x v="166"/>
    <s v="olivia.reddy22@company.co"/>
    <x v="0"/>
    <x v="0"/>
    <x v="0"/>
    <x v="16"/>
    <n v="3"/>
    <n v="21.72"/>
    <n v="0.1"/>
    <n v="11.38"/>
    <x v="1"/>
    <s v="Bank Transfer"/>
    <x v="2"/>
    <n v="58.643999999999998"/>
  </r>
  <r>
    <s v="ORD-100377"/>
    <s v="07/24/24"/>
    <x v="190"/>
    <x v="126"/>
    <s v="olivia.wilson26@gmail.com"/>
    <x v="4"/>
    <x v="11"/>
    <x v="3"/>
    <x v="9"/>
    <n v="10"/>
    <n v="87.14"/>
    <n v="0"/>
    <n v="5.12"/>
    <x v="3"/>
    <s v="COD"/>
    <x v="2"/>
    <n v="871.4"/>
  </r>
  <r>
    <s v="ORD-101228"/>
    <s v="21 Nov 2024"/>
    <x v="191"/>
    <x v="167"/>
    <s v="ishaan.wilson86@yahoo.com"/>
    <x v="2"/>
    <x v="2"/>
    <x v="5"/>
    <x v="3"/>
    <n v="4"/>
    <n v="7.56"/>
    <n v="0.05"/>
    <n v="10.79"/>
    <x v="2"/>
    <s v="Not Known"/>
    <x v="1"/>
    <n v="28.727999999999998"/>
  </r>
  <r>
    <s v="ORD-101225"/>
    <s v="May 18, 2025"/>
    <x v="192"/>
    <x v="168"/>
    <s v="lily.iyer97@yahoo.com"/>
    <x v="3"/>
    <x v="7"/>
    <x v="2"/>
    <x v="10"/>
    <n v="1"/>
    <n v="3.02"/>
    <n v="0.05"/>
    <n v="4.96"/>
    <x v="5"/>
    <s v="Not Known"/>
    <x v="2"/>
    <n v="2.8689999999999998"/>
  </r>
  <r>
    <s v="ORD-100992"/>
    <s v="April 02, 2025"/>
    <x v="27"/>
    <x v="39"/>
    <s v="ella.williams66@yahoo.com"/>
    <x v="4"/>
    <x v="1"/>
    <x v="1"/>
    <x v="19"/>
    <n v="1"/>
    <n v="24.09"/>
    <n v="0"/>
    <n v="0.02"/>
    <x v="7"/>
    <s v="Credit Card"/>
    <x v="2"/>
    <n v="24.09"/>
  </r>
  <r>
    <s v="ORD-101078"/>
    <s v="15-12-2025"/>
    <x v="193"/>
    <x v="123"/>
    <s v="ella.harris78@company.co"/>
    <x v="4"/>
    <x v="11"/>
    <x v="0"/>
    <x v="16"/>
    <n v="1"/>
    <n v="22.92"/>
    <n v="0.05"/>
    <n v="5.73"/>
    <x v="7"/>
    <s v="COD"/>
    <x v="2"/>
    <n v="21.774000000000001"/>
  </r>
  <r>
    <s v="ORD-100939"/>
    <s v="08/19/24"/>
    <x v="194"/>
    <x v="169"/>
    <s v="emma.sharma26@hotmail.com"/>
    <x v="3"/>
    <x v="3"/>
    <x v="4"/>
    <x v="6"/>
    <n v="10"/>
    <n v="57.62"/>
    <n v="0.1"/>
    <n v="10.1"/>
    <x v="1"/>
    <s v="PayPal"/>
    <x v="2"/>
    <n v="518.57999999999993"/>
  </r>
  <r>
    <s v="ORD-100328"/>
    <s v="03/25/25"/>
    <x v="13"/>
    <x v="93"/>
    <s v="ethan.iyer21@yahoo.com"/>
    <x v="0"/>
    <x v="0"/>
    <x v="1"/>
    <x v="19"/>
    <n v="4"/>
    <n v="25.92"/>
    <n v="0"/>
    <n v="11.5"/>
    <x v="7"/>
    <s v="Not Known"/>
    <x v="2"/>
    <n v="103.68"/>
  </r>
  <r>
    <s v="ORD-100474"/>
    <s v="06/13/2024"/>
    <x v="195"/>
    <x v="170"/>
    <s v="chloe.williams58@outlook.com"/>
    <x v="2"/>
    <x v="1"/>
    <x v="4"/>
    <x v="12"/>
    <n v="4"/>
    <n v="12.98"/>
    <n v="0"/>
    <n v="0"/>
    <x v="2"/>
    <s v="COD"/>
    <x v="2"/>
    <n v="51.92"/>
  </r>
  <r>
    <s v="ORD-100275"/>
    <s v="09/17/25"/>
    <x v="196"/>
    <x v="171"/>
    <s v="advait.johnson56@hotmail.com"/>
    <x v="2"/>
    <x v="1"/>
    <x v="0"/>
    <x v="16"/>
    <n v="4"/>
    <n v="21.4"/>
    <n v="0.15"/>
    <n v="4.05"/>
    <x v="5"/>
    <s v="PayPal"/>
    <x v="1"/>
    <n v="72.759999999999991"/>
  </r>
  <r>
    <s v="ORD-100127"/>
    <s v="05 Apr 2024"/>
    <x v="85"/>
    <x v="88"/>
    <s v="noah.clark82@company.co"/>
    <x v="4"/>
    <x v="1"/>
    <x v="3"/>
    <x v="11"/>
    <n v="4"/>
    <n v="255.51"/>
    <n v="0.05"/>
    <n v="10.42"/>
    <x v="4"/>
    <s v="Debit Card"/>
    <x v="2"/>
    <n v="970.93799999999987"/>
  </r>
  <r>
    <s v="ORD-101366"/>
    <s v="05/14/2025"/>
    <x v="197"/>
    <x v="172"/>
    <s v="ava.reddy20@gmail.com"/>
    <x v="0"/>
    <x v="0"/>
    <x v="0"/>
    <x v="16"/>
    <n v="10"/>
    <n v="22.13"/>
    <n v="0"/>
    <n v="0"/>
    <x v="5"/>
    <s v="COD"/>
    <x v="3"/>
    <n v="221.29999999999998"/>
  </r>
  <r>
    <s v="ORD-101236"/>
    <s v="02/18/2024"/>
    <x v="198"/>
    <x v="173"/>
    <s v="zara.johnson51@company.co"/>
    <x v="2"/>
    <x v="1"/>
    <x v="0"/>
    <x v="16"/>
    <n v="2"/>
    <n v="22.62"/>
    <n v="0.1"/>
    <n v="4.08"/>
    <x v="1"/>
    <s v="PayPal"/>
    <x v="1"/>
    <n v="40.716000000000001"/>
  </r>
  <r>
    <s v="ORD-101203"/>
    <s v="2025-05-31"/>
    <x v="199"/>
    <x v="174"/>
    <s v="olivia.williams4@yahoo.com"/>
    <x v="0"/>
    <x v="0"/>
    <x v="0"/>
    <x v="17"/>
    <n v="1"/>
    <n v="43.12"/>
    <n v="0"/>
    <n v="8.41"/>
    <x v="1"/>
    <s v="COD"/>
    <x v="3"/>
    <n v="43.12"/>
  </r>
  <r>
    <s v="ORD-100813"/>
    <s v="2024-12-06"/>
    <x v="148"/>
    <x v="171"/>
    <s v="advait.johnson30@gmail.com"/>
    <x v="4"/>
    <x v="1"/>
    <x v="1"/>
    <x v="7"/>
    <n v="1"/>
    <n v="42.86"/>
    <n v="0.05"/>
    <n v="4.32"/>
    <x v="0"/>
    <s v="Debit Card"/>
    <x v="3"/>
    <n v="40.716999999999999"/>
  </r>
  <r>
    <s v="ORD-101367"/>
    <s v="20 Feb 2024"/>
    <x v="67"/>
    <x v="175"/>
    <s v="advait.wilson29@gmail.com"/>
    <x v="2"/>
    <x v="1"/>
    <x v="4"/>
    <x v="18"/>
    <n v="1"/>
    <n v="29.55"/>
    <n v="0.05"/>
    <n v="13.26"/>
    <x v="4"/>
    <s v="Credit Card"/>
    <x v="3"/>
    <n v="28.072499999999998"/>
  </r>
  <r>
    <s v="ORD-100507"/>
    <s v="07 Aug 2025"/>
    <x v="200"/>
    <x v="176"/>
    <s v="liam.taylor27@hotmail.com"/>
    <x v="1"/>
    <x v="1"/>
    <x v="2"/>
    <x v="4"/>
    <n v="1"/>
    <n v="6.41"/>
    <n v="0"/>
    <n v="9.2799999999999994"/>
    <x v="2"/>
    <s v="Not Known"/>
    <x v="2"/>
    <n v="6.41"/>
  </r>
  <r>
    <s v="ORD-100454"/>
    <s v="07/21/25"/>
    <x v="201"/>
    <x v="40"/>
    <s v="advait.davis59@company.co"/>
    <x v="0"/>
    <x v="0"/>
    <x v="1"/>
    <x v="7"/>
    <n v="1"/>
    <n v="40.369999999999997"/>
    <n v="0"/>
    <n v="8.58"/>
    <x v="0"/>
    <s v="COD"/>
    <x v="2"/>
    <n v="40.369999999999997"/>
  </r>
  <r>
    <s v="ORD-100004"/>
    <s v="2024-02-18"/>
    <x v="198"/>
    <x v="177"/>
    <s v="arjun.reddy12@yahoo.com"/>
    <x v="4"/>
    <x v="1"/>
    <x v="2"/>
    <x v="2"/>
    <n v="1"/>
    <n v="14.05"/>
    <n v="0.1"/>
    <n v="11.88"/>
    <x v="7"/>
    <s v="Bank Transfer"/>
    <x v="2"/>
    <n v="12.645000000000001"/>
  </r>
  <r>
    <s v="ORD-100170"/>
    <s v="12/29/25"/>
    <x v="202"/>
    <x v="131"/>
    <s v="sophia.gupta47@hotmail.com"/>
    <x v="0"/>
    <x v="9"/>
    <x v="2"/>
    <x v="14"/>
    <n v="1"/>
    <n v="4.4400000000000004"/>
    <n v="0.05"/>
    <n v="0"/>
    <x v="0"/>
    <s v="Not Known"/>
    <x v="2"/>
    <n v="4.218"/>
  </r>
  <r>
    <s v="ORD-100060"/>
    <s v="12/27/25"/>
    <x v="189"/>
    <x v="17"/>
    <s v="aarav.jackson52@hotmail.com"/>
    <x v="4"/>
    <x v="5"/>
    <x v="3"/>
    <x v="21"/>
    <n v="1"/>
    <n v="127.67"/>
    <n v="0.1"/>
    <n v="6.08"/>
    <x v="4"/>
    <s v="Credit Card"/>
    <x v="2"/>
    <n v="114.90300000000001"/>
  </r>
  <r>
    <s v="ORD-100547"/>
    <s v="May 20, 2024"/>
    <x v="203"/>
    <x v="97"/>
    <s v="noah.davis7@gmail.com"/>
    <x v="3"/>
    <x v="3"/>
    <x v="5"/>
    <x v="4"/>
    <n v="1"/>
    <n v="6.68"/>
    <n v="0"/>
    <n v="9.9700000000000006"/>
    <x v="4"/>
    <s v="PayPal"/>
    <x v="2"/>
    <n v="6.68"/>
  </r>
  <r>
    <s v="ORD-101150"/>
    <s v="27 Jan 2024"/>
    <x v="204"/>
    <x v="178"/>
    <s v="arjun.jackson87@company.co"/>
    <x v="3"/>
    <x v="4"/>
    <x v="5"/>
    <x v="15"/>
    <n v="4"/>
    <n v="9.6300000000000008"/>
    <n v="0.1"/>
    <n v="3.36"/>
    <x v="4"/>
    <s v="Credit Card"/>
    <x v="2"/>
    <n v="34.668000000000006"/>
  </r>
  <r>
    <s v="ORD-100492"/>
    <s v="November 26, 2025"/>
    <x v="205"/>
    <x v="179"/>
    <s v="ishaan.williams81@gmail.com"/>
    <x v="4"/>
    <x v="11"/>
    <x v="1"/>
    <x v="15"/>
    <n v="4"/>
    <n v="9.57"/>
    <n v="0.15"/>
    <n v="13.14"/>
    <x v="2"/>
    <s v="PayPal"/>
    <x v="0"/>
    <n v="32.537999999999997"/>
  </r>
  <r>
    <s v="ORD-100907"/>
    <s v="17 Oct 2024"/>
    <x v="162"/>
    <x v="180"/>
    <s v="aarav.anderson59@outlook.com"/>
    <x v="4"/>
    <x v="1"/>
    <x v="2"/>
    <x v="4"/>
    <n v="1"/>
    <n v="6.28"/>
    <n v="0.15"/>
    <n v="0.02"/>
    <x v="7"/>
    <s v="Bank Transfer"/>
    <x v="2"/>
    <n v="5.3380000000000001"/>
  </r>
  <r>
    <s v="ORD-100708"/>
    <s v="03-08-2025"/>
    <x v="155"/>
    <x v="140"/>
    <s v="noah.brown54@company.co"/>
    <x v="0"/>
    <x v="8"/>
    <x v="0"/>
    <x v="0"/>
    <n v="2"/>
    <n v="41.37"/>
    <n v="0.05"/>
    <n v="0"/>
    <x v="2"/>
    <s v="Bank Transfer"/>
    <x v="2"/>
    <n v="78.602999999999994"/>
  </r>
  <r>
    <s v="ORD-100189"/>
    <s v="04/08/2024"/>
    <x v="206"/>
    <x v="181"/>
    <s v="advait.jackson11@yahoo.com"/>
    <x v="2"/>
    <x v="2"/>
    <x v="3"/>
    <x v="9"/>
    <n v="3"/>
    <n v="84.77"/>
    <n v="0"/>
    <n v="0.11"/>
    <x v="5"/>
    <s v="Credit Card"/>
    <x v="2"/>
    <n v="254.31"/>
  </r>
  <r>
    <s v="ORD-100325"/>
    <s v="2025-05-27"/>
    <x v="207"/>
    <x v="182"/>
    <s v="liam.reddy74@yahoo.com"/>
    <x v="2"/>
    <x v="1"/>
    <x v="1"/>
    <x v="7"/>
    <n v="4"/>
    <n v="42.43"/>
    <n v="0.15"/>
    <n v="8.7100000000000009"/>
    <x v="0"/>
    <s v="Debit Card"/>
    <x v="2"/>
    <n v="144.262"/>
  </r>
  <r>
    <s v="ORD-101329"/>
    <s v="08/19/25"/>
    <x v="115"/>
    <x v="183"/>
    <s v="sophia.miller82@outlook.com"/>
    <x v="1"/>
    <x v="1"/>
    <x v="1"/>
    <x v="7"/>
    <n v="1"/>
    <n v="40.1"/>
    <n v="0"/>
    <n v="0.18"/>
    <x v="1"/>
    <s v="PayPal"/>
    <x v="2"/>
    <n v="40.1"/>
  </r>
  <r>
    <s v="ORD-101241"/>
    <s v="April 27, 2024"/>
    <x v="174"/>
    <x v="184"/>
    <s v="zara.thomas50@company.co"/>
    <x v="1"/>
    <x v="1"/>
    <x v="0"/>
    <x v="22"/>
    <n v="3"/>
    <n v="82.38"/>
    <n v="0.1"/>
    <n v="7.48"/>
    <x v="1"/>
    <s v="Debit Card"/>
    <x v="2"/>
    <n v="222.42599999999999"/>
  </r>
  <r>
    <s v="ORD-100597"/>
    <s v="06 Mar 2025"/>
    <x v="208"/>
    <x v="185"/>
    <s v="Not Known"/>
    <x v="1"/>
    <x v="6"/>
    <x v="3"/>
    <x v="5"/>
    <n v="10"/>
    <n v="106.6"/>
    <n v="0.15"/>
    <n v="5.41"/>
    <x v="0"/>
    <s v="Not Known"/>
    <x v="2"/>
    <n v="906.1"/>
  </r>
  <r>
    <s v="ORD-100412"/>
    <s v="21 Jun 2024"/>
    <x v="209"/>
    <x v="186"/>
    <s v="noah.white60@hotmail.com"/>
    <x v="2"/>
    <x v="1"/>
    <x v="2"/>
    <x v="2"/>
    <n v="10"/>
    <n v="14.53"/>
    <n v="0"/>
    <n v="8.11"/>
    <x v="1"/>
    <s v="Credit Card"/>
    <x v="2"/>
    <n v="145.29999999999998"/>
  </r>
  <r>
    <s v="ORD-100463"/>
    <s v="10/17/2025"/>
    <x v="210"/>
    <x v="72"/>
    <s v="chloe.brown19@yahoo.com"/>
    <x v="4"/>
    <x v="11"/>
    <x v="1"/>
    <x v="7"/>
    <n v="5"/>
    <n v="41.34"/>
    <n v="0.05"/>
    <n v="14.82"/>
    <x v="7"/>
    <s v="Credit Card"/>
    <x v="0"/>
    <n v="196.36500000000001"/>
  </r>
  <r>
    <s v="ORD-101308"/>
    <s v="08/03/24"/>
    <x v="211"/>
    <x v="63"/>
    <s v="chloe.sharma91@hotmail.com"/>
    <x v="3"/>
    <x v="7"/>
    <x v="4"/>
    <x v="6"/>
    <n v="3"/>
    <n v="59.6"/>
    <n v="0"/>
    <n v="14.76"/>
    <x v="7"/>
    <s v="Bank Transfer"/>
    <x v="2"/>
    <n v="178.8"/>
  </r>
  <r>
    <s v="ORD-100383"/>
    <s v="September 17, 2024"/>
    <x v="163"/>
    <x v="22"/>
    <s v="ethan.miller48@hotmail.com"/>
    <x v="2"/>
    <x v="2"/>
    <x v="0"/>
    <x v="17"/>
    <n v="5"/>
    <n v="43.68"/>
    <n v="0.05"/>
    <n v="1.26"/>
    <x v="3"/>
    <s v="Bank Transfer"/>
    <x v="0"/>
    <n v="207.48"/>
  </r>
  <r>
    <s v="ORD-100658"/>
    <s v="07/23/24"/>
    <x v="212"/>
    <x v="187"/>
    <s v="noah.iyer69@outlook.com"/>
    <x v="2"/>
    <x v="1"/>
    <x v="1"/>
    <x v="7"/>
    <n v="5"/>
    <n v="41.4"/>
    <n v="0"/>
    <n v="8.9600000000000009"/>
    <x v="5"/>
    <s v="PayPal"/>
    <x v="2"/>
    <n v="207"/>
  </r>
  <r>
    <s v="ORD-100681"/>
    <s v="01 Jan 2025"/>
    <x v="46"/>
    <x v="65"/>
    <s v="ella.thomas86@gmail.com"/>
    <x v="1"/>
    <x v="6"/>
    <x v="0"/>
    <x v="17"/>
    <n v="2"/>
    <n v="44.63"/>
    <n v="0.1"/>
    <n v="3.65"/>
    <x v="2"/>
    <s v="Credit Card"/>
    <x v="2"/>
    <n v="80.334000000000003"/>
  </r>
  <r>
    <s v="ORD-101304"/>
    <s v="14-12-2025"/>
    <x v="213"/>
    <x v="186"/>
    <s v="noah.white51@outlook.com"/>
    <x v="3"/>
    <x v="7"/>
    <x v="1"/>
    <x v="19"/>
    <n v="2"/>
    <n v="25.98"/>
    <n v="0.1"/>
    <n v="1.61"/>
    <x v="2"/>
    <s v="COD"/>
    <x v="2"/>
    <n v="46.764000000000003"/>
  </r>
  <r>
    <s v="ORD-100462"/>
    <s v="2024-04-21"/>
    <x v="214"/>
    <x v="20"/>
    <s v="ethan.jackson60@company.co"/>
    <x v="1"/>
    <x v="1"/>
    <x v="3"/>
    <x v="5"/>
    <n v="1"/>
    <n v="106.24"/>
    <n v="0.05"/>
    <n v="13.76"/>
    <x v="7"/>
    <s v="Not Known"/>
    <x v="1"/>
    <n v="100.928"/>
  </r>
  <r>
    <s v="ORD-100511"/>
    <s v="31 Jan 2025"/>
    <x v="215"/>
    <x v="98"/>
    <s v="ella.nair7@gmail.com"/>
    <x v="0"/>
    <x v="9"/>
    <x v="3"/>
    <x v="11"/>
    <n v="1"/>
    <n v="237.08"/>
    <n v="0.05"/>
    <n v="10.52"/>
    <x v="2"/>
    <s v="Credit Card"/>
    <x v="2"/>
    <n v="225.226"/>
  </r>
  <r>
    <s v="ORD-100385"/>
    <s v="05/21/24"/>
    <x v="157"/>
    <x v="54"/>
    <s v="daniel.iyer78@outlook.com"/>
    <x v="4"/>
    <x v="1"/>
    <x v="1"/>
    <x v="7"/>
    <n v="3"/>
    <n v="40.06"/>
    <n v="0.05"/>
    <n v="3.92"/>
    <x v="0"/>
    <s v="PayPal"/>
    <x v="0"/>
    <n v="114.17100000000001"/>
  </r>
  <r>
    <s v="ORD-100693"/>
    <s v="08-07-2025"/>
    <x v="216"/>
    <x v="188"/>
    <s v="rohan.gupta3@hotmail.com"/>
    <x v="2"/>
    <x v="2"/>
    <x v="4"/>
    <x v="18"/>
    <n v="4"/>
    <n v="29.19"/>
    <n v="0.05"/>
    <n v="7.37"/>
    <x v="4"/>
    <s v="PayPal"/>
    <x v="2"/>
    <n v="110.922"/>
  </r>
  <r>
    <s v="ORD-101086"/>
    <s v="12/03/2024"/>
    <x v="217"/>
    <x v="189"/>
    <s v="olivia.taylor37@hotmail.com"/>
    <x v="2"/>
    <x v="2"/>
    <x v="3"/>
    <x v="9"/>
    <n v="1"/>
    <n v="86.84"/>
    <n v="0"/>
    <n v="0"/>
    <x v="6"/>
    <s v="COD"/>
    <x v="2"/>
    <n v="86.84"/>
  </r>
  <r>
    <m/>
    <m/>
    <x v="218"/>
    <x v="190"/>
    <s v="Not Known"/>
    <x v="5"/>
    <x v="10"/>
    <x v="5"/>
    <x v="23"/>
    <m/>
    <m/>
    <n v="0"/>
    <m/>
    <x v="3"/>
    <s v="Not Known"/>
    <x v="4"/>
    <m/>
  </r>
  <r>
    <s v="ORD-101160"/>
    <s v="22 Sep 2024"/>
    <x v="219"/>
    <x v="18"/>
    <s v="noah.reddy4@outlook.com"/>
    <x v="0"/>
    <x v="9"/>
    <x v="2"/>
    <x v="14"/>
    <n v="1"/>
    <n v="4.2300000000000004"/>
    <n v="0.05"/>
    <n v="0"/>
    <x v="6"/>
    <s v="COD"/>
    <x v="2"/>
    <n v="4.0185000000000004"/>
  </r>
  <r>
    <s v="ORD-100213"/>
    <s v="14 Jun 2025"/>
    <x v="220"/>
    <x v="191"/>
    <s v="zara.reddy90@company.co"/>
    <x v="3"/>
    <x v="3"/>
    <x v="0"/>
    <x v="16"/>
    <n v="1"/>
    <n v="22.45"/>
    <n v="0"/>
    <n v="0.18"/>
    <x v="1"/>
    <s v="Debit Card"/>
    <x v="2"/>
    <n v="22.45"/>
  </r>
  <r>
    <s v="ORD-100968"/>
    <s v="May 17, 2024"/>
    <x v="221"/>
    <x v="192"/>
    <s v="Not Known"/>
    <x v="2"/>
    <x v="1"/>
    <x v="0"/>
    <x v="16"/>
    <n v="3"/>
    <n v="22.65"/>
    <n v="0"/>
    <n v="2.73"/>
    <x v="6"/>
    <s v="Not Known"/>
    <x v="2"/>
    <n v="67.949999999999989"/>
  </r>
  <r>
    <s v="ORD-101007"/>
    <s v="01/08/2024"/>
    <x v="16"/>
    <x v="193"/>
    <s v="chloe.taylor14@company.co"/>
    <x v="3"/>
    <x v="4"/>
    <x v="4"/>
    <x v="8"/>
    <n v="10"/>
    <n v="14.97"/>
    <n v="0.05"/>
    <n v="0.22"/>
    <x v="4"/>
    <s v="Not Known"/>
    <x v="0"/>
    <n v="142.215"/>
  </r>
  <r>
    <s v="ORD-100340"/>
    <s v="14-05-2024"/>
    <x v="29"/>
    <x v="194"/>
    <s v="mia.white78@outlook.com"/>
    <x v="4"/>
    <x v="11"/>
    <x v="4"/>
    <x v="8"/>
    <n v="1"/>
    <n v="15.22"/>
    <n v="0"/>
    <n v="0"/>
    <x v="4"/>
    <s v="Bank Transfer"/>
    <x v="2"/>
    <n v="15.22"/>
  </r>
  <r>
    <s v="ORD-100635"/>
    <s v="04/16/24"/>
    <x v="117"/>
    <x v="96"/>
    <s v="aarav.nair19@outlook.com"/>
    <x v="4"/>
    <x v="11"/>
    <x v="1"/>
    <x v="20"/>
    <n v="10"/>
    <n v="19.34"/>
    <n v="0"/>
    <n v="0"/>
    <x v="6"/>
    <s v="Bank Transfer"/>
    <x v="2"/>
    <n v="193.4"/>
  </r>
  <r>
    <s v="ORD-100199"/>
    <s v="2025-09-10"/>
    <x v="222"/>
    <x v="195"/>
    <s v="ethan.wilson62@outlook.com"/>
    <x v="3"/>
    <x v="7"/>
    <x v="4"/>
    <x v="8"/>
    <n v="10"/>
    <n v="15.13"/>
    <n v="0.1"/>
    <n v="6.6"/>
    <x v="1"/>
    <s v="Credit Card"/>
    <x v="2"/>
    <n v="136.17000000000002"/>
  </r>
  <r>
    <s v="ORD-101023"/>
    <s v="16-09-2024"/>
    <x v="223"/>
    <x v="196"/>
    <s v="olivia.moore24@company.co"/>
    <x v="1"/>
    <x v="1"/>
    <x v="4"/>
    <x v="18"/>
    <n v="3"/>
    <n v="29.83"/>
    <n v="0"/>
    <n v="12.79"/>
    <x v="3"/>
    <s v="Credit Card"/>
    <x v="3"/>
    <n v="89.49"/>
  </r>
  <r>
    <s v="ORD-100856"/>
    <s v="2025-05-23"/>
    <x v="125"/>
    <x v="197"/>
    <s v="daniel.thomas47@hotmail.com"/>
    <x v="0"/>
    <x v="8"/>
    <x v="0"/>
    <x v="22"/>
    <n v="5"/>
    <n v="81.44"/>
    <n v="0"/>
    <n v="14.07"/>
    <x v="6"/>
    <s v="Credit Card"/>
    <x v="1"/>
    <n v="407.2"/>
  </r>
  <r>
    <s v="ORD-101111"/>
    <s v="03/26/25"/>
    <x v="159"/>
    <x v="137"/>
    <s v="rohan.miller96@yahoo.com"/>
    <x v="4"/>
    <x v="11"/>
    <x v="0"/>
    <x v="0"/>
    <n v="1"/>
    <n v="39.32"/>
    <n v="0"/>
    <n v="7.99"/>
    <x v="3"/>
    <s v="PayPal"/>
    <x v="0"/>
    <n v="39.32"/>
  </r>
  <r>
    <s v="ORD-100394"/>
    <s v="02/04/2025"/>
    <x v="224"/>
    <x v="96"/>
    <s v="aarav.nair95@outlook.com"/>
    <x v="1"/>
    <x v="1"/>
    <x v="4"/>
    <x v="18"/>
    <n v="1"/>
    <n v="29.9"/>
    <n v="0"/>
    <n v="0.17"/>
    <x v="0"/>
    <s v="Credit Card"/>
    <x v="2"/>
    <n v="29.9"/>
  </r>
  <r>
    <s v="ORD-100216"/>
    <s v="04-05-2024"/>
    <x v="225"/>
    <x v="198"/>
    <s v="Not Known"/>
    <x v="1"/>
    <x v="6"/>
    <x v="5"/>
    <x v="12"/>
    <n v="2"/>
    <n v="12.92"/>
    <n v="0.15"/>
    <n v="9.08"/>
    <x v="2"/>
    <s v="Not Known"/>
    <x v="3"/>
    <n v="21.963999999999999"/>
  </r>
  <r>
    <s v="ORD-100734"/>
    <s v="22-04-2024"/>
    <x v="226"/>
    <x v="152"/>
    <s v="chloe.reddy19@hotmail.com"/>
    <x v="2"/>
    <x v="1"/>
    <x v="4"/>
    <x v="18"/>
    <n v="1"/>
    <n v="29.8"/>
    <n v="0.05"/>
    <n v="3.82"/>
    <x v="5"/>
    <s v="PayPal"/>
    <x v="2"/>
    <n v="28.31"/>
  </r>
  <r>
    <s v="ORD-100253"/>
    <s v="04/27/2025"/>
    <x v="42"/>
    <x v="191"/>
    <s v="Not Known"/>
    <x v="4"/>
    <x v="5"/>
    <x v="0"/>
    <x v="22"/>
    <n v="2"/>
    <n v="83.44"/>
    <n v="0.15"/>
    <n v="4.12"/>
    <x v="7"/>
    <s v="Bank Transfer"/>
    <x v="2"/>
    <n v="141.84799999999998"/>
  </r>
  <r>
    <s v="ORD-100152"/>
    <s v="December 12, 2024"/>
    <x v="227"/>
    <x v="199"/>
    <s v="daniel.davis12@gmail.com"/>
    <x v="4"/>
    <x v="1"/>
    <x v="1"/>
    <x v="7"/>
    <n v="1"/>
    <n v="39.979999999999997"/>
    <n v="0"/>
    <n v="10.57"/>
    <x v="7"/>
    <s v="COD"/>
    <x v="2"/>
    <n v="39.979999999999997"/>
  </r>
  <r>
    <s v="ORD-100194"/>
    <s v="21 Nov 2024"/>
    <x v="191"/>
    <x v="200"/>
    <s v="zara.gupta25@outlook.com"/>
    <x v="1"/>
    <x v="1"/>
    <x v="3"/>
    <x v="21"/>
    <n v="5"/>
    <n v="125.1"/>
    <n v="0.15"/>
    <n v="9.89"/>
    <x v="2"/>
    <s v="Bank Transfer"/>
    <x v="0"/>
    <n v="531.67499999999995"/>
  </r>
  <r>
    <s v="ORD-101249"/>
    <s v="11 Aug 2024"/>
    <x v="228"/>
    <x v="5"/>
    <s v="ava.thomas53@hotmail.com"/>
    <x v="1"/>
    <x v="1"/>
    <x v="1"/>
    <x v="15"/>
    <n v="3"/>
    <n v="9.59"/>
    <n v="0.05"/>
    <n v="1.33"/>
    <x v="1"/>
    <s v="Bank Transfer"/>
    <x v="2"/>
    <n v="27.331499999999998"/>
  </r>
  <r>
    <s v="ORD-100068"/>
    <s v="02/23/24"/>
    <x v="229"/>
    <x v="120"/>
    <s v="advait.thomas33@hotmail.com"/>
    <x v="0"/>
    <x v="8"/>
    <x v="3"/>
    <x v="5"/>
    <n v="4"/>
    <n v="109.58"/>
    <n v="0"/>
    <n v="8.32"/>
    <x v="5"/>
    <s v="COD"/>
    <x v="2"/>
    <n v="438.32"/>
  </r>
  <r>
    <s v="ORD-100504"/>
    <s v="December 22, 2024"/>
    <x v="230"/>
    <x v="201"/>
    <s v="advait.iyer75@outlook.com"/>
    <x v="2"/>
    <x v="2"/>
    <x v="4"/>
    <x v="6"/>
    <n v="1"/>
    <n v="60.62"/>
    <n v="0"/>
    <n v="1.01"/>
    <x v="6"/>
    <s v="Not Known"/>
    <x v="2"/>
    <n v="60.62"/>
  </r>
  <r>
    <s v="ORD-100874"/>
    <s v="20-03-2024"/>
    <x v="231"/>
    <x v="14"/>
    <s v="ava.sharma24@outlook.com"/>
    <x v="1"/>
    <x v="6"/>
    <x v="3"/>
    <x v="11"/>
    <n v="2"/>
    <n v="246.39"/>
    <n v="0.1"/>
    <n v="13.35"/>
    <x v="2"/>
    <s v="Credit Card"/>
    <x v="2"/>
    <n v="443.50200000000001"/>
  </r>
  <r>
    <s v="ORD-101166"/>
    <s v="11/20/2025"/>
    <x v="165"/>
    <x v="202"/>
    <s v="aarav.reddy4@hotmail.com"/>
    <x v="3"/>
    <x v="3"/>
    <x v="1"/>
    <x v="1"/>
    <n v="1"/>
    <n v="35.020000000000003"/>
    <n v="0.05"/>
    <n v="11.6"/>
    <x v="2"/>
    <s v="Credit Card"/>
    <x v="2"/>
    <n v="33.268999999999998"/>
  </r>
  <r>
    <s v="ORD-100895"/>
    <s v="January 28, 2024"/>
    <x v="140"/>
    <x v="203"/>
    <s v="ethan.nair23@hotmail.com"/>
    <x v="2"/>
    <x v="1"/>
    <x v="4"/>
    <x v="18"/>
    <n v="1"/>
    <n v="31.21"/>
    <n v="0.05"/>
    <n v="10.89"/>
    <x v="3"/>
    <s v="Not Known"/>
    <x v="2"/>
    <n v="29.6495"/>
  </r>
  <r>
    <s v="ORD-101208"/>
    <s v="07-03-2024"/>
    <x v="232"/>
    <x v="204"/>
    <s v="mia.harris36@yahoo.com"/>
    <x v="3"/>
    <x v="4"/>
    <x v="2"/>
    <x v="4"/>
    <n v="1"/>
    <n v="6.53"/>
    <n v="0"/>
    <n v="9"/>
    <x v="2"/>
    <s v="Bank Transfer"/>
    <x v="2"/>
    <n v="6.53"/>
  </r>
  <r>
    <s v="ORD-100672"/>
    <s v="03 Jan 2025"/>
    <x v="233"/>
    <x v="205"/>
    <s v="rohan.anderson53@company.co"/>
    <x v="3"/>
    <x v="3"/>
    <x v="3"/>
    <x v="9"/>
    <n v="4"/>
    <n v="88.17"/>
    <n v="0.15"/>
    <n v="13.27"/>
    <x v="4"/>
    <s v="PayPal"/>
    <x v="2"/>
    <n v="299.77800000000002"/>
  </r>
  <r>
    <s v="ORD-100415"/>
    <s v="08/27/2025"/>
    <x v="234"/>
    <x v="162"/>
    <s v="daniel.anderson78@yahoo.com"/>
    <x v="2"/>
    <x v="1"/>
    <x v="3"/>
    <x v="21"/>
    <n v="4"/>
    <n v="130.16"/>
    <n v="0.1"/>
    <n v="8.07"/>
    <x v="3"/>
    <s v="PayPal"/>
    <x v="2"/>
    <n v="468.57600000000002"/>
  </r>
  <r>
    <s v="ORD-100240"/>
    <s v="September 21, 2024"/>
    <x v="235"/>
    <x v="63"/>
    <s v="chloe.sharma67@yahoo.com"/>
    <x v="4"/>
    <x v="1"/>
    <x v="3"/>
    <x v="21"/>
    <n v="2"/>
    <n v="126.98"/>
    <n v="0.05"/>
    <m/>
    <x v="6"/>
    <s v="Debit Card"/>
    <x v="2"/>
    <n v="241.262"/>
  </r>
  <r>
    <s v="ORD-100817"/>
    <s v="23 May 2025"/>
    <x v="125"/>
    <x v="78"/>
    <s v="lily.nair77@outlook.com"/>
    <x v="3"/>
    <x v="7"/>
    <x v="5"/>
    <x v="4"/>
    <n v="1"/>
    <n v="6.38"/>
    <n v="0.1"/>
    <n v="14.85"/>
    <x v="1"/>
    <s v="COD"/>
    <x v="2"/>
    <n v="5.742"/>
  </r>
  <r>
    <s v="ORD-100187"/>
    <s v="2025-06-17"/>
    <x v="236"/>
    <x v="103"/>
    <s v="chloe.clark24@outlook.com"/>
    <x v="2"/>
    <x v="1"/>
    <x v="2"/>
    <x v="10"/>
    <n v="1"/>
    <n v="3.13"/>
    <n v="0.1"/>
    <n v="6.24"/>
    <x v="7"/>
    <s v="Credit Card"/>
    <x v="0"/>
    <n v="2.8170000000000002"/>
  </r>
  <r>
    <s v="ORD-100664"/>
    <s v="06/05/2025"/>
    <x v="237"/>
    <x v="94"/>
    <s v="sophia.clark48@gmail.com"/>
    <x v="0"/>
    <x v="8"/>
    <x v="4"/>
    <x v="12"/>
    <n v="1"/>
    <n v="12.39"/>
    <n v="0.05"/>
    <n v="8.0399999999999991"/>
    <x v="0"/>
    <s v="PayPal"/>
    <x v="2"/>
    <n v="11.7705"/>
  </r>
  <r>
    <s v="ORD-100498"/>
    <s v="26-02-2024"/>
    <x v="238"/>
    <x v="17"/>
    <s v="aarav.jackson11@company.co"/>
    <x v="0"/>
    <x v="0"/>
    <x v="0"/>
    <x v="22"/>
    <n v="1"/>
    <n v="76.42"/>
    <n v="0.1"/>
    <n v="1.61"/>
    <x v="5"/>
    <s v="Not Known"/>
    <x v="3"/>
    <n v="68.778000000000006"/>
  </r>
  <r>
    <s v="ORD-100993"/>
    <s v="18 Dec 2024"/>
    <x v="175"/>
    <x v="58"/>
    <s v="sophia.anderson29@outlook.com"/>
    <x v="3"/>
    <x v="4"/>
    <x v="1"/>
    <x v="13"/>
    <n v="1"/>
    <n v="185.47"/>
    <n v="0.05"/>
    <n v="0"/>
    <x v="5"/>
    <s v="Credit Card"/>
    <x v="2"/>
    <n v="176.19649999999999"/>
  </r>
  <r>
    <s v="ORD-100558"/>
    <s v="February 14, 2025"/>
    <x v="239"/>
    <x v="206"/>
    <s v="sophia.kapoor74@company.co"/>
    <x v="2"/>
    <x v="2"/>
    <x v="3"/>
    <x v="9"/>
    <n v="2"/>
    <n v="88.84"/>
    <n v="0"/>
    <n v="2.5"/>
    <x v="0"/>
    <s v="Bank Transfer"/>
    <x v="2"/>
    <n v="177.68"/>
  </r>
  <r>
    <s v="ORD-100906"/>
    <s v="04/03/24"/>
    <x v="40"/>
    <x v="207"/>
    <s v="ishaan.clark78@outlook.com"/>
    <x v="3"/>
    <x v="4"/>
    <x v="0"/>
    <x v="16"/>
    <n v="3"/>
    <n v="22.83"/>
    <n v="0.05"/>
    <n v="4.63"/>
    <x v="6"/>
    <s v="Bank Transfer"/>
    <x v="0"/>
    <n v="65.065499999999986"/>
  </r>
  <r>
    <s v="ORD-100283"/>
    <s v="April 12, 2025"/>
    <x v="240"/>
    <x v="89"/>
    <s v="noah.sharma13@outlook.com"/>
    <x v="1"/>
    <x v="1"/>
    <x v="4"/>
    <x v="12"/>
    <n v="1"/>
    <n v="12.95"/>
    <n v="0.05"/>
    <n v="0.96"/>
    <x v="5"/>
    <s v="Credit Card"/>
    <x v="2"/>
    <n v="12.302499999999998"/>
  </r>
  <r>
    <s v="ORD-101138"/>
    <s v="07/08/2024"/>
    <x v="241"/>
    <x v="208"/>
    <s v="Not Known"/>
    <x v="1"/>
    <x v="6"/>
    <x v="0"/>
    <x v="0"/>
    <n v="1"/>
    <n v="38.97"/>
    <n v="0.15"/>
    <n v="7.53"/>
    <x v="4"/>
    <s v="COD"/>
    <x v="0"/>
    <n v="33.124499999999998"/>
  </r>
  <r>
    <s v="ORD-101259"/>
    <s v="2024-06-28"/>
    <x v="104"/>
    <x v="111"/>
    <s v="ishaan.taylor76@yahoo.com"/>
    <x v="1"/>
    <x v="1"/>
    <x v="0"/>
    <x v="0"/>
    <n v="1"/>
    <n v="39.53"/>
    <n v="0"/>
    <n v="3.63"/>
    <x v="7"/>
    <s v="COD"/>
    <x v="1"/>
    <n v="39.53"/>
  </r>
  <r>
    <s v="ORD-100452"/>
    <s v="12/21/2025"/>
    <x v="242"/>
    <x v="167"/>
    <s v="ishaan.wilson90@yahoo.com"/>
    <x v="1"/>
    <x v="6"/>
    <x v="2"/>
    <x v="10"/>
    <n v="4"/>
    <n v="3.09"/>
    <n v="0.05"/>
    <n v="10.44"/>
    <x v="7"/>
    <s v="PayPal"/>
    <x v="2"/>
    <n v="11.741999999999999"/>
  </r>
  <r>
    <s v="ORD-100445"/>
    <s v="2025-02-16"/>
    <x v="243"/>
    <x v="56"/>
    <s v="liam.gupta83@yahoo.com"/>
    <x v="4"/>
    <x v="1"/>
    <x v="3"/>
    <x v="11"/>
    <n v="1"/>
    <n v="258.58999999999997"/>
    <n v="0.05"/>
    <n v="10.9"/>
    <x v="6"/>
    <s v="Bank Transfer"/>
    <x v="2"/>
    <n v="245.66049999999996"/>
  </r>
  <r>
    <s v="ORD-100109"/>
    <s v="2025-08-02"/>
    <x v="244"/>
    <x v="209"/>
    <s v="olivia.sharma43@company.co"/>
    <x v="0"/>
    <x v="0"/>
    <x v="1"/>
    <x v="20"/>
    <n v="10"/>
    <n v="18.809999999999999"/>
    <n v="0.05"/>
    <n v="3.45"/>
    <x v="3"/>
    <s v="PayPal"/>
    <x v="2"/>
    <n v="178.69499999999999"/>
  </r>
  <r>
    <s v="ORD-101263"/>
    <s v="November 26, 2024"/>
    <x v="245"/>
    <x v="49"/>
    <s v="arjun.thomas27@company.co"/>
    <x v="4"/>
    <x v="5"/>
    <x v="0"/>
    <x v="22"/>
    <n v="1"/>
    <n v="80.86"/>
    <n v="0.05"/>
    <n v="7.05"/>
    <x v="4"/>
    <s v="Credit Card"/>
    <x v="3"/>
    <n v="76.816999999999993"/>
  </r>
  <r>
    <s v="ORD-100122"/>
    <s v="09 Jul 2024"/>
    <x v="246"/>
    <x v="200"/>
    <s v="zara.gupta55@yahoo.com"/>
    <x v="3"/>
    <x v="3"/>
    <x v="2"/>
    <x v="10"/>
    <n v="1"/>
    <n v="2.98"/>
    <n v="0"/>
    <n v="13.79"/>
    <x v="2"/>
    <s v="Bank Transfer"/>
    <x v="2"/>
    <n v="2.98"/>
  </r>
  <r>
    <s v="ORD-100431"/>
    <s v="April 19, 2025"/>
    <x v="247"/>
    <x v="6"/>
    <s v="ishaan.moore5@hotmail.com"/>
    <x v="1"/>
    <x v="6"/>
    <x v="4"/>
    <x v="8"/>
    <n v="1"/>
    <n v="14.65"/>
    <n v="0.1"/>
    <n v="5.34"/>
    <x v="3"/>
    <s v="PayPal"/>
    <x v="3"/>
    <n v="13.185"/>
  </r>
  <r>
    <s v="ORD-100280"/>
    <s v="02-01-2025"/>
    <x v="248"/>
    <x v="210"/>
    <s v="sophia.sharma69@company.co"/>
    <x v="2"/>
    <x v="1"/>
    <x v="0"/>
    <x v="16"/>
    <n v="1"/>
    <n v="22.45"/>
    <n v="0"/>
    <n v="0.83"/>
    <x v="5"/>
    <s v="PayPal"/>
    <x v="2"/>
    <n v="22.45"/>
  </r>
  <r>
    <s v="ORD-100637"/>
    <s v="02/24/25"/>
    <x v="106"/>
    <x v="208"/>
    <s v="kabir.davis59@outlook.com"/>
    <x v="2"/>
    <x v="2"/>
    <x v="2"/>
    <x v="14"/>
    <n v="1"/>
    <n v="4.16"/>
    <n v="0.1"/>
    <n v="14.81"/>
    <x v="2"/>
    <s v="Not Known"/>
    <x v="0"/>
    <n v="3.7440000000000002"/>
  </r>
  <r>
    <s v="ORD-100698"/>
    <s v="May 27, 2025"/>
    <x v="207"/>
    <x v="210"/>
    <s v="sophia.sharma3@outlook.com"/>
    <x v="3"/>
    <x v="7"/>
    <x v="0"/>
    <x v="22"/>
    <n v="10"/>
    <n v="81.78"/>
    <n v="0"/>
    <n v="2.5099999999999998"/>
    <x v="3"/>
    <s v="Credit Card"/>
    <x v="2"/>
    <n v="817.8"/>
  </r>
  <r>
    <s v="ORD-100845"/>
    <s v="2024-02-07"/>
    <x v="21"/>
    <x v="72"/>
    <s v="chloe.brown30@yahoo.com"/>
    <x v="3"/>
    <x v="4"/>
    <x v="0"/>
    <x v="17"/>
    <n v="5"/>
    <n v="44.13"/>
    <n v="0"/>
    <n v="8.9700000000000006"/>
    <x v="7"/>
    <s v="COD"/>
    <x v="3"/>
    <n v="220.65"/>
  </r>
  <r>
    <s v="ORD-100920"/>
    <s v="11/18/2024"/>
    <x v="249"/>
    <x v="211"/>
    <s v="zara.sharma45@company.co"/>
    <x v="0"/>
    <x v="9"/>
    <x v="4"/>
    <x v="12"/>
    <n v="4"/>
    <n v="13.29"/>
    <n v="0.05"/>
    <n v="0"/>
    <x v="0"/>
    <s v="COD"/>
    <x v="0"/>
    <n v="50.501999999999995"/>
  </r>
  <r>
    <s v="ORD-101325"/>
    <s v="31-01-2025"/>
    <x v="215"/>
    <x v="4"/>
    <s v="ethan.johnson3@yahoo.com"/>
    <x v="0"/>
    <x v="9"/>
    <x v="0"/>
    <x v="16"/>
    <n v="1"/>
    <n v="22.43"/>
    <n v="0"/>
    <n v="0.5"/>
    <x v="3"/>
    <s v="COD"/>
    <x v="2"/>
    <n v="22.43"/>
  </r>
  <r>
    <s v="ORD-100735"/>
    <s v="06/26/2025"/>
    <x v="250"/>
    <x v="13"/>
    <s v="kabir.wilson74@hotmail.com"/>
    <x v="0"/>
    <x v="8"/>
    <x v="1"/>
    <x v="19"/>
    <n v="2"/>
    <n v="26.14"/>
    <n v="0.1"/>
    <n v="7.92"/>
    <x v="2"/>
    <s v="Credit Card"/>
    <x v="0"/>
    <n v="47.052"/>
  </r>
  <r>
    <s v="ORD-101048"/>
    <s v="04/07/25"/>
    <x v="251"/>
    <x v="212"/>
    <s v="kabir.iyer97@company.co"/>
    <x v="1"/>
    <x v="6"/>
    <x v="4"/>
    <x v="12"/>
    <n v="10"/>
    <n v="12.72"/>
    <n v="0"/>
    <n v="6.23"/>
    <x v="7"/>
    <s v="Not Known"/>
    <x v="2"/>
    <n v="127.2"/>
  </r>
  <r>
    <s v="ORD-101011"/>
    <s v="17 Jul 2025"/>
    <x v="252"/>
    <x v="140"/>
    <s v="noah.brown98@company.co"/>
    <x v="1"/>
    <x v="1"/>
    <x v="5"/>
    <x v="12"/>
    <n v="2"/>
    <n v="13.4"/>
    <n v="0"/>
    <n v="10.69"/>
    <x v="1"/>
    <s v="Credit Card"/>
    <x v="0"/>
    <n v="26.8"/>
  </r>
  <r>
    <s v="ORD-100326"/>
    <s v="26 Mar 2025"/>
    <x v="159"/>
    <x v="213"/>
    <s v="grace.miller36@yahoo.com"/>
    <x v="4"/>
    <x v="1"/>
    <x v="3"/>
    <x v="9"/>
    <n v="4"/>
    <n v="91.96"/>
    <n v="0.05"/>
    <n v="0.84"/>
    <x v="4"/>
    <s v="COD"/>
    <x v="2"/>
    <n v="349.44799999999998"/>
  </r>
  <r>
    <s v="ORD-101089"/>
    <s v="2024-11-05"/>
    <x v="253"/>
    <x v="214"/>
    <s v="olivia.anderson33@outlook.com"/>
    <x v="1"/>
    <x v="1"/>
    <x v="1"/>
    <x v="13"/>
    <n v="3"/>
    <n v="189.93"/>
    <n v="0.1"/>
    <n v="4.9000000000000004"/>
    <x v="3"/>
    <s v="Bank Transfer"/>
    <x v="3"/>
    <n v="512.81100000000004"/>
  </r>
  <r>
    <s v="ORD-100067"/>
    <s v="March 30, 2025"/>
    <x v="254"/>
    <x v="163"/>
    <s v="lily.davis31@outlook.com"/>
    <x v="3"/>
    <x v="4"/>
    <x v="3"/>
    <x v="11"/>
    <n v="1"/>
    <n v="251.42"/>
    <n v="0"/>
    <n v="11.76"/>
    <x v="1"/>
    <s v="Bank Transfer"/>
    <x v="2"/>
    <n v="251.42"/>
  </r>
  <r>
    <s v="ORD-100518"/>
    <s v="09/27/2024"/>
    <x v="255"/>
    <x v="215"/>
    <s v="kabir.nair42@outlook.com"/>
    <x v="3"/>
    <x v="7"/>
    <x v="0"/>
    <x v="16"/>
    <n v="3"/>
    <n v="21.46"/>
    <n v="0.1"/>
    <n v="6.6"/>
    <x v="3"/>
    <s v="Credit Card"/>
    <x v="0"/>
    <n v="57.942"/>
  </r>
  <r>
    <s v="ORD-100396"/>
    <s v="10/01/2025"/>
    <x v="256"/>
    <x v="216"/>
    <s v="olivia.thomas25@outlook.com"/>
    <x v="1"/>
    <x v="6"/>
    <x v="2"/>
    <x v="4"/>
    <n v="1"/>
    <n v="6.32"/>
    <n v="0"/>
    <n v="6.42"/>
    <x v="1"/>
    <s v="Credit Card"/>
    <x v="2"/>
    <n v="6.32"/>
  </r>
  <r>
    <s v="ORD-100751"/>
    <s v="June 23, 2024"/>
    <x v="257"/>
    <x v="131"/>
    <s v="sophia.gupta38@company.co"/>
    <x v="2"/>
    <x v="1"/>
    <x v="4"/>
    <x v="18"/>
    <n v="4"/>
    <n v="30.07"/>
    <n v="0.1"/>
    <n v="10"/>
    <x v="0"/>
    <s v="Debit Card"/>
    <x v="3"/>
    <n v="108.25200000000001"/>
  </r>
  <r>
    <s v="ORD-100546"/>
    <s v="10/13/2024"/>
    <x v="258"/>
    <x v="217"/>
    <s v="ella.miller28@yahoo.com"/>
    <x v="4"/>
    <x v="11"/>
    <x v="5"/>
    <x v="8"/>
    <n v="2"/>
    <n v="14.8"/>
    <n v="0"/>
    <n v="1.9"/>
    <x v="7"/>
    <s v="PayPal"/>
    <x v="3"/>
    <n v="29.6"/>
  </r>
  <r>
    <s v="ORD-100752"/>
    <s v="03-02-2025"/>
    <x v="259"/>
    <x v="113"/>
    <s v="ishaan.brown6@gmail.com"/>
    <x v="4"/>
    <x v="1"/>
    <x v="4"/>
    <x v="18"/>
    <n v="10"/>
    <n v="29.59"/>
    <n v="0.1"/>
    <n v="5.32"/>
    <x v="4"/>
    <s v="Not Known"/>
    <x v="3"/>
    <n v="266.31"/>
  </r>
  <r>
    <s v="ORD-101357"/>
    <s v="12/21/2024"/>
    <x v="260"/>
    <x v="52"/>
    <s v="arjun.sharma89@hotmail.com"/>
    <x v="2"/>
    <x v="2"/>
    <x v="0"/>
    <x v="0"/>
    <n v="2"/>
    <n v="40.479999999999997"/>
    <n v="0.1"/>
    <n v="10.41"/>
    <x v="4"/>
    <s v="Debit Card"/>
    <x v="2"/>
    <n v="72.86399999999999"/>
  </r>
  <r>
    <s v="ORD-100318"/>
    <s v="10-01-2025"/>
    <x v="261"/>
    <x v="218"/>
    <s v="Not Known"/>
    <x v="4"/>
    <x v="1"/>
    <x v="4"/>
    <x v="8"/>
    <n v="1"/>
    <n v="14.99"/>
    <n v="0.15"/>
    <n v="0.4"/>
    <x v="4"/>
    <s v="Debit Card"/>
    <x v="2"/>
    <n v="12.7415"/>
  </r>
  <r>
    <s v="ORD-100739"/>
    <s v="March 31, 2024"/>
    <x v="262"/>
    <x v="219"/>
    <s v="aarav.white13@company.co"/>
    <x v="3"/>
    <x v="4"/>
    <x v="2"/>
    <x v="4"/>
    <n v="10"/>
    <n v="6.48"/>
    <n v="0"/>
    <n v="8.64"/>
    <x v="6"/>
    <s v="Debit Card"/>
    <x v="0"/>
    <n v="64.800000000000011"/>
  </r>
  <r>
    <s v="ORD-100960"/>
    <s v="14 Jan 2025"/>
    <x v="263"/>
    <x v="220"/>
    <s v="kabir.kapoor75@hotmail.com"/>
    <x v="1"/>
    <x v="6"/>
    <x v="0"/>
    <x v="22"/>
    <n v="2"/>
    <n v="83.23"/>
    <n v="0.1"/>
    <n v="13.15"/>
    <x v="3"/>
    <s v="PayPal"/>
    <x v="0"/>
    <n v="149.81400000000002"/>
  </r>
  <r>
    <s v="ORD-101044"/>
    <s v="April 12, 2024"/>
    <x v="264"/>
    <x v="221"/>
    <s v="lily.johnson44@gmail.com"/>
    <x v="2"/>
    <x v="1"/>
    <x v="4"/>
    <x v="18"/>
    <n v="2"/>
    <n v="30.86"/>
    <n v="0"/>
    <n v="14.97"/>
    <x v="3"/>
    <s v="Bank Transfer"/>
    <x v="2"/>
    <n v="61.72"/>
  </r>
  <r>
    <s v="ORD-100501"/>
    <s v="23-10-2024"/>
    <x v="156"/>
    <x v="15"/>
    <s v="noah.wilson62@hotmail.com"/>
    <x v="3"/>
    <x v="4"/>
    <x v="4"/>
    <x v="12"/>
    <n v="1"/>
    <n v="12.9"/>
    <n v="0"/>
    <n v="8.83"/>
    <x v="4"/>
    <s v="COD"/>
    <x v="3"/>
    <n v="12.9"/>
  </r>
  <r>
    <s v="ORD-100132"/>
    <s v="10-09-2024"/>
    <x v="265"/>
    <x v="48"/>
    <s v="emma.clark18@company.co"/>
    <x v="4"/>
    <x v="11"/>
    <x v="0"/>
    <x v="16"/>
    <n v="1"/>
    <n v="23.31"/>
    <n v="0"/>
    <n v="0"/>
    <x v="0"/>
    <s v="Not Known"/>
    <x v="2"/>
    <n v="23.31"/>
  </r>
  <r>
    <s v="ORD-100651"/>
    <s v="2025-11-25"/>
    <x v="266"/>
    <x v="176"/>
    <s v="liam.taylor78@outlook.com"/>
    <x v="1"/>
    <x v="6"/>
    <x v="1"/>
    <x v="1"/>
    <n v="5"/>
    <n v="35.92"/>
    <n v="0"/>
    <m/>
    <x v="3"/>
    <s v="PayPal"/>
    <x v="2"/>
    <n v="179.60000000000002"/>
  </r>
  <r>
    <s v="ORD-101183"/>
    <s v="19 Nov 2025"/>
    <x v="267"/>
    <x v="162"/>
    <s v="daniel.anderson47@yahoo.com"/>
    <x v="2"/>
    <x v="1"/>
    <x v="3"/>
    <x v="21"/>
    <n v="1"/>
    <n v="132.94"/>
    <n v="0.1"/>
    <n v="5.79"/>
    <x v="3"/>
    <s v="Debit Card"/>
    <x v="3"/>
    <n v="119.646"/>
  </r>
  <r>
    <s v="ORD-100467"/>
    <s v="17 Dec 2025"/>
    <x v="268"/>
    <x v="222"/>
    <s v="zara.anderson16@outlook.com"/>
    <x v="4"/>
    <x v="11"/>
    <x v="2"/>
    <x v="10"/>
    <n v="1"/>
    <n v="3.01"/>
    <n v="0"/>
    <n v="6.21"/>
    <x v="4"/>
    <s v="PayPal"/>
    <x v="2"/>
    <n v="3.01"/>
  </r>
  <r>
    <s v="ORD-100407"/>
    <s v="10/22/24"/>
    <x v="269"/>
    <x v="223"/>
    <s v="aarav.brown84@company.co"/>
    <x v="4"/>
    <x v="5"/>
    <x v="2"/>
    <x v="3"/>
    <n v="1"/>
    <n v="7.96"/>
    <n v="0.05"/>
    <n v="5.62"/>
    <x v="2"/>
    <s v="Credit Card"/>
    <x v="2"/>
    <n v="7.5619999999999994"/>
  </r>
  <r>
    <s v="ORD-101242"/>
    <s v="16-01-2025"/>
    <x v="270"/>
    <x v="18"/>
    <s v="noah.reddy4@company.co"/>
    <x v="1"/>
    <x v="6"/>
    <x v="2"/>
    <x v="3"/>
    <n v="4"/>
    <n v="7.6"/>
    <n v="0"/>
    <n v="1.48"/>
    <x v="3"/>
    <s v="COD"/>
    <x v="3"/>
    <n v="30.4"/>
  </r>
  <r>
    <s v="ORD-101145"/>
    <s v="06/09/24"/>
    <x v="271"/>
    <x v="224"/>
    <s v="ethan.white11@gmail.com"/>
    <x v="3"/>
    <x v="3"/>
    <x v="0"/>
    <x v="22"/>
    <n v="2"/>
    <n v="81.97"/>
    <n v="0.05"/>
    <n v="10.47"/>
    <x v="7"/>
    <s v="Credit Card"/>
    <x v="2"/>
    <n v="155.74299999999999"/>
  </r>
  <r>
    <s v="ORD-100125"/>
    <s v="08/30/2024"/>
    <x v="272"/>
    <x v="157"/>
    <s v="olivia.jackson16@gmail.com"/>
    <x v="2"/>
    <x v="1"/>
    <x v="4"/>
    <x v="12"/>
    <n v="2"/>
    <n v="13.3"/>
    <n v="0.1"/>
    <n v="10.34"/>
    <x v="7"/>
    <s v="Credit Card"/>
    <x v="2"/>
    <n v="23.94"/>
  </r>
  <r>
    <s v="ORD-101088"/>
    <s v="January 09, 2025"/>
    <x v="273"/>
    <x v="225"/>
    <s v="noah.thomas9@yahoo.com"/>
    <x v="1"/>
    <x v="1"/>
    <x v="3"/>
    <x v="5"/>
    <n v="2"/>
    <n v="104.84"/>
    <n v="0.05"/>
    <n v="0"/>
    <x v="4"/>
    <s v="Credit Card"/>
    <x v="2"/>
    <n v="199.196"/>
  </r>
  <r>
    <s v="ORD-101232"/>
    <s v="March 22, 2025"/>
    <x v="274"/>
    <x v="132"/>
    <s v="kabir.miller32@yahoo.com"/>
    <x v="2"/>
    <x v="1"/>
    <x v="1"/>
    <x v="1"/>
    <n v="1"/>
    <n v="34.4"/>
    <n v="0.1"/>
    <n v="11.93"/>
    <x v="6"/>
    <s v="COD"/>
    <x v="2"/>
    <n v="30.96"/>
  </r>
  <r>
    <s v="ORD-101121"/>
    <s v="01/01/2025"/>
    <x v="46"/>
    <x v="226"/>
    <s v="emma.taylor5@outlook.com"/>
    <x v="0"/>
    <x v="8"/>
    <x v="4"/>
    <x v="6"/>
    <n v="1"/>
    <n v="58.41"/>
    <n v="0.05"/>
    <n v="0"/>
    <x v="3"/>
    <s v="Bank Transfer"/>
    <x v="2"/>
    <n v="55.489499999999992"/>
  </r>
  <r>
    <s v="ORD-101331"/>
    <s v="2025-03-22"/>
    <x v="274"/>
    <x v="153"/>
    <s v="kabir.brown86@company.co"/>
    <x v="3"/>
    <x v="4"/>
    <x v="0"/>
    <x v="22"/>
    <n v="4"/>
    <n v="77.66"/>
    <n v="0"/>
    <n v="3.37"/>
    <x v="4"/>
    <s v="COD"/>
    <x v="2"/>
    <n v="310.64"/>
  </r>
  <r>
    <s v="ORD-100760"/>
    <s v="02/13/2024"/>
    <x v="275"/>
    <x v="227"/>
    <s v="olivia.kapoor3@yahoo.com"/>
    <x v="2"/>
    <x v="2"/>
    <x v="1"/>
    <x v="7"/>
    <n v="4"/>
    <n v="40.9"/>
    <n v="0.1"/>
    <n v="7.8"/>
    <x v="1"/>
    <s v="PayPal"/>
    <x v="1"/>
    <n v="147.24"/>
  </r>
  <r>
    <s v="ORD-100289"/>
    <s v="26-07-2024"/>
    <x v="276"/>
    <x v="160"/>
    <s v="ethan.anderson35@yahoo.com"/>
    <x v="1"/>
    <x v="6"/>
    <x v="1"/>
    <x v="13"/>
    <n v="5"/>
    <n v="183.24"/>
    <n v="0"/>
    <n v="0"/>
    <x v="6"/>
    <s v="PayPal"/>
    <x v="2"/>
    <n v="916.2"/>
  </r>
  <r>
    <s v="ORD-100019"/>
    <s v="11/24/25"/>
    <x v="114"/>
    <x v="68"/>
    <s v="daniel.reddy49@yahoo.com"/>
    <x v="1"/>
    <x v="6"/>
    <x v="1"/>
    <x v="1"/>
    <n v="2"/>
    <n v="36.39"/>
    <n v="0.1"/>
    <n v="4.51"/>
    <x v="6"/>
    <s v="PayPal"/>
    <x v="3"/>
    <n v="65.50200000000001"/>
  </r>
  <r>
    <s v="ORD-100946"/>
    <s v="2024-08-14"/>
    <x v="277"/>
    <x v="228"/>
    <s v="ella.davis99@outlook.com"/>
    <x v="4"/>
    <x v="1"/>
    <x v="4"/>
    <x v="6"/>
    <n v="1"/>
    <n v="58.73"/>
    <n v="0"/>
    <n v="8.6"/>
    <x v="1"/>
    <s v="Not Known"/>
    <x v="2"/>
    <n v="58.73"/>
  </r>
  <r>
    <s v="ORD-100918"/>
    <s v="2025-01-10"/>
    <x v="261"/>
    <x v="229"/>
    <s v="ishaan.johnson69@gmail.com"/>
    <x v="4"/>
    <x v="5"/>
    <x v="4"/>
    <x v="6"/>
    <n v="5"/>
    <n v="62.33"/>
    <n v="0.1"/>
    <n v="8.39"/>
    <x v="0"/>
    <s v="Debit Card"/>
    <x v="1"/>
    <n v="280.48500000000001"/>
  </r>
  <r>
    <s v="ORD-100053"/>
    <s v="2024-02-01"/>
    <x v="278"/>
    <x v="36"/>
    <s v="rohan.kapoor83@hotmail.com"/>
    <x v="2"/>
    <x v="1"/>
    <x v="1"/>
    <x v="13"/>
    <n v="10"/>
    <n v="189.01"/>
    <n v="0"/>
    <n v="6.39"/>
    <x v="5"/>
    <s v="Debit Card"/>
    <x v="2"/>
    <n v="1890.1"/>
  </r>
  <r>
    <s v="ORD-101392"/>
    <s v="2025-11-13"/>
    <x v="279"/>
    <x v="24"/>
    <s v="Not Known"/>
    <x v="3"/>
    <x v="7"/>
    <x v="0"/>
    <x v="0"/>
    <n v="1"/>
    <n v="39.44"/>
    <n v="0"/>
    <n v="12.29"/>
    <x v="6"/>
    <s v="Credit Card"/>
    <x v="0"/>
    <n v="39.44"/>
  </r>
  <r>
    <s v="ORD-101338"/>
    <s v="04 Jul 2025"/>
    <x v="280"/>
    <x v="210"/>
    <s v="sophia.sharma57@yahoo.com"/>
    <x v="0"/>
    <x v="9"/>
    <x v="1"/>
    <x v="13"/>
    <n v="4"/>
    <n v="195.96"/>
    <n v="0.1"/>
    <n v="8.98"/>
    <x v="5"/>
    <s v="Credit Card"/>
    <x v="2"/>
    <n v="705.45600000000002"/>
  </r>
  <r>
    <s v="ORD-101134"/>
    <s v="08-03-2024"/>
    <x v="281"/>
    <x v="94"/>
    <s v="sophia.clark30@company.co"/>
    <x v="0"/>
    <x v="10"/>
    <x v="3"/>
    <x v="5"/>
    <n v="10"/>
    <n v="109.79"/>
    <n v="0"/>
    <n v="10.97"/>
    <x v="5"/>
    <s v="PayPal"/>
    <x v="2"/>
    <n v="1097.9000000000001"/>
  </r>
  <r>
    <s v="ORD-101072"/>
    <s v="23 May 2025"/>
    <x v="125"/>
    <x v="230"/>
    <s v="liam.miller7@company.co"/>
    <x v="0"/>
    <x v="9"/>
    <x v="4"/>
    <x v="8"/>
    <n v="3"/>
    <n v="14.43"/>
    <n v="0.05"/>
    <n v="2.54"/>
    <x v="3"/>
    <s v="PayPal"/>
    <x v="2"/>
    <n v="41.125499999999995"/>
  </r>
  <r>
    <s v="ORD-100040"/>
    <s v="04/28/2025"/>
    <x v="282"/>
    <x v="186"/>
    <s v="noah.white62@outlook.com"/>
    <x v="1"/>
    <x v="6"/>
    <x v="1"/>
    <x v="15"/>
    <n v="5"/>
    <n v="9.9700000000000006"/>
    <n v="0"/>
    <n v="5.75"/>
    <x v="2"/>
    <s v="Not Known"/>
    <x v="2"/>
    <n v="49.85"/>
  </r>
  <r>
    <s v="ORD-100339"/>
    <s v="08 Sep 2025"/>
    <x v="170"/>
    <x v="229"/>
    <s v="ishaan.johnson71@gmail.com"/>
    <x v="2"/>
    <x v="1"/>
    <x v="3"/>
    <x v="21"/>
    <n v="3"/>
    <n v="131.01"/>
    <n v="0"/>
    <n v="2.67"/>
    <x v="7"/>
    <s v="Credit Card"/>
    <x v="2"/>
    <n v="393.03"/>
  </r>
  <r>
    <s v="ORD-100660"/>
    <s v="2024-05-06"/>
    <x v="30"/>
    <x v="118"/>
    <s v="ishaan.nair3@yahoo.com"/>
    <x v="3"/>
    <x v="4"/>
    <x v="4"/>
    <x v="8"/>
    <n v="5"/>
    <n v="14.41"/>
    <n v="0.1"/>
    <n v="7.16"/>
    <x v="2"/>
    <s v="PayPal"/>
    <x v="1"/>
    <n v="64.844999999999999"/>
  </r>
  <r>
    <s v="ORD-100820"/>
    <s v="September 21, 2025"/>
    <x v="10"/>
    <x v="151"/>
    <s v="emma.harris90@yahoo.com"/>
    <x v="4"/>
    <x v="1"/>
    <x v="4"/>
    <x v="12"/>
    <n v="1"/>
    <n v="13.43"/>
    <n v="0.1"/>
    <n v="13.27"/>
    <x v="3"/>
    <s v="Credit Card"/>
    <x v="2"/>
    <n v="12.087"/>
  </r>
  <r>
    <s v="ORD-101084"/>
    <s v="2025-08-23"/>
    <x v="283"/>
    <x v="69"/>
    <s v="grace.iyer28@hotmail.com"/>
    <x v="2"/>
    <x v="1"/>
    <x v="4"/>
    <x v="12"/>
    <n v="10"/>
    <n v="12.82"/>
    <n v="0"/>
    <n v="2.4700000000000002"/>
    <x v="1"/>
    <s v="COD"/>
    <x v="2"/>
    <n v="128.19999999999999"/>
  </r>
  <r>
    <s v="ORD-100450"/>
    <s v="10 Mar 2025"/>
    <x v="110"/>
    <x v="176"/>
    <s v="liam.taylor64@company.co"/>
    <x v="2"/>
    <x v="2"/>
    <x v="1"/>
    <x v="20"/>
    <n v="2"/>
    <n v="19.14"/>
    <n v="0"/>
    <n v="9.0299999999999994"/>
    <x v="4"/>
    <s v="Credit Card"/>
    <x v="2"/>
    <n v="38.28"/>
  </r>
  <r>
    <s v="ORD-100083"/>
    <s v="21-02-2024"/>
    <x v="284"/>
    <x v="226"/>
    <s v="emma.taylor13@company.co"/>
    <x v="0"/>
    <x v="0"/>
    <x v="3"/>
    <x v="5"/>
    <n v="10"/>
    <n v="105.94"/>
    <n v="0"/>
    <n v="6.27"/>
    <x v="2"/>
    <s v="Not Known"/>
    <x v="0"/>
    <n v="1059.4000000000001"/>
  </r>
  <r>
    <s v="ORD-100115"/>
    <s v="May 17, 2025"/>
    <x v="285"/>
    <x v="199"/>
    <s v="daniel.davis82@outlook.com"/>
    <x v="0"/>
    <x v="9"/>
    <x v="4"/>
    <x v="18"/>
    <n v="2"/>
    <n v="29.39"/>
    <n v="0.05"/>
    <n v="5.64"/>
    <x v="7"/>
    <s v="PayPal"/>
    <x v="2"/>
    <n v="55.841000000000001"/>
  </r>
  <r>
    <s v="ORD-101287"/>
    <s v="2024-04-15"/>
    <x v="86"/>
    <x v="231"/>
    <s v="daniel.gupta80@outlook.com"/>
    <x v="4"/>
    <x v="5"/>
    <x v="1"/>
    <x v="15"/>
    <n v="1"/>
    <n v="9.41"/>
    <n v="0.1"/>
    <n v="13.77"/>
    <x v="7"/>
    <s v="COD"/>
    <x v="1"/>
    <n v="8.4690000000000012"/>
  </r>
  <r>
    <s v="ORD-100927"/>
    <s v="May 26, 2025"/>
    <x v="286"/>
    <x v="232"/>
    <s v="mia.moore67@gmail.com"/>
    <x v="4"/>
    <x v="5"/>
    <x v="1"/>
    <x v="1"/>
    <n v="2"/>
    <n v="35.130000000000003"/>
    <n v="0.1"/>
    <n v="4.96"/>
    <x v="0"/>
    <s v="Debit Card"/>
    <x v="2"/>
    <n v="63.234000000000009"/>
  </r>
  <r>
    <s v="ORD-100372"/>
    <s v="March 06, 2025"/>
    <x v="208"/>
    <x v="233"/>
    <s v="Not Known"/>
    <x v="1"/>
    <x v="6"/>
    <x v="4"/>
    <x v="8"/>
    <n v="5"/>
    <n v="14.43"/>
    <n v="0.05"/>
    <n v="5.88"/>
    <x v="4"/>
    <s v="Credit Card"/>
    <x v="2"/>
    <n v="68.542500000000004"/>
  </r>
  <r>
    <s v="ORD-101264"/>
    <s v="09/17/25"/>
    <x v="196"/>
    <x v="234"/>
    <s v="noah.harris95@outlook.com"/>
    <x v="2"/>
    <x v="1"/>
    <x v="1"/>
    <x v="20"/>
    <n v="3"/>
    <n v="19.489999999999998"/>
    <n v="0.1"/>
    <n v="7.75"/>
    <x v="7"/>
    <s v="Debit Card"/>
    <x v="2"/>
    <n v="52.622999999999998"/>
  </r>
  <r>
    <s v="ORD-101095"/>
    <s v="2025-09-29"/>
    <x v="287"/>
    <x v="4"/>
    <s v="ethan.johnson78@company.co"/>
    <x v="2"/>
    <x v="2"/>
    <x v="1"/>
    <x v="7"/>
    <n v="3"/>
    <n v="43.44"/>
    <n v="0"/>
    <n v="3.32"/>
    <x v="6"/>
    <s v="Credit Card"/>
    <x v="1"/>
    <n v="130.32"/>
  </r>
  <r>
    <s v="ORD-100270"/>
    <s v="04 Aug 2025"/>
    <x v="288"/>
    <x v="206"/>
    <s v="sophia.kapoor5@hotmail.com"/>
    <x v="3"/>
    <x v="7"/>
    <x v="3"/>
    <x v="11"/>
    <n v="1"/>
    <n v="241.18"/>
    <n v="0.05"/>
    <n v="8.6999999999999993"/>
    <x v="5"/>
    <s v="Credit Card"/>
    <x v="2"/>
    <n v="229.12100000000001"/>
  </r>
  <r>
    <s v="ORD-101027"/>
    <s v="2025-09-26"/>
    <x v="289"/>
    <x v="235"/>
    <s v="ava.davis31@outlook.com"/>
    <x v="3"/>
    <x v="4"/>
    <x v="1"/>
    <x v="19"/>
    <n v="1"/>
    <n v="26.15"/>
    <n v="0"/>
    <n v="8.59"/>
    <x v="6"/>
    <s v="Bank Transfer"/>
    <x v="2"/>
    <n v="26.15"/>
  </r>
  <r>
    <s v="ORD-101211"/>
    <s v="13 Mar 2025"/>
    <x v="290"/>
    <x v="236"/>
    <s v="grace.anderson63@gmail.com"/>
    <x v="3"/>
    <x v="3"/>
    <x v="3"/>
    <x v="11"/>
    <n v="2"/>
    <n v="253.16"/>
    <n v="0.05"/>
    <n v="7.64"/>
    <x v="3"/>
    <s v="Debit Card"/>
    <x v="2"/>
    <n v="481.00399999999996"/>
  </r>
  <r>
    <s v="ORD-100540"/>
    <s v="02-04-2025"/>
    <x v="27"/>
    <x v="237"/>
    <s v="ella.brown30@gmail.com"/>
    <x v="3"/>
    <x v="7"/>
    <x v="3"/>
    <x v="11"/>
    <n v="4"/>
    <n v="246.07"/>
    <n v="0.15"/>
    <n v="9.64"/>
    <x v="4"/>
    <s v="Credit Card"/>
    <x v="2"/>
    <n v="836.63799999999992"/>
  </r>
  <r>
    <s v="ORD-100770"/>
    <s v="2025-09-13"/>
    <x v="291"/>
    <x v="174"/>
    <s v="olivia.williams81@outlook.com"/>
    <x v="1"/>
    <x v="1"/>
    <x v="1"/>
    <x v="20"/>
    <n v="3"/>
    <n v="19.309999999999999"/>
    <n v="0"/>
    <n v="0.81"/>
    <x v="7"/>
    <s v="Not Known"/>
    <x v="2"/>
    <n v="57.929999999999993"/>
  </r>
  <r>
    <s v="ORD-100500"/>
    <s v="2025-02-04"/>
    <x v="224"/>
    <x v="183"/>
    <s v="sophia.miller57@gmail.com"/>
    <x v="3"/>
    <x v="3"/>
    <x v="1"/>
    <x v="20"/>
    <n v="10"/>
    <n v="18.329999999999998"/>
    <n v="0"/>
    <n v="7.26"/>
    <x v="2"/>
    <s v="Not Known"/>
    <x v="2"/>
    <n v="183.29999999999998"/>
  </r>
  <r>
    <s v="ORD-100096"/>
    <s v="08/11/2024"/>
    <x v="228"/>
    <x v="238"/>
    <s v="lily.anderson86@company.co"/>
    <x v="0"/>
    <x v="0"/>
    <x v="2"/>
    <x v="14"/>
    <n v="1"/>
    <n v="4.4400000000000004"/>
    <n v="0.05"/>
    <n v="13.1"/>
    <x v="5"/>
    <s v="Bank Transfer"/>
    <x v="2"/>
    <n v="4.218"/>
  </r>
  <r>
    <s v="ORD-100781"/>
    <s v="03-04-2024"/>
    <x v="40"/>
    <x v="181"/>
    <s v="advait.jackson57@gmail.com"/>
    <x v="3"/>
    <x v="4"/>
    <x v="1"/>
    <x v="1"/>
    <n v="5"/>
    <n v="33.53"/>
    <n v="0"/>
    <n v="8.16"/>
    <x v="3"/>
    <s v="Debit Card"/>
    <x v="2"/>
    <n v="167.65"/>
  </r>
  <r>
    <s v="ORD-101324"/>
    <s v="08/11/2025"/>
    <x v="292"/>
    <x v="239"/>
    <s v="ethan.harris50@outlook.com"/>
    <x v="2"/>
    <x v="1"/>
    <x v="4"/>
    <x v="18"/>
    <n v="10"/>
    <n v="28.62"/>
    <n v="0"/>
    <n v="12.41"/>
    <x v="2"/>
    <s v="Debit Card"/>
    <x v="3"/>
    <n v="286.2"/>
  </r>
  <r>
    <s v="ORD-101370"/>
    <s v="April 20, 2024"/>
    <x v="102"/>
    <x v="210"/>
    <s v="sophia.sharma62@company.co"/>
    <x v="3"/>
    <x v="7"/>
    <x v="3"/>
    <x v="11"/>
    <n v="5"/>
    <n v="242.53"/>
    <n v="0.05"/>
    <n v="6.24"/>
    <x v="4"/>
    <s v="PayPal"/>
    <x v="2"/>
    <n v="1152.0174999999999"/>
  </r>
  <r>
    <s v="ORD-100048"/>
    <s v="2025-01-09"/>
    <x v="273"/>
    <x v="56"/>
    <s v="liam.gupta72@company.co"/>
    <x v="0"/>
    <x v="9"/>
    <x v="4"/>
    <x v="8"/>
    <n v="1"/>
    <n v="15.37"/>
    <n v="0.05"/>
    <n v="3.97"/>
    <x v="5"/>
    <s v="Debit Card"/>
    <x v="0"/>
    <n v="14.601499999999998"/>
  </r>
  <r>
    <s v="ORD-101298"/>
    <s v="01-05-2025"/>
    <x v="293"/>
    <x v="138"/>
    <s v="ella.wilson74@outlook.com"/>
    <x v="2"/>
    <x v="2"/>
    <x v="4"/>
    <x v="12"/>
    <n v="2"/>
    <n v="13.13"/>
    <n v="0.15"/>
    <n v="0"/>
    <x v="4"/>
    <s v="COD"/>
    <x v="2"/>
    <n v="22.321000000000002"/>
  </r>
  <r>
    <s v="ORD-101080"/>
    <s v="2025-07-28"/>
    <x v="294"/>
    <x v="18"/>
    <s v="noah.reddy44@hotmail.com"/>
    <x v="1"/>
    <x v="1"/>
    <x v="0"/>
    <x v="22"/>
    <n v="1"/>
    <n v="82.91"/>
    <n v="0.05"/>
    <n v="5.99"/>
    <x v="2"/>
    <s v="COD"/>
    <x v="2"/>
    <n v="78.764499999999998"/>
  </r>
  <r>
    <s v="ORD-100153"/>
    <s v="August 08, 2025"/>
    <x v="295"/>
    <x v="82"/>
    <s v="Not Known"/>
    <x v="3"/>
    <x v="10"/>
    <x v="1"/>
    <x v="20"/>
    <n v="4"/>
    <n v="18.670000000000002"/>
    <n v="0"/>
    <n v="0.82"/>
    <x v="6"/>
    <s v="Debit Card"/>
    <x v="2"/>
    <n v="74.680000000000007"/>
  </r>
  <r>
    <s v="ORD-100237"/>
    <s v="18-03-2025"/>
    <x v="56"/>
    <x v="166"/>
    <s v="olivia.reddy29@hotmail.com"/>
    <x v="3"/>
    <x v="7"/>
    <x v="0"/>
    <x v="0"/>
    <n v="2"/>
    <n v="39.299999999999997"/>
    <n v="0"/>
    <n v="1.98"/>
    <x v="5"/>
    <s v="Debit Card"/>
    <x v="2"/>
    <n v="78.599999999999994"/>
  </r>
  <r>
    <s v="ORD-100054"/>
    <s v="04/11/24"/>
    <x v="296"/>
    <x v="68"/>
    <s v="daniel.reddy56@company.co"/>
    <x v="1"/>
    <x v="6"/>
    <x v="0"/>
    <x v="0"/>
    <n v="1"/>
    <n v="38.25"/>
    <n v="0"/>
    <n v="9.76"/>
    <x v="1"/>
    <s v="Debit Card"/>
    <x v="2"/>
    <n v="38.25"/>
  </r>
  <r>
    <s v="ORD-100123"/>
    <s v="30 Oct 2025"/>
    <x v="12"/>
    <x v="219"/>
    <s v="aarav.white65@company.co"/>
    <x v="2"/>
    <x v="1"/>
    <x v="2"/>
    <x v="10"/>
    <n v="1"/>
    <n v="3.21"/>
    <n v="0.15"/>
    <n v="6.23"/>
    <x v="3"/>
    <s v="Debit Card"/>
    <x v="2"/>
    <n v="2.7284999999999999"/>
  </r>
  <r>
    <s v="ORD-100595"/>
    <s v="11/06/2024"/>
    <x v="3"/>
    <x v="130"/>
    <s v="zara.williams26@yahoo.com"/>
    <x v="4"/>
    <x v="1"/>
    <x v="1"/>
    <x v="20"/>
    <n v="1"/>
    <n v="19.05"/>
    <n v="0"/>
    <n v="3.49"/>
    <x v="1"/>
    <s v="Not Known"/>
    <x v="0"/>
    <n v="19.05"/>
  </r>
  <r>
    <s v="ORD-100134"/>
    <s v="19 Dec 2025"/>
    <x v="297"/>
    <x v="166"/>
    <s v="olivia.reddy55@hotmail.com"/>
    <x v="4"/>
    <x v="1"/>
    <x v="1"/>
    <x v="19"/>
    <n v="2"/>
    <n v="23.92"/>
    <n v="0"/>
    <n v="8.06"/>
    <x v="2"/>
    <s v="PayPal"/>
    <x v="2"/>
    <n v="47.84"/>
  </r>
  <r>
    <s v="ORD-100268"/>
    <s v="07/12/2025"/>
    <x v="298"/>
    <x v="240"/>
    <s v="grace.clark56@company.co"/>
    <x v="3"/>
    <x v="3"/>
    <x v="0"/>
    <x v="22"/>
    <n v="1"/>
    <n v="76.87"/>
    <n v="0.05"/>
    <n v="2.09"/>
    <x v="7"/>
    <s v="Not Known"/>
    <x v="0"/>
    <n v="73.026499999999999"/>
  </r>
  <r>
    <s v="ORD-100097"/>
    <s v="04/29/24"/>
    <x v="142"/>
    <x v="241"/>
    <s v="arjun.harris57@outlook.com"/>
    <x v="3"/>
    <x v="10"/>
    <x v="0"/>
    <x v="17"/>
    <n v="10"/>
    <n v="43.03"/>
    <n v="0.05"/>
    <n v="7.33"/>
    <x v="3"/>
    <s v="Not Known"/>
    <x v="2"/>
    <n v="408.78499999999997"/>
  </r>
  <r>
    <s v="ORD-100220"/>
    <s v="October 16, 2025"/>
    <x v="74"/>
    <x v="242"/>
    <s v="arjun.nair82@hotmail.com"/>
    <x v="0"/>
    <x v="9"/>
    <x v="4"/>
    <x v="8"/>
    <n v="10"/>
    <n v="15.07"/>
    <n v="0"/>
    <n v="7.22"/>
    <x v="1"/>
    <s v="Not Known"/>
    <x v="2"/>
    <n v="150.69999999999999"/>
  </r>
  <r>
    <s v="ORD-100041"/>
    <s v="11-04-2025"/>
    <x v="299"/>
    <x v="161"/>
    <s v="noah.jackson49@hotmail.com"/>
    <x v="0"/>
    <x v="9"/>
    <x v="0"/>
    <x v="22"/>
    <n v="2"/>
    <n v="82.55"/>
    <n v="0.05"/>
    <n v="10.46"/>
    <x v="7"/>
    <s v="Credit Card"/>
    <x v="1"/>
    <n v="156.845"/>
  </r>
  <r>
    <s v="ORD-100943"/>
    <s v="2024-11-07"/>
    <x v="300"/>
    <x v="147"/>
    <s v="kabir.white76@hotmail.com"/>
    <x v="2"/>
    <x v="2"/>
    <x v="3"/>
    <x v="11"/>
    <n v="1"/>
    <n v="250.98"/>
    <n v="0.05"/>
    <m/>
    <x v="3"/>
    <s v="Credit Card"/>
    <x v="2"/>
    <n v="238.43099999999998"/>
  </r>
  <r>
    <s v="ORD-100464"/>
    <s v="11/01/24"/>
    <x v="301"/>
    <x v="208"/>
    <s v="kabir.davis11@gmail.com"/>
    <x v="2"/>
    <x v="1"/>
    <x v="1"/>
    <x v="15"/>
    <n v="4"/>
    <n v="9.85"/>
    <n v="0.1"/>
    <n v="7.87"/>
    <x v="0"/>
    <s v="Credit Card"/>
    <x v="2"/>
    <n v="35.46"/>
  </r>
  <r>
    <s v="ORD-100810"/>
    <s v="May 23, 2025"/>
    <x v="125"/>
    <x v="46"/>
    <s v="olivia.brown52@outlook.com"/>
    <x v="0"/>
    <x v="0"/>
    <x v="1"/>
    <x v="15"/>
    <n v="1"/>
    <n v="9.69"/>
    <n v="0.05"/>
    <n v="5.53"/>
    <x v="0"/>
    <s v="Bank Transfer"/>
    <x v="2"/>
    <n v="9.2054999999999989"/>
  </r>
  <r>
    <s v="ORD-100777"/>
    <s v="August 25, 2025"/>
    <x v="9"/>
    <x v="115"/>
    <s v="aarav.taylor90@gmail.com"/>
    <x v="4"/>
    <x v="1"/>
    <x v="1"/>
    <x v="19"/>
    <n v="3"/>
    <n v="24.19"/>
    <n v="0.1"/>
    <n v="6.04"/>
    <x v="5"/>
    <s v="Debit Card"/>
    <x v="2"/>
    <n v="65.313000000000002"/>
  </r>
  <r>
    <s v="ORD-100762"/>
    <s v="16-12-2024"/>
    <x v="302"/>
    <x v="86"/>
    <s v="emma.wilson25@hotmail.com"/>
    <x v="2"/>
    <x v="1"/>
    <x v="0"/>
    <x v="0"/>
    <n v="2"/>
    <n v="41.93"/>
    <n v="0"/>
    <n v="10.01"/>
    <x v="2"/>
    <s v="Debit Card"/>
    <x v="2"/>
    <n v="83.86"/>
  </r>
  <r>
    <s v="ORD-101354"/>
    <s v="24-10-2025"/>
    <x v="303"/>
    <x v="150"/>
    <s v="kabir.jackson32@hotmail.com"/>
    <x v="1"/>
    <x v="6"/>
    <x v="2"/>
    <x v="2"/>
    <n v="3"/>
    <n v="14.42"/>
    <n v="0"/>
    <n v="6.23"/>
    <x v="3"/>
    <s v="Not Known"/>
    <x v="2"/>
    <n v="43.26"/>
  </r>
  <r>
    <s v="ORD-100012"/>
    <s v="11/17/2024"/>
    <x v="61"/>
    <x v="240"/>
    <s v="grace.clark92@outlook.com"/>
    <x v="4"/>
    <x v="1"/>
    <x v="0"/>
    <x v="0"/>
    <n v="1"/>
    <n v="40.31"/>
    <n v="0"/>
    <n v="10.08"/>
    <x v="0"/>
    <s v="Debit Card"/>
    <x v="0"/>
    <n v="40.31"/>
  </r>
  <r>
    <s v="ORD-100990"/>
    <s v="September 10, 2025"/>
    <x v="222"/>
    <x v="243"/>
    <s v="rohan.williams85@gmail.com"/>
    <x v="3"/>
    <x v="10"/>
    <x v="3"/>
    <x v="11"/>
    <n v="1"/>
    <n v="242.75"/>
    <n v="0.05"/>
    <n v="3.89"/>
    <x v="2"/>
    <s v="Not Known"/>
    <x v="3"/>
    <n v="230.61249999999998"/>
  </r>
  <r>
    <m/>
    <m/>
    <x v="218"/>
    <x v="190"/>
    <s v="Not Known"/>
    <x v="5"/>
    <x v="10"/>
    <x v="5"/>
    <x v="23"/>
    <m/>
    <m/>
    <n v="0"/>
    <m/>
    <x v="3"/>
    <s v="Not Known"/>
    <x v="4"/>
    <m/>
  </r>
  <r>
    <s v="ORD-100568"/>
    <s v="February 16, 2024"/>
    <x v="177"/>
    <x v="244"/>
    <s v="ishaan.thomas86@yahoo.com"/>
    <x v="1"/>
    <x v="6"/>
    <x v="3"/>
    <x v="11"/>
    <n v="3"/>
    <n v="253.84"/>
    <n v="0.05"/>
    <n v="10.17"/>
    <x v="0"/>
    <s v="Credit Card"/>
    <x v="1"/>
    <n v="723.44399999999996"/>
  </r>
  <r>
    <s v="ORD-100397"/>
    <s v="2024-02-14"/>
    <x v="304"/>
    <x v="3"/>
    <s v="rohan.wilson48@outlook.com"/>
    <x v="0"/>
    <x v="8"/>
    <x v="1"/>
    <x v="13"/>
    <n v="4"/>
    <n v="192.92"/>
    <n v="0.05"/>
    <n v="11.51"/>
    <x v="3"/>
    <s v="Credit Card"/>
    <x v="2"/>
    <n v="733.09599999999989"/>
  </r>
  <r>
    <s v="ORD-101021"/>
    <s v="2024-08-26"/>
    <x v="305"/>
    <x v="101"/>
    <s v="lily.harris71@hotmail.com"/>
    <x v="2"/>
    <x v="1"/>
    <x v="4"/>
    <x v="12"/>
    <n v="2"/>
    <n v="12.89"/>
    <n v="0"/>
    <n v="1.55"/>
    <x v="7"/>
    <s v="Bank Transfer"/>
    <x v="2"/>
    <n v="25.78"/>
  </r>
  <r>
    <s v="ORD-100731"/>
    <s v="15 Jan 2024"/>
    <x v="306"/>
    <x v="142"/>
    <s v="ishaan.iyer90@yahoo.com"/>
    <x v="4"/>
    <x v="1"/>
    <x v="2"/>
    <x v="4"/>
    <n v="4"/>
    <n v="6.65"/>
    <n v="0"/>
    <n v="6.71"/>
    <x v="2"/>
    <s v="COD"/>
    <x v="2"/>
    <n v="26.6"/>
  </r>
  <r>
    <s v="ORD-100738"/>
    <s v="2024-08-02"/>
    <x v="54"/>
    <x v="49"/>
    <s v="arjun.thomas58@outlook.com"/>
    <x v="2"/>
    <x v="1"/>
    <x v="2"/>
    <x v="14"/>
    <n v="2"/>
    <n v="4.2"/>
    <n v="0"/>
    <n v="9.18"/>
    <x v="5"/>
    <s v="Not Known"/>
    <x v="3"/>
    <n v="8.4"/>
  </r>
  <r>
    <s v="ORD-101143"/>
    <s v="14-01-2025"/>
    <x v="263"/>
    <x v="104"/>
    <s v="ethan.williams52@company.co"/>
    <x v="2"/>
    <x v="1"/>
    <x v="5"/>
    <x v="9"/>
    <n v="2"/>
    <n v="86.13"/>
    <n v="0.15"/>
    <n v="4.01"/>
    <x v="7"/>
    <s v="Credit Card"/>
    <x v="0"/>
    <n v="146.42099999999999"/>
  </r>
  <r>
    <s v="ORD-101282"/>
    <s v="February 29, 2024"/>
    <x v="80"/>
    <x v="245"/>
    <s v="ava.brown80@outlook.com"/>
    <x v="2"/>
    <x v="1"/>
    <x v="3"/>
    <x v="11"/>
    <n v="10"/>
    <n v="260.23"/>
    <n v="0.15"/>
    <n v="13.29"/>
    <x v="5"/>
    <s v="Credit Card"/>
    <x v="2"/>
    <n v="2211.9549999999999"/>
  </r>
  <r>
    <s v="ORD-100673"/>
    <s v="24 Mar 2024"/>
    <x v="307"/>
    <x v="228"/>
    <s v="ella.davis51@yahoo.com"/>
    <x v="2"/>
    <x v="1"/>
    <x v="1"/>
    <x v="7"/>
    <n v="1"/>
    <n v="42.03"/>
    <n v="0.15"/>
    <n v="8.16"/>
    <x v="5"/>
    <s v="Bank Transfer"/>
    <x v="2"/>
    <n v="35.725499999999997"/>
  </r>
  <r>
    <s v="ORD-101179"/>
    <s v="09 Oct 2025"/>
    <x v="308"/>
    <x v="246"/>
    <s v="chloe.harris62@company.co"/>
    <x v="2"/>
    <x v="1"/>
    <x v="2"/>
    <x v="14"/>
    <n v="1"/>
    <n v="4.1399999999999997"/>
    <n v="0.1"/>
    <n v="2.0299999999999998"/>
    <x v="1"/>
    <s v="COD"/>
    <x v="2"/>
    <n v="3.726"/>
  </r>
  <r>
    <s v="ORD-101273"/>
    <s v="15-04-2025"/>
    <x v="59"/>
    <x v="247"/>
    <s v="advait.taylor58@outlook.com"/>
    <x v="0"/>
    <x v="9"/>
    <x v="0"/>
    <x v="22"/>
    <n v="2"/>
    <n v="81.459999999999994"/>
    <n v="0.1"/>
    <n v="14.43"/>
    <x v="1"/>
    <s v="Debit Card"/>
    <x v="1"/>
    <n v="146.62799999999999"/>
  </r>
  <r>
    <s v="ORD-101286"/>
    <s v="25 Dec 2025"/>
    <x v="5"/>
    <x v="101"/>
    <s v="lily.harris95@outlook.com"/>
    <x v="2"/>
    <x v="1"/>
    <x v="1"/>
    <x v="20"/>
    <n v="4"/>
    <n v="19.21"/>
    <n v="0.15"/>
    <n v="4.58"/>
    <x v="0"/>
    <s v="Credit Card"/>
    <x v="2"/>
    <n v="65.314000000000007"/>
  </r>
  <r>
    <s v="ORD-100876"/>
    <s v="04/19/25"/>
    <x v="247"/>
    <x v="248"/>
    <s v="ella.anderson73@hotmail.com"/>
    <x v="0"/>
    <x v="8"/>
    <x v="4"/>
    <x v="12"/>
    <n v="4"/>
    <n v="13.34"/>
    <n v="0.05"/>
    <n v="10.36"/>
    <x v="7"/>
    <s v="Bank Transfer"/>
    <x v="2"/>
    <n v="50.692"/>
  </r>
  <r>
    <s v="ORD-100548"/>
    <s v="10-10-2025"/>
    <x v="309"/>
    <x v="9"/>
    <s v="daniel.kapoor22@hotmail.com"/>
    <x v="1"/>
    <x v="6"/>
    <x v="4"/>
    <x v="6"/>
    <n v="2"/>
    <n v="61.23"/>
    <n v="0"/>
    <m/>
    <x v="3"/>
    <s v="Debit Card"/>
    <x v="3"/>
    <n v="122.46"/>
  </r>
  <r>
    <s v="ORD-100430"/>
    <s v="22 May 2025"/>
    <x v="310"/>
    <x v="0"/>
    <s v="ava.williams55@outlook.com"/>
    <x v="0"/>
    <x v="0"/>
    <x v="0"/>
    <x v="17"/>
    <n v="10"/>
    <n v="45.48"/>
    <n v="0.05"/>
    <n v="1.7"/>
    <x v="1"/>
    <s v="Not Known"/>
    <x v="2"/>
    <n v="432.05999999999995"/>
  </r>
  <r>
    <s v="ORD-101005"/>
    <s v="24-03-2025"/>
    <x v="311"/>
    <x v="247"/>
    <s v="Not Known"/>
    <x v="3"/>
    <x v="4"/>
    <x v="0"/>
    <x v="22"/>
    <n v="2"/>
    <n v="76.78"/>
    <n v="0.05"/>
    <n v="2.48"/>
    <x v="5"/>
    <s v="Credit Card"/>
    <x v="2"/>
    <n v="145.88200000000001"/>
  </r>
  <r>
    <s v="ORD-100336"/>
    <s v="2024-06-01"/>
    <x v="123"/>
    <x v="249"/>
    <s v="Not Known"/>
    <x v="2"/>
    <x v="2"/>
    <x v="0"/>
    <x v="22"/>
    <n v="1"/>
    <n v="80.13"/>
    <n v="0.15"/>
    <n v="7.05"/>
    <x v="2"/>
    <s v="COD"/>
    <x v="2"/>
    <n v="68.110499999999988"/>
  </r>
  <r>
    <s v="ORD-100232"/>
    <s v="01/01/25"/>
    <x v="46"/>
    <x v="19"/>
    <s v="arjun.davis74@gmail.com"/>
    <x v="3"/>
    <x v="3"/>
    <x v="2"/>
    <x v="2"/>
    <n v="10"/>
    <n v="13.84"/>
    <n v="0.05"/>
    <n v="6.41"/>
    <x v="5"/>
    <s v="Credit Card"/>
    <x v="2"/>
    <n v="131.47999999999999"/>
  </r>
  <r>
    <s v="ORD-100530"/>
    <s v="06/17/2025"/>
    <x v="236"/>
    <x v="180"/>
    <s v="aarav.anderson57@hotmail.com"/>
    <x v="4"/>
    <x v="5"/>
    <x v="1"/>
    <x v="19"/>
    <n v="1"/>
    <n v="25.09"/>
    <n v="0.05"/>
    <n v="13.77"/>
    <x v="5"/>
    <s v="Debit Card"/>
    <x v="1"/>
    <n v="23.8355"/>
  </r>
  <r>
    <s v="ORD-100617"/>
    <s v="17 Aug 2025"/>
    <x v="312"/>
    <x v="27"/>
    <s v="rohan.thomas67@yahoo.com"/>
    <x v="4"/>
    <x v="11"/>
    <x v="2"/>
    <x v="14"/>
    <n v="1"/>
    <n v="4.04"/>
    <n v="0.05"/>
    <n v="13.54"/>
    <x v="7"/>
    <s v="COD"/>
    <x v="3"/>
    <n v="3.8379999999999996"/>
  </r>
  <r>
    <s v="ORD-100643"/>
    <s v="28-03-2024"/>
    <x v="313"/>
    <x v="117"/>
    <s v="rohan.sharma44@hotmail.com"/>
    <x v="2"/>
    <x v="2"/>
    <x v="2"/>
    <x v="4"/>
    <n v="5"/>
    <n v="6.56"/>
    <n v="0"/>
    <n v="9.36"/>
    <x v="7"/>
    <s v="Credit Card"/>
    <x v="2"/>
    <n v="32.799999999999997"/>
  </r>
  <r>
    <s v="ORD-101186"/>
    <s v="05/19/25"/>
    <x v="45"/>
    <x v="250"/>
    <s v="rohan.harris45@gmail.com"/>
    <x v="0"/>
    <x v="0"/>
    <x v="3"/>
    <x v="21"/>
    <n v="2"/>
    <n v="124.95"/>
    <n v="0.05"/>
    <n v="13.16"/>
    <x v="4"/>
    <s v="Credit Card"/>
    <x v="2"/>
    <n v="237.405"/>
  </r>
  <r>
    <s v="ORD-100297"/>
    <s v="December 14, 2025"/>
    <x v="213"/>
    <x v="240"/>
    <s v="grace.clark86@outlook.com"/>
    <x v="2"/>
    <x v="1"/>
    <x v="3"/>
    <x v="11"/>
    <n v="10"/>
    <n v="238.12"/>
    <n v="0.15"/>
    <n v="6.87"/>
    <x v="2"/>
    <s v="Not Known"/>
    <x v="3"/>
    <n v="2024.0199999999998"/>
  </r>
  <r>
    <s v="ORD-101387"/>
    <s v="27-08-2024"/>
    <x v="73"/>
    <x v="94"/>
    <s v="sophia.clark94@gmail.com"/>
    <x v="4"/>
    <x v="11"/>
    <x v="0"/>
    <x v="16"/>
    <n v="3"/>
    <n v="23.59"/>
    <n v="0"/>
    <n v="13.15"/>
    <x v="6"/>
    <s v="PayPal"/>
    <x v="2"/>
    <n v="70.77"/>
  </r>
  <r>
    <s v="ORD-101034"/>
    <s v="05/14/2024"/>
    <x v="29"/>
    <x v="187"/>
    <s v="noah.iyer33@outlook.com"/>
    <x v="0"/>
    <x v="0"/>
    <x v="1"/>
    <x v="19"/>
    <n v="1"/>
    <n v="25.88"/>
    <n v="0.05"/>
    <n v="3.54"/>
    <x v="0"/>
    <s v="COD"/>
    <x v="0"/>
    <n v="24.585999999999999"/>
  </r>
  <r>
    <s v="ORD-100642"/>
    <s v="04/26/24"/>
    <x v="314"/>
    <x v="123"/>
    <s v="ella.harris32@outlook.com"/>
    <x v="4"/>
    <x v="1"/>
    <x v="4"/>
    <x v="12"/>
    <n v="4"/>
    <n v="13.03"/>
    <n v="0"/>
    <n v="1.46"/>
    <x v="6"/>
    <s v="Credit Card"/>
    <x v="1"/>
    <n v="52.12"/>
  </r>
  <r>
    <s v="ORD-100205"/>
    <s v="05/09/2025"/>
    <x v="315"/>
    <x v="168"/>
    <s v="lily.iyer72@yahoo.com"/>
    <x v="1"/>
    <x v="6"/>
    <x v="0"/>
    <x v="22"/>
    <n v="4"/>
    <n v="78.08"/>
    <n v="0.15"/>
    <n v="7.26"/>
    <x v="0"/>
    <s v="Bank Transfer"/>
    <x v="0"/>
    <n v="265.47199999999998"/>
  </r>
  <r>
    <s v="ORD-100471"/>
    <s v="2025-05-31"/>
    <x v="199"/>
    <x v="141"/>
    <s v="ethan.taylor17@gmail.com"/>
    <x v="2"/>
    <x v="2"/>
    <x v="1"/>
    <x v="19"/>
    <n v="4"/>
    <n v="24.82"/>
    <n v="0"/>
    <n v="5.88"/>
    <x v="0"/>
    <s v="Not Known"/>
    <x v="2"/>
    <n v="99.28"/>
  </r>
  <r>
    <s v="ORD-100426"/>
    <s v="April 07, 2024"/>
    <x v="48"/>
    <x v="91"/>
    <s v="emma.davis63@hotmail.com"/>
    <x v="0"/>
    <x v="8"/>
    <x v="3"/>
    <x v="21"/>
    <n v="4"/>
    <n v="123.81"/>
    <n v="0"/>
    <n v="12.98"/>
    <x v="0"/>
    <s v="Bank Transfer"/>
    <x v="2"/>
    <n v="495.24"/>
  </r>
  <r>
    <s v="ORD-101396"/>
    <s v="18 Apr 2025"/>
    <x v="316"/>
    <x v="251"/>
    <s v="grace.kapoor53@hotmail.com"/>
    <x v="4"/>
    <x v="11"/>
    <x v="3"/>
    <x v="21"/>
    <n v="1"/>
    <n v="131.44999999999999"/>
    <n v="0.05"/>
    <n v="0"/>
    <x v="1"/>
    <s v="Credit Card"/>
    <x v="2"/>
    <n v="124.87749999999998"/>
  </r>
  <r>
    <s v="ORD-100769"/>
    <s v="November 14, 2025"/>
    <x v="11"/>
    <x v="209"/>
    <s v="Not Known"/>
    <x v="0"/>
    <x v="0"/>
    <x v="2"/>
    <x v="14"/>
    <n v="10"/>
    <n v="4.29"/>
    <n v="0.1"/>
    <n v="13.61"/>
    <x v="7"/>
    <s v="Credit Card"/>
    <x v="2"/>
    <n v="38.61"/>
  </r>
  <r>
    <s v="ORD-101106"/>
    <s v="05-11-2024"/>
    <x v="253"/>
    <x v="252"/>
    <s v="grace.reddy33@yahoo.com"/>
    <x v="0"/>
    <x v="9"/>
    <x v="0"/>
    <x v="0"/>
    <n v="3"/>
    <n v="39.15"/>
    <n v="0"/>
    <m/>
    <x v="3"/>
    <s v="PayPal"/>
    <x v="2"/>
    <n v="117.44999999999999"/>
  </r>
  <r>
    <s v="ORD-101217"/>
    <s v="24 Jan 2024"/>
    <x v="317"/>
    <x v="253"/>
    <s v="liam.kapoor74@company.co"/>
    <x v="4"/>
    <x v="1"/>
    <x v="1"/>
    <x v="20"/>
    <n v="3"/>
    <n v="18.23"/>
    <n v="0"/>
    <n v="5.17"/>
    <x v="2"/>
    <s v="Credit Card"/>
    <x v="2"/>
    <n v="54.69"/>
  </r>
  <r>
    <s v="ORD-100786"/>
    <s v="April 18, 2024"/>
    <x v="318"/>
    <x v="9"/>
    <s v="daniel.kapoor65@gmail.com"/>
    <x v="4"/>
    <x v="11"/>
    <x v="2"/>
    <x v="2"/>
    <n v="2"/>
    <n v="13.54"/>
    <n v="0.05"/>
    <n v="5.49"/>
    <x v="3"/>
    <s v="Bank Transfer"/>
    <x v="3"/>
    <n v="25.725999999999996"/>
  </r>
  <r>
    <s v="ORD-100933"/>
    <s v="05/06/2025"/>
    <x v="90"/>
    <x v="166"/>
    <s v="olivia.reddy68@company.co"/>
    <x v="3"/>
    <x v="7"/>
    <x v="0"/>
    <x v="17"/>
    <n v="1"/>
    <n v="44.5"/>
    <n v="0"/>
    <n v="4.91"/>
    <x v="7"/>
    <s v="COD"/>
    <x v="1"/>
    <n v="44.5"/>
  </r>
  <r>
    <s v="ORD-100697"/>
    <s v="July 19, 2024"/>
    <x v="319"/>
    <x v="62"/>
    <s v="Not Known"/>
    <x v="3"/>
    <x v="3"/>
    <x v="1"/>
    <x v="19"/>
    <n v="1"/>
    <n v="23.88"/>
    <n v="0.1"/>
    <n v="0"/>
    <x v="5"/>
    <s v="PayPal"/>
    <x v="2"/>
    <n v="21.492000000000001"/>
  </r>
  <r>
    <s v="ORD-101332"/>
    <s v="26-05-2025"/>
    <x v="286"/>
    <x v="49"/>
    <s v="arjun.thomas97@company.co"/>
    <x v="4"/>
    <x v="5"/>
    <x v="4"/>
    <x v="18"/>
    <n v="1"/>
    <n v="28.62"/>
    <n v="0.1"/>
    <n v="11.69"/>
    <x v="0"/>
    <s v="Bank Transfer"/>
    <x v="3"/>
    <n v="25.758000000000003"/>
  </r>
  <r>
    <s v="ORD-101141"/>
    <s v="09/06/24"/>
    <x v="320"/>
    <x v="254"/>
    <s v="sophia.davis21@gmail.com"/>
    <x v="1"/>
    <x v="6"/>
    <x v="0"/>
    <x v="22"/>
    <n v="1"/>
    <n v="77.66"/>
    <n v="0.05"/>
    <n v="12.49"/>
    <x v="7"/>
    <s v="COD"/>
    <x v="3"/>
    <n v="73.776999999999987"/>
  </r>
  <r>
    <s v="ORD-100535"/>
    <s v="11 Mar 2025"/>
    <x v="321"/>
    <x v="255"/>
    <s v="olivia.harris57@outlook.com"/>
    <x v="2"/>
    <x v="2"/>
    <x v="2"/>
    <x v="4"/>
    <n v="2"/>
    <n v="6.36"/>
    <n v="0.1"/>
    <n v="4.0199999999999996"/>
    <x v="1"/>
    <s v="PayPal"/>
    <x v="2"/>
    <n v="11.448"/>
  </r>
  <r>
    <s v="ORD-100905"/>
    <s v="09/08/2025"/>
    <x v="170"/>
    <x v="145"/>
    <s v="Not Known"/>
    <x v="2"/>
    <x v="2"/>
    <x v="4"/>
    <x v="12"/>
    <n v="5"/>
    <n v="13.08"/>
    <n v="0.05"/>
    <n v="5.84"/>
    <x v="6"/>
    <s v="Debit Card"/>
    <x v="0"/>
    <n v="62.13"/>
  </r>
  <r>
    <s v="ORD-100556"/>
    <s v="09 Jul 2024"/>
    <x v="246"/>
    <x v="154"/>
    <s v="rohan.iyer81@gmail.com"/>
    <x v="3"/>
    <x v="4"/>
    <x v="3"/>
    <x v="21"/>
    <n v="2"/>
    <n v="129.16999999999999"/>
    <n v="0.05"/>
    <n v="4.84"/>
    <x v="7"/>
    <s v="COD"/>
    <x v="2"/>
    <n v="245.42299999999997"/>
  </r>
  <r>
    <s v="ORD-101394"/>
    <s v="10/05/2025"/>
    <x v="322"/>
    <x v="256"/>
    <s v="olivia.iyer60@company.co"/>
    <x v="2"/>
    <x v="1"/>
    <x v="0"/>
    <x v="16"/>
    <n v="2"/>
    <n v="22.45"/>
    <n v="0"/>
    <n v="12.84"/>
    <x v="4"/>
    <s v="PayPal"/>
    <x v="1"/>
    <n v="44.9"/>
  </r>
  <r>
    <s v="ORD-101351"/>
    <s v="2025-10-24"/>
    <x v="303"/>
    <x v="257"/>
    <s v="lily.clark69@yahoo.com"/>
    <x v="0"/>
    <x v="0"/>
    <x v="3"/>
    <x v="11"/>
    <n v="1"/>
    <n v="258.82"/>
    <n v="0"/>
    <n v="4.4000000000000004"/>
    <x v="7"/>
    <s v="Credit Card"/>
    <x v="2"/>
    <n v="258.82"/>
  </r>
  <r>
    <s v="ORD-101371"/>
    <s v="06/03/25"/>
    <x v="323"/>
    <x v="218"/>
    <s v="mia.taylor5@outlook.com"/>
    <x v="2"/>
    <x v="1"/>
    <x v="1"/>
    <x v="15"/>
    <n v="1"/>
    <n v="9.27"/>
    <n v="0.15"/>
    <n v="0"/>
    <x v="1"/>
    <s v="Bank Transfer"/>
    <x v="2"/>
    <n v="7.8794999999999993"/>
  </r>
  <r>
    <s v="ORD-100157"/>
    <s v="December 18, 2025"/>
    <x v="324"/>
    <x v="239"/>
    <s v="ethan.harris2@outlook.com"/>
    <x v="1"/>
    <x v="1"/>
    <x v="2"/>
    <x v="2"/>
    <n v="1"/>
    <n v="13.66"/>
    <n v="0"/>
    <n v="6.29"/>
    <x v="7"/>
    <s v="Credit Card"/>
    <x v="2"/>
    <n v="13.66"/>
  </r>
  <r>
    <s v="ORD-101337"/>
    <s v="08/25/2024"/>
    <x v="325"/>
    <x v="92"/>
    <s v="ava.johnson21@yahoo.com"/>
    <x v="1"/>
    <x v="1"/>
    <x v="3"/>
    <x v="21"/>
    <n v="4"/>
    <n v="124.23"/>
    <n v="0"/>
    <n v="3.63"/>
    <x v="2"/>
    <s v="Credit Card"/>
    <x v="2"/>
    <n v="496.92"/>
  </r>
  <r>
    <s v="ORD-101251"/>
    <s v="05/30/2025"/>
    <x v="326"/>
    <x v="158"/>
    <s v="sophia.white43@outlook.com"/>
    <x v="3"/>
    <x v="7"/>
    <x v="3"/>
    <x v="21"/>
    <n v="2"/>
    <n v="132.28"/>
    <n v="0"/>
    <n v="13.56"/>
    <x v="1"/>
    <s v="COD"/>
    <x v="2"/>
    <n v="264.56"/>
  </r>
  <r>
    <s v="ORD-100140"/>
    <s v="16 Jun 2025"/>
    <x v="109"/>
    <x v="258"/>
    <s v="chloe.johnson30@outlook.com"/>
    <x v="0"/>
    <x v="0"/>
    <x v="4"/>
    <x v="8"/>
    <n v="2"/>
    <n v="14.41"/>
    <n v="0.1"/>
    <n v="6.88"/>
    <x v="5"/>
    <s v="Bank Transfer"/>
    <x v="2"/>
    <n v="25.938000000000002"/>
  </r>
  <r>
    <s v="ORD-100160"/>
    <s v="May 18, 2024"/>
    <x v="327"/>
    <x v="173"/>
    <s v="zara.johnson52@outlook.com"/>
    <x v="3"/>
    <x v="3"/>
    <x v="4"/>
    <x v="18"/>
    <n v="5"/>
    <n v="31.23"/>
    <n v="0"/>
    <n v="0"/>
    <x v="1"/>
    <s v="Not Known"/>
    <x v="2"/>
    <n v="156.15"/>
  </r>
  <r>
    <s v="ORD-100305"/>
    <s v="May 07, 2025"/>
    <x v="70"/>
    <x v="259"/>
    <s v="emma.iyer75@hotmail.com"/>
    <x v="1"/>
    <x v="6"/>
    <x v="2"/>
    <x v="3"/>
    <n v="2"/>
    <n v="8.1199999999999992"/>
    <n v="0"/>
    <n v="9.42"/>
    <x v="3"/>
    <s v="COD"/>
    <x v="2"/>
    <n v="16.239999999999998"/>
  </r>
  <r>
    <s v="ORD-101069"/>
    <s v="August 28, 2025"/>
    <x v="328"/>
    <x v="26"/>
    <s v="advait.clark5@hotmail.com"/>
    <x v="4"/>
    <x v="11"/>
    <x v="5"/>
    <x v="17"/>
    <n v="1"/>
    <n v="43.73"/>
    <n v="0.05"/>
    <n v="4.91"/>
    <x v="7"/>
    <s v="PayPal"/>
    <x v="2"/>
    <n v="41.543499999999995"/>
  </r>
  <r>
    <s v="ORD-100732"/>
    <s v="2025-03-23"/>
    <x v="329"/>
    <x v="160"/>
    <s v="ethan.anderson36@yahoo.com"/>
    <x v="0"/>
    <x v="9"/>
    <x v="4"/>
    <x v="8"/>
    <n v="1"/>
    <n v="14.92"/>
    <n v="0.05"/>
    <n v="0"/>
    <x v="3"/>
    <s v="Credit Card"/>
    <x v="2"/>
    <n v="14.173999999999999"/>
  </r>
  <r>
    <s v="ORD-101097"/>
    <s v="03/27/24"/>
    <x v="47"/>
    <x v="44"/>
    <s v="daniel.nair37@outlook.com"/>
    <x v="1"/>
    <x v="1"/>
    <x v="2"/>
    <x v="2"/>
    <n v="4"/>
    <n v="13.81"/>
    <n v="0"/>
    <n v="0"/>
    <x v="3"/>
    <s v="Not Known"/>
    <x v="3"/>
    <n v="55.24"/>
  </r>
  <r>
    <s v="ORD-100395"/>
    <s v="01/21/2025"/>
    <x v="330"/>
    <x v="192"/>
    <s v="Not Known"/>
    <x v="0"/>
    <x v="8"/>
    <x v="1"/>
    <x v="1"/>
    <n v="1"/>
    <n v="35.1"/>
    <n v="0"/>
    <n v="3.58"/>
    <x v="5"/>
    <s v="Credit Card"/>
    <x v="1"/>
    <n v="35.1"/>
  </r>
  <r>
    <s v="ORD-100541"/>
    <s v="20-05-2025"/>
    <x v="331"/>
    <x v="260"/>
    <s v="Not Known"/>
    <x v="1"/>
    <x v="1"/>
    <x v="2"/>
    <x v="3"/>
    <n v="1"/>
    <n v="7.87"/>
    <n v="0.1"/>
    <n v="5.07"/>
    <x v="2"/>
    <s v="Credit Card"/>
    <x v="0"/>
    <n v="7.0830000000000002"/>
  </r>
  <r>
    <s v="ORD-100399"/>
    <s v="04 Jun 2024"/>
    <x v="332"/>
    <x v="95"/>
    <s v="grace.wilson26@outlook.com"/>
    <x v="4"/>
    <x v="5"/>
    <x v="1"/>
    <x v="15"/>
    <n v="2"/>
    <n v="9.0500000000000007"/>
    <n v="0.05"/>
    <n v="3.57"/>
    <x v="3"/>
    <s v="COD"/>
    <x v="0"/>
    <n v="17.195"/>
  </r>
  <r>
    <s v="ORD-100941"/>
    <s v="September 09, 2024"/>
    <x v="333"/>
    <x v="261"/>
    <s v="advait.brown83@hotmail.com"/>
    <x v="4"/>
    <x v="5"/>
    <x v="2"/>
    <x v="3"/>
    <n v="1"/>
    <n v="7.88"/>
    <n v="0.05"/>
    <n v="9.91"/>
    <x v="2"/>
    <s v="COD"/>
    <x v="2"/>
    <n v="7.4859999999999998"/>
  </r>
  <r>
    <s v="ORD-100513"/>
    <s v="September 13, 2024"/>
    <x v="334"/>
    <x v="107"/>
    <s v="mia.gupta10@gmail.com"/>
    <x v="1"/>
    <x v="1"/>
    <x v="4"/>
    <x v="18"/>
    <n v="3"/>
    <n v="29.34"/>
    <n v="0.05"/>
    <n v="11.03"/>
    <x v="4"/>
    <s v="Not Known"/>
    <x v="2"/>
    <n v="83.618999999999986"/>
  </r>
  <r>
    <s v="ORD-101047"/>
    <s v="February 03, 2024"/>
    <x v="335"/>
    <x v="93"/>
    <s v="Not Known"/>
    <x v="4"/>
    <x v="11"/>
    <x v="3"/>
    <x v="5"/>
    <n v="1"/>
    <n v="112.66"/>
    <n v="0"/>
    <n v="8"/>
    <x v="0"/>
    <s v="COD"/>
    <x v="1"/>
    <n v="112.66"/>
  </r>
  <r>
    <s v="ORD-100967"/>
    <s v="2025-03-16"/>
    <x v="60"/>
    <x v="221"/>
    <s v="lily.johnson97@hotmail.com"/>
    <x v="0"/>
    <x v="0"/>
    <x v="0"/>
    <x v="16"/>
    <n v="3"/>
    <n v="22.65"/>
    <n v="0.05"/>
    <n v="4.38"/>
    <x v="1"/>
    <s v="Credit Card"/>
    <x v="0"/>
    <n v="64.552499999999981"/>
  </r>
  <r>
    <s v="ORD-101386"/>
    <s v="29-03-2024"/>
    <x v="336"/>
    <x v="256"/>
    <s v="olivia.iyer38@gmail.com"/>
    <x v="1"/>
    <x v="1"/>
    <x v="1"/>
    <x v="20"/>
    <n v="4"/>
    <n v="18.88"/>
    <n v="0"/>
    <n v="6.34"/>
    <x v="0"/>
    <s v="Credit Card"/>
    <x v="2"/>
    <n v="75.52"/>
  </r>
  <r>
    <s v="ORD-100224"/>
    <s v="2025-02-05"/>
    <x v="71"/>
    <x v="189"/>
    <s v="Not Known"/>
    <x v="4"/>
    <x v="11"/>
    <x v="2"/>
    <x v="10"/>
    <n v="3"/>
    <n v="3.08"/>
    <n v="0.05"/>
    <n v="2.88"/>
    <x v="0"/>
    <s v="Not Known"/>
    <x v="1"/>
    <n v="8.7780000000000005"/>
  </r>
  <r>
    <s v="ORD-100287"/>
    <s v="07-01-2025"/>
    <x v="337"/>
    <x v="262"/>
    <s v="Not Known"/>
    <x v="3"/>
    <x v="3"/>
    <x v="4"/>
    <x v="18"/>
    <n v="1"/>
    <n v="29.32"/>
    <n v="0"/>
    <n v="5.01"/>
    <x v="3"/>
    <s v="Credit Card"/>
    <x v="2"/>
    <n v="29.32"/>
  </r>
  <r>
    <s v="ORD-101212"/>
    <s v="June 25, 2024"/>
    <x v="338"/>
    <x v="182"/>
    <s v="liam.reddy52@yahoo.com"/>
    <x v="3"/>
    <x v="3"/>
    <x v="4"/>
    <x v="18"/>
    <n v="3"/>
    <n v="29.79"/>
    <n v="0"/>
    <n v="6.48"/>
    <x v="3"/>
    <s v="Bank Transfer"/>
    <x v="2"/>
    <n v="89.37"/>
  </r>
  <r>
    <s v="ORD-100355"/>
    <s v="10/12/2025"/>
    <x v="339"/>
    <x v="263"/>
    <s v="ella.moore97@outlook.com"/>
    <x v="0"/>
    <x v="10"/>
    <x v="0"/>
    <x v="22"/>
    <n v="1"/>
    <n v="79.11"/>
    <n v="0"/>
    <n v="0"/>
    <x v="0"/>
    <s v="Credit Card"/>
    <x v="3"/>
    <n v="79.11"/>
  </r>
  <r>
    <s v="ORD-100878"/>
    <s v="01-03-2024"/>
    <x v="340"/>
    <x v="118"/>
    <s v="ishaan.nair20@yahoo.com"/>
    <x v="1"/>
    <x v="1"/>
    <x v="2"/>
    <x v="3"/>
    <n v="1"/>
    <n v="7.54"/>
    <n v="0"/>
    <n v="7.31"/>
    <x v="0"/>
    <s v="COD"/>
    <x v="2"/>
    <n v="7.54"/>
  </r>
  <r>
    <s v="ORD-101321"/>
    <s v="March 15, 2025"/>
    <x v="33"/>
    <x v="123"/>
    <s v="ella.harris93@hotmail.com"/>
    <x v="2"/>
    <x v="1"/>
    <x v="0"/>
    <x v="17"/>
    <n v="1"/>
    <n v="45.84"/>
    <n v="0.05"/>
    <n v="8.06"/>
    <x v="0"/>
    <s v="Not Known"/>
    <x v="2"/>
    <n v="43.548000000000002"/>
  </r>
  <r>
    <s v="ORD-100655"/>
    <s v="11-05-2024"/>
    <x v="105"/>
    <x v="264"/>
    <s v="lily.brown89@outlook.com"/>
    <x v="4"/>
    <x v="11"/>
    <x v="1"/>
    <x v="7"/>
    <n v="2"/>
    <n v="42.55"/>
    <n v="0.1"/>
    <n v="0.95"/>
    <x v="3"/>
    <s v="PayPal"/>
    <x v="1"/>
    <n v="76.59"/>
  </r>
  <r>
    <s v="ORD-100869"/>
    <s v="2024-05-30"/>
    <x v="99"/>
    <x v="222"/>
    <s v="zara.anderson44@outlook.com"/>
    <x v="0"/>
    <x v="8"/>
    <x v="2"/>
    <x v="10"/>
    <n v="1"/>
    <n v="3.22"/>
    <n v="0"/>
    <n v="0.5"/>
    <x v="7"/>
    <s v="Debit Card"/>
    <x v="2"/>
    <n v="3.22"/>
  </r>
  <r>
    <s v="ORD-100699"/>
    <s v="01-01-2024"/>
    <x v="341"/>
    <x v="254"/>
    <s v="sophia.davis18@gmail.com"/>
    <x v="4"/>
    <x v="11"/>
    <x v="0"/>
    <x v="22"/>
    <n v="1"/>
    <n v="79.69"/>
    <n v="0"/>
    <n v="7.35"/>
    <x v="7"/>
    <s v="Bank Transfer"/>
    <x v="2"/>
    <n v="79.69"/>
  </r>
  <r>
    <s v="ORD-100705"/>
    <s v="March 04, 2025"/>
    <x v="17"/>
    <x v="7"/>
    <s v="kabir.reddy25@gmail.com"/>
    <x v="0"/>
    <x v="0"/>
    <x v="3"/>
    <x v="11"/>
    <n v="1"/>
    <n v="240.09"/>
    <n v="0.1"/>
    <n v="12.39"/>
    <x v="2"/>
    <s v="Debit Card"/>
    <x v="2"/>
    <n v="216.08100000000002"/>
  </r>
  <r>
    <s v="ORD-100457"/>
    <s v="02/04/25"/>
    <x v="224"/>
    <x v="180"/>
    <s v="aarav.anderson97@hotmail.com"/>
    <x v="3"/>
    <x v="3"/>
    <x v="0"/>
    <x v="16"/>
    <n v="1"/>
    <n v="21.48"/>
    <n v="0.1"/>
    <n v="10.54"/>
    <x v="5"/>
    <s v="PayPal"/>
    <x v="1"/>
    <n v="19.332000000000001"/>
  </r>
  <r>
    <s v="ORD-100489"/>
    <s v="2024-12-08"/>
    <x v="342"/>
    <x v="265"/>
    <s v="ava.taylor55@gmail.com"/>
    <x v="3"/>
    <x v="7"/>
    <x v="3"/>
    <x v="11"/>
    <n v="1"/>
    <n v="240.79"/>
    <n v="0"/>
    <n v="13.22"/>
    <x v="2"/>
    <s v="COD"/>
    <x v="2"/>
    <n v="240.79"/>
  </r>
  <r>
    <s v="ORD-100026"/>
    <s v="08/17/24"/>
    <x v="343"/>
    <x v="266"/>
    <s v="kabir.williams45@gmail.com"/>
    <x v="2"/>
    <x v="1"/>
    <x v="4"/>
    <x v="8"/>
    <n v="2"/>
    <n v="14.76"/>
    <n v="0.1"/>
    <n v="9.7799999999999994"/>
    <x v="6"/>
    <s v="Credit Card"/>
    <x v="2"/>
    <n v="26.568000000000001"/>
  </r>
  <r>
    <s v="ORD-101074"/>
    <s v="09 Dec 2025"/>
    <x v="344"/>
    <x v="267"/>
    <s v="grace.gupta1@gmail.com"/>
    <x v="0"/>
    <x v="0"/>
    <x v="1"/>
    <x v="7"/>
    <n v="5"/>
    <n v="41.97"/>
    <n v="0"/>
    <n v="11.66"/>
    <x v="5"/>
    <s v="Not Known"/>
    <x v="2"/>
    <n v="209.85"/>
  </r>
  <r>
    <s v="ORD-100358"/>
    <s v="06/15/2024"/>
    <x v="345"/>
    <x v="77"/>
    <s v="arjun.white54@company.co"/>
    <x v="4"/>
    <x v="1"/>
    <x v="3"/>
    <x v="5"/>
    <n v="4"/>
    <n v="110.97"/>
    <n v="0.1"/>
    <n v="10.67"/>
    <x v="2"/>
    <s v="COD"/>
    <x v="2"/>
    <n v="399.49200000000002"/>
  </r>
  <r>
    <s v="ORD-100278"/>
    <s v="July 24, 2024"/>
    <x v="190"/>
    <x v="256"/>
    <s v="Not Known"/>
    <x v="0"/>
    <x v="8"/>
    <x v="1"/>
    <x v="7"/>
    <n v="4"/>
    <n v="43.16"/>
    <n v="0.15"/>
    <n v="7.38"/>
    <x v="2"/>
    <s v="Bank Transfer"/>
    <x v="1"/>
    <n v="146.74399999999997"/>
  </r>
  <r>
    <s v="ORD-100882"/>
    <s v="2025-08-04"/>
    <x v="288"/>
    <x v="82"/>
    <s v="ella.iyer20@company.co"/>
    <x v="3"/>
    <x v="3"/>
    <x v="0"/>
    <x v="0"/>
    <n v="2"/>
    <n v="38.47"/>
    <n v="0.05"/>
    <n v="14.08"/>
    <x v="7"/>
    <s v="Debit Card"/>
    <x v="2"/>
    <n v="73.092999999999989"/>
  </r>
  <r>
    <s v="ORD-101340"/>
    <s v="July 17, 2025"/>
    <x v="252"/>
    <x v="268"/>
    <s v="grace.moore55@gmail.com"/>
    <x v="0"/>
    <x v="9"/>
    <x v="2"/>
    <x v="2"/>
    <n v="2"/>
    <n v="14.42"/>
    <n v="0.05"/>
    <n v="8.17"/>
    <x v="6"/>
    <s v="COD"/>
    <x v="2"/>
    <n v="27.398"/>
  </r>
  <r>
    <s v="ORD-100003"/>
    <s v="August 04, 2024"/>
    <x v="346"/>
    <x v="269"/>
    <s v="daniel.johnson9@outlook.com"/>
    <x v="3"/>
    <x v="3"/>
    <x v="4"/>
    <x v="6"/>
    <n v="10"/>
    <n v="58.61"/>
    <n v="0.05"/>
    <n v="9.83"/>
    <x v="7"/>
    <s v="COD"/>
    <x v="2"/>
    <n v="556.79499999999996"/>
  </r>
  <r>
    <s v="ORD-100023"/>
    <s v="12/11/2025"/>
    <x v="179"/>
    <x v="270"/>
    <s v="kabir.taylor50@yahoo.com"/>
    <x v="3"/>
    <x v="4"/>
    <x v="2"/>
    <x v="10"/>
    <n v="2"/>
    <n v="3.08"/>
    <n v="0.05"/>
    <n v="6.22"/>
    <x v="4"/>
    <s v="Bank Transfer"/>
    <x v="2"/>
    <n v="5.8519999999999994"/>
  </r>
  <r>
    <s v="ORD-101082"/>
    <s v="15 May 2024"/>
    <x v="176"/>
    <x v="94"/>
    <s v="sophia.clark53@company.co"/>
    <x v="4"/>
    <x v="1"/>
    <x v="4"/>
    <x v="12"/>
    <n v="1"/>
    <n v="12.72"/>
    <n v="0.15"/>
    <n v="10.55"/>
    <x v="7"/>
    <s v="Credit Card"/>
    <x v="0"/>
    <n v="10.811999999999999"/>
  </r>
  <r>
    <s v="ORD-101177"/>
    <s v="2025-03-30"/>
    <x v="254"/>
    <x v="39"/>
    <s v="ella.williams32@company.co"/>
    <x v="4"/>
    <x v="5"/>
    <x v="2"/>
    <x v="4"/>
    <n v="5"/>
    <n v="6.8"/>
    <n v="0.05"/>
    <n v="9.2200000000000006"/>
    <x v="4"/>
    <s v="Credit Card"/>
    <x v="2"/>
    <n v="32.299999999999997"/>
  </r>
  <r>
    <s v="ORD-100347"/>
    <s v="23-10-2025"/>
    <x v="347"/>
    <x v="39"/>
    <s v="ella.williams80@company.co"/>
    <x v="2"/>
    <x v="2"/>
    <x v="2"/>
    <x v="4"/>
    <n v="1"/>
    <n v="6.52"/>
    <n v="0.15"/>
    <n v="0.31"/>
    <x v="0"/>
    <s v="COD"/>
    <x v="2"/>
    <n v="5.5419999999999998"/>
  </r>
  <r>
    <s v="ORD-100534"/>
    <s v="29 Jun 2024"/>
    <x v="348"/>
    <x v="102"/>
    <s v="emma.moore15@yahoo.com"/>
    <x v="0"/>
    <x v="9"/>
    <x v="4"/>
    <x v="8"/>
    <n v="1"/>
    <n v="15.07"/>
    <n v="0.05"/>
    <n v="5.21"/>
    <x v="7"/>
    <s v="COD"/>
    <x v="2"/>
    <n v="14.3165"/>
  </r>
  <r>
    <s v="ORD-101050"/>
    <s v="August 29, 2025"/>
    <x v="72"/>
    <x v="189"/>
    <s v="olivia.taylor55@yahoo.com"/>
    <x v="2"/>
    <x v="2"/>
    <x v="1"/>
    <x v="7"/>
    <n v="4"/>
    <n v="44"/>
    <n v="0.1"/>
    <n v="5.95"/>
    <x v="3"/>
    <s v="COD"/>
    <x v="2"/>
    <n v="158.4"/>
  </r>
  <r>
    <s v="ORD-100880"/>
    <s v="18 Feb 2024"/>
    <x v="198"/>
    <x v="229"/>
    <s v="ishaan.johnson43@hotmail.com"/>
    <x v="4"/>
    <x v="11"/>
    <x v="3"/>
    <x v="11"/>
    <n v="2"/>
    <n v="253.87"/>
    <n v="0.15"/>
    <n v="0.04"/>
    <x v="6"/>
    <s v="PayPal"/>
    <x v="2"/>
    <n v="431.57900000000001"/>
  </r>
  <r>
    <s v="ORD-100972"/>
    <s v="09-04-2025"/>
    <x v="349"/>
    <x v="271"/>
    <s v="sophia.taylor16@yahoo.com"/>
    <x v="4"/>
    <x v="5"/>
    <x v="3"/>
    <x v="5"/>
    <n v="3"/>
    <n v="112.92"/>
    <n v="0"/>
    <n v="0"/>
    <x v="7"/>
    <s v="Not Known"/>
    <x v="2"/>
    <n v="338.76"/>
  </r>
  <r>
    <s v="ORD-100755"/>
    <s v="May 06, 2024"/>
    <x v="30"/>
    <x v="140"/>
    <s v="noah.brown60@hotmail.com"/>
    <x v="0"/>
    <x v="0"/>
    <x v="3"/>
    <x v="9"/>
    <n v="4"/>
    <n v="92.41"/>
    <n v="0.05"/>
    <n v="2.98"/>
    <x v="5"/>
    <s v="COD"/>
    <x v="2"/>
    <n v="351.15799999999996"/>
  </r>
  <r>
    <s v="ORD-100446"/>
    <s v="2024-01-10"/>
    <x v="350"/>
    <x v="125"/>
    <s v="Not Known"/>
    <x v="2"/>
    <x v="1"/>
    <x v="1"/>
    <x v="20"/>
    <n v="1"/>
    <n v="19.489999999999998"/>
    <n v="0"/>
    <m/>
    <x v="5"/>
    <s v="Credit Card"/>
    <x v="2"/>
    <n v="19.489999999999998"/>
  </r>
  <r>
    <s v="ORD-100621"/>
    <s v="07/18/2024"/>
    <x v="351"/>
    <x v="42"/>
    <s v="liam.nair94@company.co"/>
    <x v="3"/>
    <x v="10"/>
    <x v="0"/>
    <x v="17"/>
    <n v="1"/>
    <n v="45.95"/>
    <n v="0"/>
    <n v="14.84"/>
    <x v="2"/>
    <s v="Credit Card"/>
    <x v="2"/>
    <n v="45.95"/>
  </r>
  <r>
    <s v="ORD-101134"/>
    <s v="08-03-2024"/>
    <x v="281"/>
    <x v="94"/>
    <s v="sophia.clark30@company.co"/>
    <x v="0"/>
    <x v="0"/>
    <x v="3"/>
    <x v="5"/>
    <n v="10"/>
    <n v="109.79"/>
    <n v="0"/>
    <n v="10.97"/>
    <x v="5"/>
    <s v="PayPal"/>
    <x v="2"/>
    <n v="1097.9000000000001"/>
  </r>
  <r>
    <s v="ORD-101296"/>
    <s v="13 Jun 2025"/>
    <x v="352"/>
    <x v="224"/>
    <s v="ethan.white66@hotmail.com"/>
    <x v="1"/>
    <x v="6"/>
    <x v="2"/>
    <x v="4"/>
    <n v="2"/>
    <n v="6.71"/>
    <n v="0"/>
    <n v="11.22"/>
    <x v="7"/>
    <s v="Not Known"/>
    <x v="0"/>
    <n v="13.42"/>
  </r>
  <r>
    <s v="ORD-100379"/>
    <s v="2025-01-03"/>
    <x v="233"/>
    <x v="237"/>
    <s v="ella.brown75@company.co"/>
    <x v="2"/>
    <x v="2"/>
    <x v="2"/>
    <x v="4"/>
    <n v="3"/>
    <n v="6.41"/>
    <n v="0"/>
    <n v="4.26"/>
    <x v="1"/>
    <s v="PayPal"/>
    <x v="2"/>
    <n v="19.23"/>
  </r>
  <r>
    <s v="ORD-100837"/>
    <s v="05/10/2024"/>
    <x v="353"/>
    <x v="25"/>
    <s v="emma.white72@company.co"/>
    <x v="3"/>
    <x v="4"/>
    <x v="0"/>
    <x v="16"/>
    <n v="10"/>
    <n v="23.61"/>
    <n v="0"/>
    <n v="0"/>
    <x v="4"/>
    <s v="Debit Card"/>
    <x v="2"/>
    <n v="236.1"/>
  </r>
  <r>
    <s v="ORD-100374"/>
    <s v="2025-03-28"/>
    <x v="20"/>
    <x v="166"/>
    <s v="olivia.reddy8@gmail.com"/>
    <x v="1"/>
    <x v="6"/>
    <x v="1"/>
    <x v="1"/>
    <n v="1"/>
    <n v="34.799999999999997"/>
    <n v="0"/>
    <n v="6.48"/>
    <x v="5"/>
    <s v="COD"/>
    <x v="2"/>
    <n v="34.799999999999997"/>
  </r>
  <r>
    <s v="ORD-101261"/>
    <s v="09/11/2025"/>
    <x v="354"/>
    <x v="142"/>
    <s v="ishaan.iyer69@outlook.com"/>
    <x v="4"/>
    <x v="5"/>
    <x v="2"/>
    <x v="10"/>
    <n v="1"/>
    <n v="2.95"/>
    <n v="0"/>
    <n v="7.09"/>
    <x v="5"/>
    <s v="COD"/>
    <x v="2"/>
    <n v="2.95"/>
  </r>
  <r>
    <s v="ORD-101198"/>
    <s v="16 Oct 2025"/>
    <x v="74"/>
    <x v="146"/>
    <s v="aarav.harris2@yahoo.com"/>
    <x v="0"/>
    <x v="9"/>
    <x v="1"/>
    <x v="15"/>
    <n v="5"/>
    <n v="9.0299999999999994"/>
    <n v="0.05"/>
    <n v="8.33"/>
    <x v="2"/>
    <s v="Debit Card"/>
    <x v="2"/>
    <n v="42.892499999999998"/>
  </r>
  <r>
    <s v="ORD-100913"/>
    <s v="10/07/25"/>
    <x v="6"/>
    <x v="258"/>
    <s v="chloe.johnson37@hotmail.com"/>
    <x v="4"/>
    <x v="1"/>
    <x v="0"/>
    <x v="16"/>
    <n v="1"/>
    <n v="21.67"/>
    <n v="0"/>
    <n v="5.05"/>
    <x v="2"/>
    <s v="Not Known"/>
    <x v="2"/>
    <n v="21.67"/>
  </r>
  <r>
    <s v="ORD-100866"/>
    <s v="06-07-2024"/>
    <x v="355"/>
    <x v="272"/>
    <s v="grace.johnson93@gmail.com"/>
    <x v="4"/>
    <x v="11"/>
    <x v="0"/>
    <x v="22"/>
    <n v="1"/>
    <n v="82.97"/>
    <n v="0"/>
    <n v="10.3"/>
    <x v="0"/>
    <s v="Debit Card"/>
    <x v="0"/>
    <n v="82.97"/>
  </r>
  <r>
    <s v="ORD-100503"/>
    <s v="30-07-2025"/>
    <x v="356"/>
    <x v="273"/>
    <s v="advait.reddy93@yahoo.com"/>
    <x v="2"/>
    <x v="1"/>
    <x v="2"/>
    <x v="10"/>
    <n v="2"/>
    <n v="3.1"/>
    <n v="0.15"/>
    <n v="11.8"/>
    <x v="0"/>
    <s v="Not Known"/>
    <x v="3"/>
    <n v="5.27"/>
  </r>
  <r>
    <s v="ORD-100525"/>
    <s v="01/16/2024"/>
    <x v="357"/>
    <x v="251"/>
    <s v="grace.kapoor59@yahoo.com"/>
    <x v="3"/>
    <x v="4"/>
    <x v="3"/>
    <x v="9"/>
    <n v="1"/>
    <n v="87.59"/>
    <n v="0.1"/>
    <n v="11.48"/>
    <x v="3"/>
    <s v="COD"/>
    <x v="2"/>
    <n v="78.831000000000003"/>
  </r>
  <r>
    <s v="ORD-100231"/>
    <s v="February 29, 2024"/>
    <x v="80"/>
    <x v="274"/>
    <s v="rohan.johnson91@company.co"/>
    <x v="1"/>
    <x v="1"/>
    <x v="0"/>
    <x v="17"/>
    <n v="5"/>
    <n v="42.81"/>
    <n v="0"/>
    <n v="11.01"/>
    <x v="0"/>
    <s v="Credit Card"/>
    <x v="2"/>
    <n v="214.05"/>
  </r>
  <r>
    <s v="ORD-100147"/>
    <s v="12/21/25"/>
    <x v="242"/>
    <x v="110"/>
    <s v="zara.davis4@outlook.com"/>
    <x v="4"/>
    <x v="11"/>
    <x v="0"/>
    <x v="17"/>
    <n v="1"/>
    <n v="46.19"/>
    <n v="0.1"/>
    <n v="8.4499999999999993"/>
    <x v="1"/>
    <s v="Not Known"/>
    <x v="2"/>
    <n v="41.570999999999998"/>
  </r>
  <r>
    <s v="ORD-100382"/>
    <s v="04/20/2025"/>
    <x v="358"/>
    <x v="275"/>
    <s v="ava.kapoor67@hotmail.com"/>
    <x v="4"/>
    <x v="5"/>
    <x v="4"/>
    <x v="18"/>
    <n v="1"/>
    <n v="30.67"/>
    <n v="0"/>
    <m/>
    <x v="3"/>
    <s v="COD"/>
    <x v="2"/>
    <n v="30.67"/>
  </r>
  <r>
    <s v="ORD-100167"/>
    <s v="2024-07-03"/>
    <x v="359"/>
    <x v="197"/>
    <s v="daniel.thomas92@company.co"/>
    <x v="2"/>
    <x v="2"/>
    <x v="4"/>
    <x v="12"/>
    <n v="1"/>
    <n v="13.47"/>
    <n v="0.05"/>
    <n v="14.8"/>
    <x v="4"/>
    <s v="COD"/>
    <x v="2"/>
    <n v="12.7965"/>
  </r>
  <r>
    <s v="ORD-100630"/>
    <s v="03/08/25"/>
    <x v="126"/>
    <x v="66"/>
    <s v="olivia.gupta34@yahoo.com"/>
    <x v="0"/>
    <x v="8"/>
    <x v="3"/>
    <x v="11"/>
    <n v="3"/>
    <n v="261.13"/>
    <n v="0.1"/>
    <n v="13.53"/>
    <x v="0"/>
    <s v="Credit Card"/>
    <x v="3"/>
    <n v="705.05100000000004"/>
  </r>
  <r>
    <s v="ORD-100072"/>
    <s v="17-01-2024"/>
    <x v="81"/>
    <x v="51"/>
    <s v="ella.sharma33@company.co"/>
    <x v="4"/>
    <x v="5"/>
    <x v="3"/>
    <x v="21"/>
    <n v="10"/>
    <n v="134.85"/>
    <n v="0"/>
    <n v="0"/>
    <x v="1"/>
    <s v="COD"/>
    <x v="2"/>
    <n v="1348.5"/>
  </r>
  <r>
    <s v="ORD-100070"/>
    <s v="08/08/2024"/>
    <x v="360"/>
    <x v="84"/>
    <s v="Not Known"/>
    <x v="1"/>
    <x v="1"/>
    <x v="2"/>
    <x v="4"/>
    <n v="1"/>
    <n v="6.36"/>
    <n v="0.05"/>
    <n v="9.1300000000000008"/>
    <x v="7"/>
    <s v="Credit Card"/>
    <x v="3"/>
    <n v="6.0419999999999998"/>
  </r>
  <r>
    <s v="ORD-100799"/>
    <s v="10/23/2024"/>
    <x v="156"/>
    <x v="25"/>
    <s v="emma.white51@company.co"/>
    <x v="0"/>
    <x v="0"/>
    <x v="0"/>
    <x v="0"/>
    <n v="2"/>
    <n v="39.270000000000003"/>
    <n v="0.1"/>
    <n v="3.92"/>
    <x v="0"/>
    <s v="Bank Transfer"/>
    <x v="2"/>
    <n v="70.686000000000007"/>
  </r>
  <r>
    <s v="ORD-101299"/>
    <s v="12/23/25"/>
    <x v="361"/>
    <x v="45"/>
    <s v="kabir.harris9@gmail.com"/>
    <x v="1"/>
    <x v="6"/>
    <x v="3"/>
    <x v="9"/>
    <n v="10"/>
    <n v="89.89"/>
    <n v="0.05"/>
    <n v="5.79"/>
    <x v="2"/>
    <s v="Debit Card"/>
    <x v="2"/>
    <n v="853.95499999999993"/>
  </r>
  <r>
    <s v="ORD-100171"/>
    <s v="12/12/25"/>
    <x v="69"/>
    <x v="276"/>
    <s v="grace.jackson27@company.co"/>
    <x v="3"/>
    <x v="4"/>
    <x v="1"/>
    <x v="1"/>
    <n v="1"/>
    <n v="33.619999999999997"/>
    <n v="0"/>
    <n v="0"/>
    <x v="7"/>
    <s v="COD"/>
    <x v="2"/>
    <n v="33.619999999999997"/>
  </r>
  <r>
    <s v="ORD-100130"/>
    <s v="2025-03-31"/>
    <x v="362"/>
    <x v="277"/>
    <s v="ishaan.white88@hotmail.com"/>
    <x v="1"/>
    <x v="6"/>
    <x v="2"/>
    <x v="3"/>
    <n v="1"/>
    <n v="7.92"/>
    <n v="0"/>
    <n v="12.26"/>
    <x v="7"/>
    <s v="COD"/>
    <x v="2"/>
    <n v="7.92"/>
  </r>
  <r>
    <s v="ORD-100168"/>
    <s v="2024-01-05"/>
    <x v="363"/>
    <x v="278"/>
    <s v="noah.nair50@company.co"/>
    <x v="1"/>
    <x v="6"/>
    <x v="2"/>
    <x v="14"/>
    <n v="5"/>
    <n v="4.28"/>
    <n v="0"/>
    <n v="5.6"/>
    <x v="6"/>
    <s v="PayPal"/>
    <x v="2"/>
    <n v="21.400000000000002"/>
  </r>
  <r>
    <s v="ORD-100493"/>
    <s v="2024-10-22"/>
    <x v="269"/>
    <x v="44"/>
    <s v="daniel.nair45@company.co"/>
    <x v="0"/>
    <x v="0"/>
    <x v="4"/>
    <x v="8"/>
    <n v="1"/>
    <n v="14.71"/>
    <n v="0"/>
    <n v="10.28"/>
    <x v="3"/>
    <s v="COD"/>
    <x v="2"/>
    <n v="14.71"/>
  </r>
  <r>
    <s v="ORD-100264"/>
    <s v="19-04-2024"/>
    <x v="364"/>
    <x v="257"/>
    <s v="lily.clark92@gmail.com"/>
    <x v="1"/>
    <x v="6"/>
    <x v="1"/>
    <x v="7"/>
    <n v="2"/>
    <n v="41.91"/>
    <n v="0.15"/>
    <n v="11.89"/>
    <x v="3"/>
    <s v="Debit Card"/>
    <x v="1"/>
    <n v="71.246999999999986"/>
  </r>
  <r>
    <s v="ORD-101284"/>
    <s v="February 23, 2024"/>
    <x v="229"/>
    <x v="245"/>
    <s v="ava.brown31@hotmail.com"/>
    <x v="1"/>
    <x v="6"/>
    <x v="2"/>
    <x v="10"/>
    <n v="1"/>
    <n v="2.98"/>
    <n v="0.1"/>
    <n v="2.6"/>
    <x v="4"/>
    <s v="Credit Card"/>
    <x v="2"/>
    <n v="2.6819999999999999"/>
  </r>
  <r>
    <s v="ORD-101158"/>
    <s v="16 Oct 2024"/>
    <x v="365"/>
    <x v="279"/>
    <s v="ava.white47@gmail.com"/>
    <x v="2"/>
    <x v="2"/>
    <x v="0"/>
    <x v="22"/>
    <n v="1"/>
    <n v="82.5"/>
    <n v="0.15"/>
    <n v="14.01"/>
    <x v="3"/>
    <s v="Bank Transfer"/>
    <x v="2"/>
    <n v="70.125"/>
  </r>
  <r>
    <s v="ORD-101016"/>
    <s v="02 Mar 2025"/>
    <x v="366"/>
    <x v="161"/>
    <s v="noah.jackson58@outlook.com"/>
    <x v="4"/>
    <x v="1"/>
    <x v="3"/>
    <x v="9"/>
    <n v="10"/>
    <n v="91.41"/>
    <n v="0.1"/>
    <n v="6.68"/>
    <x v="7"/>
    <s v="COD"/>
    <x v="2"/>
    <n v="822.68999999999994"/>
  </r>
  <r>
    <s v="ORD-100272"/>
    <s v="28-01-2024"/>
    <x v="140"/>
    <x v="280"/>
    <s v="olivia.white80@outlook.com"/>
    <x v="0"/>
    <x v="8"/>
    <x v="1"/>
    <x v="1"/>
    <n v="2"/>
    <n v="36.47"/>
    <n v="0.1"/>
    <m/>
    <x v="5"/>
    <s v="Not Known"/>
    <x v="3"/>
    <n v="65.646000000000001"/>
  </r>
  <r>
    <s v="ORD-101289"/>
    <s v="December 19, 2024"/>
    <x v="367"/>
    <x v="147"/>
    <s v="kabir.white2@gmail.com"/>
    <x v="4"/>
    <x v="5"/>
    <x v="0"/>
    <x v="16"/>
    <n v="10"/>
    <n v="23.52"/>
    <n v="0.05"/>
    <n v="11.99"/>
    <x v="4"/>
    <s v="Debit Card"/>
    <x v="2"/>
    <n v="223.43999999999997"/>
  </r>
  <r>
    <s v="ORD-100420"/>
    <s v="August 09, 2025"/>
    <x v="55"/>
    <x v="25"/>
    <s v="Not Known"/>
    <x v="1"/>
    <x v="6"/>
    <x v="3"/>
    <x v="5"/>
    <n v="1"/>
    <n v="108.54"/>
    <n v="0"/>
    <n v="11.18"/>
    <x v="2"/>
    <s v="Debit Card"/>
    <x v="2"/>
    <n v="108.54"/>
  </r>
  <r>
    <s v="ORD-100094"/>
    <s v="19 Feb 2025"/>
    <x v="368"/>
    <x v="115"/>
    <s v="aarav.taylor82@yahoo.com"/>
    <x v="2"/>
    <x v="1"/>
    <x v="1"/>
    <x v="7"/>
    <n v="2"/>
    <n v="40.58"/>
    <n v="0"/>
    <n v="6.01"/>
    <x v="5"/>
    <s v="Credit Card"/>
    <x v="2"/>
    <n v="81.16"/>
  </r>
  <r>
    <s v="ORD-100954"/>
    <s v="04-04-2024"/>
    <x v="64"/>
    <x v="105"/>
    <s v="liam.johnson77@gmail.com"/>
    <x v="1"/>
    <x v="1"/>
    <x v="0"/>
    <x v="22"/>
    <n v="1"/>
    <n v="79.900000000000006"/>
    <n v="0.05"/>
    <n v="4.04"/>
    <x v="1"/>
    <s v="Not Known"/>
    <x v="0"/>
    <n v="75.905000000000001"/>
  </r>
  <r>
    <s v="ORD-101153"/>
    <s v="2025-07-11"/>
    <x v="369"/>
    <x v="281"/>
    <s v="noah.kapoor52@company.co"/>
    <x v="3"/>
    <x v="4"/>
    <x v="1"/>
    <x v="20"/>
    <n v="1"/>
    <n v="18.13"/>
    <n v="0"/>
    <n v="13.14"/>
    <x v="6"/>
    <s v="Credit Card"/>
    <x v="3"/>
    <n v="18.13"/>
  </r>
  <r>
    <s v="ORD-100042"/>
    <s v="April 12, 2024"/>
    <x v="264"/>
    <x v="66"/>
    <s v="olivia.gupta57@gmail.com"/>
    <x v="1"/>
    <x v="6"/>
    <x v="4"/>
    <x v="6"/>
    <n v="1"/>
    <n v="62.92"/>
    <n v="0.05"/>
    <n v="0"/>
    <x v="2"/>
    <s v="Debit Card"/>
    <x v="2"/>
    <n v="59.774000000000001"/>
  </r>
  <r>
    <s v="ORD-100056"/>
    <s v="03 Nov 2025"/>
    <x v="370"/>
    <x v="196"/>
    <s v="olivia.moore20@hotmail.com"/>
    <x v="3"/>
    <x v="4"/>
    <x v="0"/>
    <x v="22"/>
    <n v="3"/>
    <n v="81.349999999999994"/>
    <n v="0.1"/>
    <n v="5.25"/>
    <x v="4"/>
    <s v="Credit Card"/>
    <x v="3"/>
    <n v="219.64499999999998"/>
  </r>
  <r>
    <s v="ORD-101156"/>
    <s v="July 11, 2024"/>
    <x v="371"/>
    <x v="83"/>
    <s v="grace.white55@company.co"/>
    <x v="1"/>
    <x v="6"/>
    <x v="3"/>
    <x v="9"/>
    <n v="1"/>
    <n v="85.77"/>
    <n v="0.05"/>
    <n v="11.83"/>
    <x v="5"/>
    <s v="Credit Card"/>
    <x v="2"/>
    <n v="81.481499999999997"/>
  </r>
  <r>
    <s v="ORD-100638"/>
    <s v="12/30/2025"/>
    <x v="65"/>
    <x v="143"/>
    <s v="zara.taylor28@hotmail.com"/>
    <x v="4"/>
    <x v="11"/>
    <x v="4"/>
    <x v="6"/>
    <n v="4"/>
    <n v="61.39"/>
    <n v="0.05"/>
    <n v="13.1"/>
    <x v="4"/>
    <s v="Debit Card"/>
    <x v="2"/>
    <n v="233.28199999999998"/>
  </r>
  <r>
    <s v="ORD-100038"/>
    <s v="2024-11-27"/>
    <x v="138"/>
    <x v="282"/>
    <s v="mia.reddy33@company.co"/>
    <x v="0"/>
    <x v="9"/>
    <x v="3"/>
    <x v="21"/>
    <n v="4"/>
    <n v="133.61000000000001"/>
    <n v="0.05"/>
    <n v="7.72"/>
    <x v="6"/>
    <s v="COD"/>
    <x v="2"/>
    <n v="507.71800000000002"/>
  </r>
  <r>
    <s v="ORD-100306"/>
    <s v="04 Jan 2025"/>
    <x v="372"/>
    <x v="283"/>
    <s v="noah.taylor35@outlook.com"/>
    <x v="0"/>
    <x v="0"/>
    <x v="0"/>
    <x v="17"/>
    <n v="1"/>
    <n v="46.55"/>
    <n v="0"/>
    <n v="5.34"/>
    <x v="0"/>
    <s v="PayPal"/>
    <x v="2"/>
    <n v="46.55"/>
  </r>
  <r>
    <s v="ORD-100620"/>
    <s v="21-11-2025"/>
    <x v="373"/>
    <x v="267"/>
    <s v="grace.gupta90@company.co"/>
    <x v="1"/>
    <x v="1"/>
    <x v="3"/>
    <x v="9"/>
    <n v="1"/>
    <n v="92.98"/>
    <n v="0.05"/>
    <n v="11.98"/>
    <x v="7"/>
    <s v="Credit Card"/>
    <x v="2"/>
    <n v="88.331000000000003"/>
  </r>
  <r>
    <s v="ORD-100581"/>
    <s v="08/21/24"/>
    <x v="374"/>
    <x v="284"/>
    <s v="zara.white68@gmail.com"/>
    <x v="0"/>
    <x v="8"/>
    <x v="2"/>
    <x v="10"/>
    <n v="1"/>
    <n v="3.13"/>
    <n v="0.05"/>
    <n v="0.49"/>
    <x v="5"/>
    <s v="PayPal"/>
    <x v="2"/>
    <n v="2.9734999999999996"/>
  </r>
  <r>
    <s v="ORD-100408"/>
    <s v="22-03-2024"/>
    <x v="78"/>
    <x v="76"/>
    <s v="kabir.thomas22@gmail.com"/>
    <x v="4"/>
    <x v="1"/>
    <x v="4"/>
    <x v="18"/>
    <n v="1"/>
    <n v="29.05"/>
    <n v="0.05"/>
    <n v="4.1500000000000004"/>
    <x v="4"/>
    <s v="Credit Card"/>
    <x v="2"/>
    <n v="27.5975"/>
  </r>
  <r>
    <s v="ORD-100166"/>
    <s v="August 20, 2025"/>
    <x v="375"/>
    <x v="162"/>
    <s v="daniel.anderson82@gmail.com"/>
    <x v="4"/>
    <x v="5"/>
    <x v="1"/>
    <x v="15"/>
    <n v="2"/>
    <n v="9.36"/>
    <n v="0.1"/>
    <n v="0"/>
    <x v="1"/>
    <s v="Bank Transfer"/>
    <x v="2"/>
    <n v="16.847999999999999"/>
  </r>
  <r>
    <s v="ORD-101214"/>
    <s v="2025-06-28"/>
    <x v="376"/>
    <x v="285"/>
    <s v="ethan.moore48@yahoo.com"/>
    <x v="0"/>
    <x v="9"/>
    <x v="4"/>
    <x v="6"/>
    <n v="1"/>
    <n v="57.9"/>
    <n v="0.05"/>
    <n v="0"/>
    <x v="5"/>
    <s v="COD"/>
    <x v="3"/>
    <n v="55.004999999999995"/>
  </r>
  <r>
    <s v="ORD-101378"/>
    <s v="May 28, 2025"/>
    <x v="377"/>
    <x v="202"/>
    <s v="aarav.reddy12@outlook.com"/>
    <x v="3"/>
    <x v="7"/>
    <x v="1"/>
    <x v="19"/>
    <n v="1"/>
    <n v="25.66"/>
    <n v="0.1"/>
    <n v="12.46"/>
    <x v="2"/>
    <s v="COD"/>
    <x v="0"/>
    <n v="23.094000000000001"/>
  </r>
  <r>
    <s v="ORD-101033"/>
    <s v="11-01-2024"/>
    <x v="378"/>
    <x v="30"/>
    <s v="ishaan.davis46@yahoo.com"/>
    <x v="3"/>
    <x v="3"/>
    <x v="0"/>
    <x v="22"/>
    <n v="2"/>
    <n v="78.510000000000005"/>
    <n v="0"/>
    <n v="10.8"/>
    <x v="2"/>
    <s v="Credit Card"/>
    <x v="2"/>
    <n v="157.02000000000001"/>
  </r>
  <r>
    <s v="ORD-101368"/>
    <s v="03 Mar 2025"/>
    <x v="133"/>
    <x v="185"/>
    <s v="chloe.iyer93@company.co"/>
    <x v="0"/>
    <x v="0"/>
    <x v="0"/>
    <x v="0"/>
    <n v="2"/>
    <n v="39.64"/>
    <n v="0.1"/>
    <n v="0"/>
    <x v="4"/>
    <s v="Not Known"/>
    <x v="2"/>
    <n v="71.352000000000004"/>
  </r>
  <r>
    <s v="ORD-100649"/>
    <s v="05/06/24"/>
    <x v="30"/>
    <x v="57"/>
    <s v="ava.miller90@hotmail.com"/>
    <x v="3"/>
    <x v="7"/>
    <x v="3"/>
    <x v="21"/>
    <n v="1"/>
    <n v="128.26"/>
    <n v="0"/>
    <n v="0"/>
    <x v="2"/>
    <s v="Not Known"/>
    <x v="0"/>
    <n v="128.26"/>
  </r>
  <r>
    <s v="ORD-100587"/>
    <s v="05-04-2025"/>
    <x v="32"/>
    <x v="61"/>
    <s v="chloe.moore41@outlook.com"/>
    <x v="0"/>
    <x v="9"/>
    <x v="0"/>
    <x v="16"/>
    <n v="2"/>
    <n v="23.13"/>
    <n v="0.1"/>
    <n v="11.44"/>
    <x v="6"/>
    <s v="Not Known"/>
    <x v="1"/>
    <n v="41.634"/>
  </r>
  <r>
    <s v="ORD-100316"/>
    <s v="09-07-2025"/>
    <x v="132"/>
    <x v="286"/>
    <s v="advait.white34@company.co"/>
    <x v="4"/>
    <x v="5"/>
    <x v="3"/>
    <x v="11"/>
    <n v="1"/>
    <n v="244.09"/>
    <n v="0"/>
    <n v="8.1999999999999993"/>
    <x v="6"/>
    <s v="Debit Card"/>
    <x v="2"/>
    <n v="244.09"/>
  </r>
  <r>
    <s v="ORD-100892"/>
    <s v="10/25/25"/>
    <x v="379"/>
    <x v="147"/>
    <s v="kabir.white21@company.co"/>
    <x v="0"/>
    <x v="0"/>
    <x v="2"/>
    <x v="3"/>
    <n v="5"/>
    <n v="8.1"/>
    <n v="0.1"/>
    <n v="6.16"/>
    <x v="4"/>
    <s v="COD"/>
    <x v="2"/>
    <n v="36.450000000000003"/>
  </r>
  <r>
    <s v="ORD-101246"/>
    <s v="06/09/2025"/>
    <x v="144"/>
    <x v="88"/>
    <s v="noah.clark17@hotmail.com"/>
    <x v="0"/>
    <x v="8"/>
    <x v="3"/>
    <x v="21"/>
    <n v="1"/>
    <n v="123.11"/>
    <n v="0.1"/>
    <n v="7.78"/>
    <x v="6"/>
    <s v="Credit Card"/>
    <x v="2"/>
    <n v="110.79900000000001"/>
  </r>
  <r>
    <s v="ORD-100984"/>
    <s v="06/10/25"/>
    <x v="380"/>
    <x v="287"/>
    <s v="mia.nair55@outlook.com"/>
    <x v="3"/>
    <x v="7"/>
    <x v="0"/>
    <x v="17"/>
    <n v="10"/>
    <n v="43.52"/>
    <n v="0.1"/>
    <n v="6.95"/>
    <x v="6"/>
    <s v="Credit Card"/>
    <x v="2"/>
    <n v="391.68000000000006"/>
  </r>
  <r>
    <s v="ORD-100598"/>
    <s v="May 11, 2024"/>
    <x v="105"/>
    <x v="270"/>
    <s v="kabir.taylor2@yahoo.com"/>
    <x v="2"/>
    <x v="1"/>
    <x v="5"/>
    <x v="1"/>
    <n v="5"/>
    <n v="35.49"/>
    <n v="0"/>
    <n v="7.05"/>
    <x v="6"/>
    <s v="Credit Card"/>
    <x v="2"/>
    <n v="177.45000000000002"/>
  </r>
  <r>
    <s v="ORD-100533"/>
    <s v="15-10-2025"/>
    <x v="169"/>
    <x v="92"/>
    <s v="ava.johnson31@company.co"/>
    <x v="1"/>
    <x v="1"/>
    <x v="1"/>
    <x v="13"/>
    <n v="1"/>
    <n v="181.77"/>
    <n v="0.05"/>
    <n v="14.32"/>
    <x v="0"/>
    <s v="Not Known"/>
    <x v="2"/>
    <n v="172.6815"/>
  </r>
  <r>
    <s v="ORD-100832"/>
    <s v="11 Sep 2024"/>
    <x v="49"/>
    <x v="101"/>
    <s v="lily.harris41@company.co"/>
    <x v="2"/>
    <x v="2"/>
    <x v="1"/>
    <x v="20"/>
    <n v="1"/>
    <n v="18.940000000000001"/>
    <n v="0.05"/>
    <n v="1.5"/>
    <x v="0"/>
    <s v="PayPal"/>
    <x v="0"/>
    <n v="17.993000000000002"/>
  </r>
  <r>
    <s v="ORD-100565"/>
    <s v="27-10-2024"/>
    <x v="381"/>
    <x v="76"/>
    <s v="kabir.thomas23@gmail.com"/>
    <x v="2"/>
    <x v="1"/>
    <x v="1"/>
    <x v="13"/>
    <n v="1"/>
    <n v="189.23"/>
    <n v="0.15"/>
    <n v="0"/>
    <x v="4"/>
    <s v="PayPal"/>
    <x v="2"/>
    <n v="160.84549999999999"/>
  </r>
  <r>
    <s v="ORD-100744"/>
    <s v="2024-07-01"/>
    <x v="382"/>
    <x v="288"/>
    <s v="advait.harris18@outlook.com"/>
    <x v="4"/>
    <x v="1"/>
    <x v="0"/>
    <x v="17"/>
    <n v="1"/>
    <n v="43.84"/>
    <n v="0.15"/>
    <n v="12.57"/>
    <x v="2"/>
    <s v="Not Known"/>
    <x v="2"/>
    <n v="37.264000000000003"/>
  </r>
  <r>
    <s v="ORD-100974"/>
    <s v="July 16, 2024"/>
    <x v="23"/>
    <x v="96"/>
    <s v="aarav.nair45@gmail.com"/>
    <x v="4"/>
    <x v="11"/>
    <x v="4"/>
    <x v="6"/>
    <n v="1"/>
    <n v="57.07"/>
    <n v="0.05"/>
    <n v="6.29"/>
    <x v="6"/>
    <s v="Credit Card"/>
    <x v="2"/>
    <n v="54.216499999999996"/>
  </r>
  <r>
    <s v="ORD-101256"/>
    <s v="16-11-2024"/>
    <x v="383"/>
    <x v="289"/>
    <s v="sophia.johnson56@yahoo.com"/>
    <x v="0"/>
    <x v="0"/>
    <x v="2"/>
    <x v="14"/>
    <n v="1"/>
    <n v="4.3499999999999996"/>
    <n v="0"/>
    <n v="0"/>
    <x v="5"/>
    <s v="COD"/>
    <x v="3"/>
    <n v="4.3499999999999996"/>
  </r>
  <r>
    <s v="ORD-100610"/>
    <s v="03/05/25"/>
    <x v="384"/>
    <x v="259"/>
    <s v="emma.iyer43@outlook.com"/>
    <x v="1"/>
    <x v="6"/>
    <x v="2"/>
    <x v="3"/>
    <n v="4"/>
    <n v="8.06"/>
    <n v="0"/>
    <n v="5.35"/>
    <x v="6"/>
    <s v="Credit Card"/>
    <x v="2"/>
    <n v="32.24"/>
  </r>
  <r>
    <s v="ORD-100603"/>
    <s v="19 Feb 2025"/>
    <x v="368"/>
    <x v="24"/>
    <s v="daniel.sharma74@outlook.com"/>
    <x v="1"/>
    <x v="1"/>
    <x v="1"/>
    <x v="15"/>
    <n v="1"/>
    <n v="9.6300000000000008"/>
    <n v="0.1"/>
    <n v="3.94"/>
    <x v="3"/>
    <s v="Credit Card"/>
    <x v="3"/>
    <n v="8.6670000000000016"/>
  </r>
  <r>
    <s v="ORD-100061"/>
    <s v="2025-10-10"/>
    <x v="309"/>
    <x v="285"/>
    <s v="Not Known"/>
    <x v="0"/>
    <x v="9"/>
    <x v="1"/>
    <x v="15"/>
    <n v="10"/>
    <n v="9.44"/>
    <n v="0"/>
    <n v="13.59"/>
    <x v="4"/>
    <s v="PayPal"/>
    <x v="2"/>
    <n v="94.399999999999991"/>
  </r>
  <r>
    <s v="ORD-100978"/>
    <s v="31-08-2025"/>
    <x v="44"/>
    <x v="139"/>
    <s v="rohan.davis5@yahoo.com"/>
    <x v="2"/>
    <x v="2"/>
    <x v="2"/>
    <x v="4"/>
    <n v="10"/>
    <n v="6.48"/>
    <n v="0.1"/>
    <n v="5.86"/>
    <x v="7"/>
    <s v="COD"/>
    <x v="2"/>
    <n v="58.320000000000014"/>
  </r>
  <r>
    <s v="ORD-100536"/>
    <s v="2025-01-23"/>
    <x v="385"/>
    <x v="78"/>
    <s v="lily.nair3@gmail.com"/>
    <x v="0"/>
    <x v="9"/>
    <x v="2"/>
    <x v="2"/>
    <n v="2"/>
    <n v="14.53"/>
    <n v="0"/>
    <n v="13.68"/>
    <x v="5"/>
    <s v="COD"/>
    <x v="2"/>
    <n v="29.06"/>
  </r>
  <r>
    <s v="ORD-100978"/>
    <s v="31-08-2025"/>
    <x v="44"/>
    <x v="139"/>
    <s v="rohan.davis5@yahoo.com"/>
    <x v="2"/>
    <x v="2"/>
    <x v="2"/>
    <x v="4"/>
    <n v="10"/>
    <n v="6.48"/>
    <n v="0.1"/>
    <n v="5.86"/>
    <x v="7"/>
    <s v="COD"/>
    <x v="2"/>
    <n v="58.320000000000014"/>
  </r>
  <r>
    <s v="ORD-100953"/>
    <s v="July 04, 2024"/>
    <x v="386"/>
    <x v="50"/>
    <s v="sophia.nair22@outlook.com"/>
    <x v="4"/>
    <x v="5"/>
    <x v="4"/>
    <x v="6"/>
    <n v="10"/>
    <n v="57.93"/>
    <n v="0"/>
    <n v="10.220000000000001"/>
    <x v="4"/>
    <s v="Credit Card"/>
    <x v="0"/>
    <n v="579.29999999999995"/>
  </r>
  <r>
    <s v="ORD-100244"/>
    <s v="05/28/24"/>
    <x v="387"/>
    <x v="290"/>
    <s v="ishaan.gupta56@hotmail.com"/>
    <x v="2"/>
    <x v="2"/>
    <x v="4"/>
    <x v="18"/>
    <n v="1"/>
    <n v="29.11"/>
    <n v="0"/>
    <n v="4.76"/>
    <x v="5"/>
    <s v="Credit Card"/>
    <x v="0"/>
    <n v="29.11"/>
  </r>
  <r>
    <s v="ORD-100025"/>
    <s v="2024-01-28"/>
    <x v="140"/>
    <x v="188"/>
    <s v="rohan.gupta85@company.co"/>
    <x v="0"/>
    <x v="9"/>
    <x v="1"/>
    <x v="13"/>
    <n v="4"/>
    <n v="186.88"/>
    <n v="0"/>
    <n v="13"/>
    <x v="2"/>
    <s v="Credit Card"/>
    <x v="3"/>
    <n v="747.52"/>
  </r>
  <r>
    <s v="ORD-100222"/>
    <s v="12/11/25"/>
    <x v="179"/>
    <x v="90"/>
    <s v="sophia.iyer79@yahoo.com"/>
    <x v="3"/>
    <x v="3"/>
    <x v="4"/>
    <x v="6"/>
    <n v="4"/>
    <n v="59.36"/>
    <n v="0.1"/>
    <n v="11.14"/>
    <x v="0"/>
    <s v="Debit Card"/>
    <x v="2"/>
    <n v="213.696"/>
  </r>
  <r>
    <s v="ORD-100860"/>
    <s v="12/18/2024"/>
    <x v="175"/>
    <x v="88"/>
    <s v="noah.clark53@hotmail.com"/>
    <x v="0"/>
    <x v="0"/>
    <x v="0"/>
    <x v="22"/>
    <n v="2"/>
    <n v="80.48"/>
    <n v="0.05"/>
    <n v="14.35"/>
    <x v="5"/>
    <s v="Debit Card"/>
    <x v="2"/>
    <n v="152.91200000000001"/>
  </r>
  <r>
    <s v="ORD-100105"/>
    <s v="08/14/24"/>
    <x v="277"/>
    <x v="193"/>
    <s v="Not Known"/>
    <x v="2"/>
    <x v="2"/>
    <x v="3"/>
    <x v="9"/>
    <n v="5"/>
    <n v="87.75"/>
    <n v="0"/>
    <n v="0"/>
    <x v="7"/>
    <s v="PayPal"/>
    <x v="2"/>
    <n v="438.75"/>
  </r>
  <r>
    <s v="ORD-101008"/>
    <s v="February 04, 2025"/>
    <x v="224"/>
    <x v="10"/>
    <s v="noah.miller16@yahoo.com"/>
    <x v="2"/>
    <x v="1"/>
    <x v="1"/>
    <x v="15"/>
    <n v="2"/>
    <n v="9.64"/>
    <n v="0.05"/>
    <n v="5.77"/>
    <x v="7"/>
    <s v="Bank Transfer"/>
    <x v="0"/>
    <n v="18.315999999999999"/>
  </r>
  <r>
    <s v="ORD-100509"/>
    <s v="07-03-2025"/>
    <x v="388"/>
    <x v="77"/>
    <s v="Not Known"/>
    <x v="3"/>
    <x v="3"/>
    <x v="0"/>
    <x v="22"/>
    <n v="10"/>
    <n v="79.180000000000007"/>
    <n v="0"/>
    <n v="11.47"/>
    <x v="2"/>
    <s v="Credit Card"/>
    <x v="2"/>
    <n v="791.80000000000007"/>
  </r>
  <r>
    <s v="ORD-100131"/>
    <s v="2024-05-26"/>
    <x v="127"/>
    <x v="291"/>
    <s v="zara.moore87@yahoo.com"/>
    <x v="2"/>
    <x v="1"/>
    <x v="4"/>
    <x v="12"/>
    <n v="1"/>
    <n v="13.29"/>
    <n v="0.15"/>
    <n v="9.15"/>
    <x v="2"/>
    <s v="Debit Card"/>
    <x v="0"/>
    <n v="11.296499999999998"/>
  </r>
  <r>
    <s v="ORD-100964"/>
    <s v="04/20/25"/>
    <x v="358"/>
    <x v="130"/>
    <s v="zara.williams3@hotmail.com"/>
    <x v="0"/>
    <x v="8"/>
    <x v="0"/>
    <x v="16"/>
    <n v="2"/>
    <n v="23.46"/>
    <n v="0.05"/>
    <n v="10.029999999999999"/>
    <x v="1"/>
    <s v="Credit Card"/>
    <x v="1"/>
    <n v="44.573999999999998"/>
  </r>
  <r>
    <s v="ORD-100606"/>
    <s v="30 Oct 2024"/>
    <x v="389"/>
    <x v="234"/>
    <s v="noah.harris52@yahoo.com"/>
    <x v="0"/>
    <x v="8"/>
    <x v="0"/>
    <x v="0"/>
    <n v="1"/>
    <n v="39.49"/>
    <n v="0.05"/>
    <n v="13.41"/>
    <x v="3"/>
    <s v="PayPal"/>
    <x v="2"/>
    <n v="37.515500000000003"/>
  </r>
  <r>
    <s v="ORD-100508"/>
    <s v="23-10-2024"/>
    <x v="156"/>
    <x v="25"/>
    <s v="Not Known"/>
    <x v="2"/>
    <x v="2"/>
    <x v="5"/>
    <x v="19"/>
    <n v="2"/>
    <n v="23.95"/>
    <n v="0"/>
    <n v="1.02"/>
    <x v="2"/>
    <s v="PayPal"/>
    <x v="2"/>
    <n v="47.9"/>
  </r>
  <r>
    <s v="ORD-101350"/>
    <s v="15 Jun 2025"/>
    <x v="390"/>
    <x v="292"/>
    <s v="mia.miller60@outlook.com"/>
    <x v="2"/>
    <x v="2"/>
    <x v="4"/>
    <x v="6"/>
    <n v="2"/>
    <n v="58.02"/>
    <n v="0.05"/>
    <n v="13.01"/>
    <x v="4"/>
    <s v="Debit Card"/>
    <x v="2"/>
    <n v="110.238"/>
  </r>
  <r>
    <s v="ORD-100075"/>
    <s v="25 Dec 2024"/>
    <x v="391"/>
    <x v="73"/>
    <s v="daniel.moore57@company.co"/>
    <x v="2"/>
    <x v="2"/>
    <x v="0"/>
    <x v="0"/>
    <n v="1"/>
    <n v="40.17"/>
    <n v="0"/>
    <n v="13.67"/>
    <x v="7"/>
    <s v="PayPal"/>
    <x v="2"/>
    <n v="40.17"/>
  </r>
  <r>
    <s v="ORD-100036"/>
    <s v="06-12-2025"/>
    <x v="392"/>
    <x v="287"/>
    <s v="mia.nair60@outlook.com"/>
    <x v="3"/>
    <x v="4"/>
    <x v="2"/>
    <x v="10"/>
    <n v="1"/>
    <n v="3.2"/>
    <n v="0"/>
    <n v="4.08"/>
    <x v="3"/>
    <s v="Debit Card"/>
    <x v="2"/>
    <n v="3.2"/>
  </r>
  <r>
    <s v="ORD-101279"/>
    <s v="26-02-2024"/>
    <x v="238"/>
    <x v="293"/>
    <s v="Not Known"/>
    <x v="1"/>
    <x v="1"/>
    <x v="4"/>
    <x v="6"/>
    <n v="3"/>
    <n v="62.44"/>
    <n v="0.1"/>
    <n v="1.32"/>
    <x v="7"/>
    <s v="Debit Card"/>
    <x v="2"/>
    <n v="168.58799999999999"/>
  </r>
  <r>
    <s v="ORD-100057"/>
    <s v="May 26, 2024"/>
    <x v="127"/>
    <x v="294"/>
    <s v="ava.iyer24@outlook.com"/>
    <x v="3"/>
    <x v="7"/>
    <x v="0"/>
    <x v="17"/>
    <n v="2"/>
    <n v="45.49"/>
    <n v="0"/>
    <n v="2.13"/>
    <x v="6"/>
    <s v="Credit Card"/>
    <x v="2"/>
    <n v="90.98"/>
  </r>
  <r>
    <s v="ORD-100196"/>
    <s v="06 Jul 2025"/>
    <x v="41"/>
    <x v="60"/>
    <s v="arjun.clark70@gmail.com"/>
    <x v="4"/>
    <x v="1"/>
    <x v="3"/>
    <x v="21"/>
    <n v="10"/>
    <n v="131.93"/>
    <n v="0"/>
    <n v="5.49"/>
    <x v="1"/>
    <s v="Not Known"/>
    <x v="3"/>
    <n v="1319.3000000000002"/>
  </r>
  <r>
    <s v="ORD-101199"/>
    <s v="03/25/2024"/>
    <x v="393"/>
    <x v="273"/>
    <s v="Not Known"/>
    <x v="2"/>
    <x v="1"/>
    <x v="1"/>
    <x v="19"/>
    <n v="1"/>
    <n v="24.48"/>
    <n v="0.05"/>
    <n v="0"/>
    <x v="2"/>
    <s v="COD"/>
    <x v="3"/>
    <n v="23.256"/>
  </r>
  <r>
    <s v="ORD-100788"/>
    <s v="2024-07-26"/>
    <x v="276"/>
    <x v="295"/>
    <s v="ishaan.reddy42@company.co"/>
    <x v="4"/>
    <x v="5"/>
    <x v="5"/>
    <x v="11"/>
    <n v="1"/>
    <n v="243.25"/>
    <n v="0.15"/>
    <n v="5.49"/>
    <x v="1"/>
    <s v="Not Known"/>
    <x v="1"/>
    <n v="206.76249999999999"/>
  </r>
  <r>
    <s v="ORD-100783"/>
    <s v="2025-01-12"/>
    <x v="394"/>
    <x v="9"/>
    <s v="daniel.kapoor31@yahoo.com"/>
    <x v="4"/>
    <x v="11"/>
    <x v="0"/>
    <x v="0"/>
    <n v="1"/>
    <n v="39.97"/>
    <n v="0"/>
    <n v="0.45"/>
    <x v="4"/>
    <s v="Not Known"/>
    <x v="1"/>
    <n v="39.97"/>
  </r>
  <r>
    <s v="ORD-100477"/>
    <s v="03/15/2025"/>
    <x v="33"/>
    <x v="136"/>
    <s v="grace.nair50@hotmail.com"/>
    <x v="3"/>
    <x v="7"/>
    <x v="2"/>
    <x v="14"/>
    <n v="4"/>
    <n v="4.4400000000000004"/>
    <n v="0.05"/>
    <n v="13.47"/>
    <x v="5"/>
    <s v="Debit Card"/>
    <x v="2"/>
    <n v="16.872"/>
  </r>
  <r>
    <s v="ORD-100086"/>
    <s v="April 30, 2025"/>
    <x v="395"/>
    <x v="8"/>
    <s v="ethan.kapoor43@gmail.com"/>
    <x v="2"/>
    <x v="2"/>
    <x v="0"/>
    <x v="22"/>
    <n v="1"/>
    <n v="82.03"/>
    <n v="0"/>
    <n v="13.4"/>
    <x v="2"/>
    <s v="PayPal"/>
    <x v="0"/>
    <n v="82.03"/>
  </r>
  <r>
    <s v="ORD-100561"/>
    <s v="09/15/2025"/>
    <x v="396"/>
    <x v="39"/>
    <s v="Not Known"/>
    <x v="2"/>
    <x v="2"/>
    <x v="2"/>
    <x v="3"/>
    <n v="4"/>
    <n v="8.01"/>
    <n v="0.1"/>
    <n v="5.43"/>
    <x v="6"/>
    <s v="Bank Transfer"/>
    <x v="1"/>
    <n v="28.835999999999999"/>
  </r>
  <r>
    <s v="ORD-100334"/>
    <s v="06-01-2024"/>
    <x v="1"/>
    <x v="296"/>
    <s v="chloe.anderson6@hotmail.com"/>
    <x v="2"/>
    <x v="2"/>
    <x v="1"/>
    <x v="20"/>
    <n v="3"/>
    <n v="19.100000000000001"/>
    <n v="0.05"/>
    <n v="4.54"/>
    <x v="7"/>
    <s v="COD"/>
    <x v="0"/>
    <n v="54.435000000000002"/>
  </r>
  <r>
    <s v="ORD-100976"/>
    <s v="27-05-2024"/>
    <x v="26"/>
    <x v="75"/>
    <s v="olivia.nair19@gmail.com"/>
    <x v="1"/>
    <x v="1"/>
    <x v="2"/>
    <x v="10"/>
    <n v="10"/>
    <n v="3.06"/>
    <n v="0"/>
    <n v="0.42"/>
    <x v="3"/>
    <s v="Credit Card"/>
    <x v="1"/>
    <n v="30.6"/>
  </r>
  <r>
    <s v="ORD-101275"/>
    <s v="11/01/25"/>
    <x v="79"/>
    <x v="109"/>
    <s v="sophia.moore43@hotmail.com"/>
    <x v="1"/>
    <x v="6"/>
    <x v="1"/>
    <x v="13"/>
    <n v="10"/>
    <n v="187.57"/>
    <n v="0"/>
    <n v="5.13"/>
    <x v="2"/>
    <s v="Credit Card"/>
    <x v="2"/>
    <n v="1875.6999999999998"/>
  </r>
  <r>
    <s v="ORD-101240"/>
    <s v="June 29, 2025"/>
    <x v="397"/>
    <x v="90"/>
    <s v="sophia.iyer86@gmail.com"/>
    <x v="1"/>
    <x v="1"/>
    <x v="1"/>
    <x v="13"/>
    <n v="1"/>
    <n v="197.84"/>
    <n v="0.1"/>
    <n v="3.25"/>
    <x v="6"/>
    <s v="Bank Transfer"/>
    <x v="0"/>
    <n v="178.05600000000001"/>
  </r>
  <r>
    <s v="ORD-101123"/>
    <s v="02/24/2024"/>
    <x v="398"/>
    <x v="297"/>
    <s v="olivia.clark69@company.co"/>
    <x v="4"/>
    <x v="5"/>
    <x v="4"/>
    <x v="12"/>
    <n v="10"/>
    <n v="12.76"/>
    <n v="0"/>
    <n v="4.54"/>
    <x v="0"/>
    <s v="PayPal"/>
    <x v="1"/>
    <n v="127.6"/>
  </r>
  <r>
    <s v="ORD-101128"/>
    <s v="01/27/24"/>
    <x v="204"/>
    <x v="297"/>
    <s v="olivia.clark37@company.co"/>
    <x v="1"/>
    <x v="1"/>
    <x v="2"/>
    <x v="10"/>
    <n v="5"/>
    <n v="3.2"/>
    <n v="0.1"/>
    <n v="10.78"/>
    <x v="2"/>
    <s v="Bank Transfer"/>
    <x v="1"/>
    <n v="14.4"/>
  </r>
  <r>
    <s v="ORD-100538"/>
    <s v="2024-10-03"/>
    <x v="399"/>
    <x v="153"/>
    <s v="kabir.brown95@company.co"/>
    <x v="2"/>
    <x v="1"/>
    <x v="3"/>
    <x v="9"/>
    <n v="2"/>
    <n v="84.77"/>
    <n v="0"/>
    <n v="0"/>
    <x v="7"/>
    <s v="Credit Card"/>
    <x v="2"/>
    <n v="169.54"/>
  </r>
  <r>
    <s v="ORD-100717"/>
    <s v="2024-12-06"/>
    <x v="148"/>
    <x v="241"/>
    <s v="Not Known"/>
    <x v="3"/>
    <x v="4"/>
    <x v="0"/>
    <x v="0"/>
    <n v="1"/>
    <n v="39.729999999999997"/>
    <n v="0.05"/>
    <n v="14.48"/>
    <x v="5"/>
    <s v="Debit Card"/>
    <x v="1"/>
    <n v="37.743499999999997"/>
  </r>
  <r>
    <s v="ORD-100418"/>
    <s v="08/02/2024"/>
    <x v="54"/>
    <x v="298"/>
    <s v="ava.clark19@company.co"/>
    <x v="2"/>
    <x v="1"/>
    <x v="3"/>
    <x v="21"/>
    <n v="2"/>
    <n v="133.51"/>
    <n v="0.05"/>
    <n v="11.03"/>
    <x v="6"/>
    <s v="PayPal"/>
    <x v="2"/>
    <n v="253.66899999999998"/>
  </r>
  <r>
    <s v="ORD-101140"/>
    <s v="16 Jan 2025"/>
    <x v="270"/>
    <x v="299"/>
    <s v="daniel.wilson7@yahoo.com"/>
    <x v="4"/>
    <x v="1"/>
    <x v="2"/>
    <x v="14"/>
    <n v="1"/>
    <n v="4.4000000000000004"/>
    <n v="0"/>
    <n v="1.43"/>
    <x v="6"/>
    <s v="Not Known"/>
    <x v="2"/>
    <n v="4.4000000000000004"/>
  </r>
  <r>
    <s v="ORD-101356"/>
    <s v="07 May 2024"/>
    <x v="400"/>
    <x v="300"/>
    <s v="daniel.taylor32@outlook.com"/>
    <x v="2"/>
    <x v="1"/>
    <x v="3"/>
    <x v="9"/>
    <n v="5"/>
    <n v="85.85"/>
    <n v="0.05"/>
    <n v="2.15"/>
    <x v="6"/>
    <s v="COD"/>
    <x v="1"/>
    <n v="407.78749999999997"/>
  </r>
  <r>
    <s v="ORD-100928"/>
    <s v="05 Jul 2024"/>
    <x v="166"/>
    <x v="301"/>
    <s v="lily.taylor90@company.co"/>
    <x v="4"/>
    <x v="11"/>
    <x v="0"/>
    <x v="16"/>
    <n v="3"/>
    <n v="23.1"/>
    <n v="0"/>
    <n v="3.14"/>
    <x v="4"/>
    <s v="Debit Card"/>
    <x v="2"/>
    <n v="69.300000000000011"/>
  </r>
  <r>
    <s v="ORD-100573"/>
    <s v="08 Dec 2024"/>
    <x v="342"/>
    <x v="139"/>
    <s v="Not Known"/>
    <x v="3"/>
    <x v="4"/>
    <x v="4"/>
    <x v="18"/>
    <n v="5"/>
    <n v="31.07"/>
    <n v="0.1"/>
    <n v="13.61"/>
    <x v="7"/>
    <s v="Bank Transfer"/>
    <x v="1"/>
    <n v="139.815"/>
  </r>
  <r>
    <s v="ORD-101322"/>
    <s v="08 Jul 2024"/>
    <x v="241"/>
    <x v="183"/>
    <s v="sophia.miller15@gmail.com"/>
    <x v="1"/>
    <x v="6"/>
    <x v="2"/>
    <x v="14"/>
    <n v="2"/>
    <n v="4.05"/>
    <n v="0"/>
    <n v="13.67"/>
    <x v="6"/>
    <s v="Credit Card"/>
    <x v="2"/>
    <n v="8.1"/>
  </r>
  <r>
    <s v="ORD-101229"/>
    <s v="March 26, 2024"/>
    <x v="401"/>
    <x v="302"/>
    <s v="rohan.reddy30@gmail.com"/>
    <x v="0"/>
    <x v="8"/>
    <x v="4"/>
    <x v="12"/>
    <n v="1"/>
    <n v="13.01"/>
    <n v="0"/>
    <n v="0.3"/>
    <x v="1"/>
    <s v="Bank Transfer"/>
    <x v="0"/>
    <n v="13.01"/>
  </r>
  <r>
    <s v="ORD-100332"/>
    <s v="10/21/24"/>
    <x v="76"/>
    <x v="303"/>
    <s v="rohan.white35@yahoo.com"/>
    <x v="4"/>
    <x v="11"/>
    <x v="2"/>
    <x v="2"/>
    <n v="10"/>
    <n v="13.46"/>
    <n v="0.1"/>
    <n v="6.47"/>
    <x v="1"/>
    <s v="Bank Transfer"/>
    <x v="2"/>
    <n v="121.14000000000003"/>
  </r>
  <r>
    <s v="ORD-101316"/>
    <s v="2024-12-19"/>
    <x v="367"/>
    <x v="234"/>
    <s v="noah.harris30@gmail.com"/>
    <x v="2"/>
    <x v="2"/>
    <x v="3"/>
    <x v="5"/>
    <n v="5"/>
    <n v="105"/>
    <n v="0"/>
    <n v="0.11"/>
    <x v="0"/>
    <s v="Credit Card"/>
    <x v="2"/>
    <n v="525"/>
  </r>
  <r>
    <s v="ORD-100574"/>
    <s v="June 19, 2024"/>
    <x v="402"/>
    <x v="42"/>
    <s v="liam.nair32@gmail.com"/>
    <x v="2"/>
    <x v="1"/>
    <x v="1"/>
    <x v="19"/>
    <n v="1"/>
    <n v="24.31"/>
    <n v="0"/>
    <n v="1.36"/>
    <x v="4"/>
    <s v="Credit Card"/>
    <x v="1"/>
    <n v="24.31"/>
  </r>
  <r>
    <s v="ORD-101244"/>
    <s v="01-02-2025"/>
    <x v="403"/>
    <x v="65"/>
    <s v="ella.thomas33@outlook.com"/>
    <x v="4"/>
    <x v="11"/>
    <x v="2"/>
    <x v="10"/>
    <n v="1"/>
    <n v="3.1"/>
    <n v="0.1"/>
    <n v="8.48"/>
    <x v="3"/>
    <s v="Credit Card"/>
    <x v="2"/>
    <n v="2.79"/>
  </r>
  <r>
    <s v="ORD-101063"/>
    <s v="December 17, 2025"/>
    <x v="268"/>
    <x v="222"/>
    <s v="zara.anderson11@outlook.com"/>
    <x v="2"/>
    <x v="10"/>
    <x v="3"/>
    <x v="11"/>
    <n v="2"/>
    <n v="245.9"/>
    <n v="0"/>
    <n v="5.51"/>
    <x v="0"/>
    <s v="COD"/>
    <x v="2"/>
    <n v="491.8"/>
  </r>
  <r>
    <s v="ORD-101058"/>
    <s v="13 Feb 2024"/>
    <x v="275"/>
    <x v="46"/>
    <s v="olivia.brown39@yahoo.com"/>
    <x v="0"/>
    <x v="0"/>
    <x v="2"/>
    <x v="2"/>
    <n v="2"/>
    <n v="13.43"/>
    <n v="0.05"/>
    <n v="7.7"/>
    <x v="6"/>
    <s v="Bank Transfer"/>
    <x v="2"/>
    <n v="25.516999999999999"/>
  </r>
  <r>
    <s v="ORD-101171"/>
    <s v="27 Jun 2024"/>
    <x v="404"/>
    <x v="304"/>
    <s v="daniel.harris50@hotmail.com"/>
    <x v="2"/>
    <x v="10"/>
    <x v="1"/>
    <x v="1"/>
    <n v="4"/>
    <n v="34.4"/>
    <n v="0"/>
    <n v="0.22"/>
    <x v="0"/>
    <s v="Credit Card"/>
    <x v="0"/>
    <n v="137.6"/>
  </r>
  <r>
    <s v="ORD-100556"/>
    <s v="09 Jul 2024"/>
    <x v="246"/>
    <x v="154"/>
    <s v="rohan.iyer81@gmail.com"/>
    <x v="3"/>
    <x v="4"/>
    <x v="3"/>
    <x v="21"/>
    <n v="2"/>
    <n v="129.16999999999999"/>
    <n v="0.05"/>
    <n v="4.84"/>
    <x v="7"/>
    <s v="COD"/>
    <x v="2"/>
    <n v="245.42299999999997"/>
  </r>
  <r>
    <s v="ORD-100008"/>
    <s v="16 Nov 2025"/>
    <x v="405"/>
    <x v="125"/>
    <s v="sophia.williams36@gmail.com"/>
    <x v="1"/>
    <x v="1"/>
    <x v="0"/>
    <x v="0"/>
    <n v="1"/>
    <n v="40.340000000000003"/>
    <n v="0"/>
    <n v="10.85"/>
    <x v="3"/>
    <s v="Credit Card"/>
    <x v="2"/>
    <n v="40.340000000000003"/>
  </r>
  <r>
    <s v="ORD-100867"/>
    <s v="01/29/2024"/>
    <x v="406"/>
    <x v="84"/>
    <s v="rohan.nair83@hotmail.com"/>
    <x v="1"/>
    <x v="6"/>
    <x v="1"/>
    <x v="13"/>
    <n v="2"/>
    <n v="182.39"/>
    <n v="0"/>
    <n v="0.99"/>
    <x v="6"/>
    <s v="Debit Card"/>
    <x v="3"/>
    <n v="364.78"/>
  </r>
  <r>
    <s v="ORD-101247"/>
    <s v="28-02-2024"/>
    <x v="407"/>
    <x v="148"/>
    <s v="kabir.clark77@hotmail.com"/>
    <x v="1"/>
    <x v="6"/>
    <x v="1"/>
    <x v="13"/>
    <n v="10"/>
    <n v="186.85"/>
    <n v="0"/>
    <n v="2.02"/>
    <x v="3"/>
    <s v="Credit Card"/>
    <x v="2"/>
    <n v="1868.5"/>
  </r>
  <r>
    <s v="ORD-100746"/>
    <s v="02-06-2024"/>
    <x v="408"/>
    <x v="173"/>
    <s v="Not Known"/>
    <x v="4"/>
    <x v="1"/>
    <x v="1"/>
    <x v="1"/>
    <n v="5"/>
    <n v="33.909999999999997"/>
    <n v="0"/>
    <n v="1.73"/>
    <x v="0"/>
    <s v="Not Known"/>
    <x v="3"/>
    <n v="169.54999999999998"/>
  </r>
  <r>
    <s v="ORD-100948"/>
    <s v="11-11-2025"/>
    <x v="120"/>
    <x v="122"/>
    <s v="mia.brown70@yahoo.com"/>
    <x v="2"/>
    <x v="1"/>
    <x v="0"/>
    <x v="22"/>
    <n v="3"/>
    <n v="81.150000000000006"/>
    <n v="0.1"/>
    <n v="0.78"/>
    <x v="3"/>
    <s v="COD"/>
    <x v="2"/>
    <n v="219.10500000000002"/>
  </r>
  <r>
    <s v="ORD-101093"/>
    <s v="04/29/2025"/>
    <x v="409"/>
    <x v="20"/>
    <s v="ethan.jackson57@yahoo.com"/>
    <x v="0"/>
    <x v="10"/>
    <x v="2"/>
    <x v="2"/>
    <n v="2"/>
    <n v="14.59"/>
    <n v="0"/>
    <n v="2.39"/>
    <x v="4"/>
    <s v="COD"/>
    <x v="2"/>
    <n v="29.18"/>
  </r>
  <r>
    <s v="ORD-100074"/>
    <s v="12/13/2024"/>
    <x v="92"/>
    <x v="153"/>
    <s v="kabir.brown50@company.co"/>
    <x v="3"/>
    <x v="7"/>
    <x v="1"/>
    <x v="1"/>
    <n v="1"/>
    <n v="33.909999999999997"/>
    <n v="0.15"/>
    <n v="5.51"/>
    <x v="0"/>
    <s v="Not Known"/>
    <x v="2"/>
    <n v="28.823499999999996"/>
  </r>
  <r>
    <s v="ORD-100798"/>
    <s v="03/18/24"/>
    <x v="410"/>
    <x v="305"/>
    <s v="grace.davis75@outlook.com"/>
    <x v="3"/>
    <x v="3"/>
    <x v="1"/>
    <x v="7"/>
    <n v="1"/>
    <n v="40.659999999999997"/>
    <n v="0.05"/>
    <n v="8.26"/>
    <x v="1"/>
    <s v="Credit Card"/>
    <x v="0"/>
    <n v="38.626999999999995"/>
  </r>
  <r>
    <s v="ORD-100522"/>
    <s v="January 22, 2025"/>
    <x v="171"/>
    <x v="9"/>
    <s v="daniel.kapoor28@hotmail.com"/>
    <x v="4"/>
    <x v="1"/>
    <x v="3"/>
    <x v="11"/>
    <n v="1"/>
    <n v="259.26"/>
    <n v="0.05"/>
    <n v="2.25"/>
    <x v="5"/>
    <s v="Credit Card"/>
    <x v="2"/>
    <n v="246.29699999999997"/>
  </r>
  <r>
    <s v="ORD-100335"/>
    <s v="29-04-2024"/>
    <x v="142"/>
    <x v="188"/>
    <s v="rohan.gupta34@hotmail.com"/>
    <x v="4"/>
    <x v="10"/>
    <x v="0"/>
    <x v="0"/>
    <n v="5"/>
    <n v="39.03"/>
    <n v="0.15"/>
    <n v="7.49"/>
    <x v="0"/>
    <s v="COD"/>
    <x v="0"/>
    <n v="165.8775"/>
  </r>
  <r>
    <s v="ORD-100569"/>
    <s v="10/21/24"/>
    <x v="76"/>
    <x v="55"/>
    <s v="sophia.wilson79@outlook.com"/>
    <x v="4"/>
    <x v="11"/>
    <x v="2"/>
    <x v="10"/>
    <n v="3"/>
    <n v="3.03"/>
    <n v="0"/>
    <n v="6.91"/>
    <x v="7"/>
    <s v="COD"/>
    <x v="0"/>
    <n v="9.09"/>
  </r>
  <r>
    <s v="ORD-100590"/>
    <s v="December 01, 2024"/>
    <x v="97"/>
    <x v="306"/>
    <s v="noah.gupta32@hotmail.com"/>
    <x v="2"/>
    <x v="1"/>
    <x v="4"/>
    <x v="18"/>
    <n v="3"/>
    <n v="31.13"/>
    <n v="0.1"/>
    <n v="3.91"/>
    <x v="0"/>
    <s v="COD"/>
    <x v="2"/>
    <n v="84.051000000000002"/>
  </r>
  <r>
    <s v="ORD-100088"/>
    <s v="17 Nov 2024"/>
    <x v="61"/>
    <x v="15"/>
    <s v="noah.wilson57@gmail.com"/>
    <x v="0"/>
    <x v="0"/>
    <x v="2"/>
    <x v="4"/>
    <n v="10"/>
    <n v="6.55"/>
    <n v="0.1"/>
    <n v="3.06"/>
    <x v="3"/>
    <s v="Not Known"/>
    <x v="2"/>
    <n v="58.95"/>
  </r>
  <r>
    <s v="ORD-100841"/>
    <s v="November 01, 2025"/>
    <x v="79"/>
    <x v="134"/>
    <s v="ella.reddy2@company.co"/>
    <x v="2"/>
    <x v="1"/>
    <x v="3"/>
    <x v="11"/>
    <n v="2"/>
    <n v="248.73"/>
    <n v="0"/>
    <n v="1.01"/>
    <x v="7"/>
    <s v="Credit Card"/>
    <x v="2"/>
    <n v="497.46"/>
  </r>
  <r>
    <s v="ORD-100217"/>
    <s v="03/07/25"/>
    <x v="388"/>
    <x v="307"/>
    <s v="lily.moore44@yahoo.com"/>
    <x v="0"/>
    <x v="0"/>
    <x v="0"/>
    <x v="16"/>
    <n v="1"/>
    <n v="23.12"/>
    <n v="0.1"/>
    <n v="12.73"/>
    <x v="5"/>
    <s v="Credit Card"/>
    <x v="2"/>
    <n v="20.808"/>
  </r>
  <r>
    <s v="ORD-100961"/>
    <s v="June 25, 2025"/>
    <x v="411"/>
    <x v="178"/>
    <s v="arjun.jackson39@gmail.com"/>
    <x v="3"/>
    <x v="4"/>
    <x v="1"/>
    <x v="19"/>
    <n v="1"/>
    <n v="23.88"/>
    <n v="0.05"/>
    <n v="13.61"/>
    <x v="3"/>
    <s v="Credit Card"/>
    <x v="2"/>
    <n v="22.685999999999996"/>
  </r>
  <r>
    <s v="ORD-100173"/>
    <s v="24 Aug 2024"/>
    <x v="111"/>
    <x v="308"/>
    <s v="noah.williams83@gmail.com"/>
    <x v="4"/>
    <x v="11"/>
    <x v="2"/>
    <x v="4"/>
    <n v="1"/>
    <n v="6.18"/>
    <n v="0.05"/>
    <n v="0.75"/>
    <x v="2"/>
    <s v="Not Known"/>
    <x v="2"/>
    <n v="5.8709999999999996"/>
  </r>
  <r>
    <s v="ORD-101260"/>
    <s v="07/08/2025"/>
    <x v="216"/>
    <x v="70"/>
    <s v="sophia.harris81@gmail.com"/>
    <x v="2"/>
    <x v="2"/>
    <x v="0"/>
    <x v="0"/>
    <n v="3"/>
    <n v="41.09"/>
    <n v="0.05"/>
    <n v="12.54"/>
    <x v="1"/>
    <s v="Not Known"/>
    <x v="3"/>
    <n v="117.10650000000001"/>
  </r>
  <r>
    <s v="ORD-100982"/>
    <s v="03 Jul 2024"/>
    <x v="359"/>
    <x v="89"/>
    <s v="noah.sharma61@company.co"/>
    <x v="1"/>
    <x v="1"/>
    <x v="2"/>
    <x v="10"/>
    <n v="2"/>
    <n v="3"/>
    <n v="0"/>
    <n v="0"/>
    <x v="2"/>
    <s v="Debit Card"/>
    <x v="0"/>
    <n v="6"/>
  </r>
  <r>
    <s v="ORD-100319"/>
    <s v="12/11/2024"/>
    <x v="164"/>
    <x v="11"/>
    <s v="mia.clark15@gmail.com"/>
    <x v="2"/>
    <x v="2"/>
    <x v="4"/>
    <x v="8"/>
    <n v="2"/>
    <n v="14.33"/>
    <n v="0.05"/>
    <n v="0.56000000000000005"/>
    <x v="7"/>
    <s v="Bank Transfer"/>
    <x v="2"/>
    <n v="27.227"/>
  </r>
  <r>
    <s v="ORD-101265"/>
    <s v="2024-03-23"/>
    <x v="412"/>
    <x v="85"/>
    <s v="aarav.thomas11@outlook.com"/>
    <x v="3"/>
    <x v="4"/>
    <x v="0"/>
    <x v="22"/>
    <n v="1"/>
    <n v="79.650000000000006"/>
    <n v="0.05"/>
    <n v="7.85"/>
    <x v="3"/>
    <s v="Credit Card"/>
    <x v="0"/>
    <n v="75.667500000000004"/>
  </r>
  <r>
    <s v="ORD-100747"/>
    <s v="October 22, 2024"/>
    <x v="269"/>
    <x v="194"/>
    <s v="mia.white98@yahoo.com"/>
    <x v="0"/>
    <x v="8"/>
    <x v="0"/>
    <x v="0"/>
    <n v="10"/>
    <n v="40.39"/>
    <n v="0.05"/>
    <n v="4.71"/>
    <x v="3"/>
    <s v="Credit Card"/>
    <x v="2"/>
    <n v="383.70499999999998"/>
  </r>
  <r>
    <s v="ORD-100266"/>
    <s v="08/17/25"/>
    <x v="312"/>
    <x v="309"/>
    <s v="lily.reddy18@gmail.com"/>
    <x v="0"/>
    <x v="8"/>
    <x v="4"/>
    <x v="18"/>
    <n v="1"/>
    <n v="29.41"/>
    <n v="0"/>
    <n v="0"/>
    <x v="2"/>
    <s v="COD"/>
    <x v="2"/>
    <n v="29.41"/>
  </r>
  <r>
    <s v="ORD-100006"/>
    <s v="2024-09-02"/>
    <x v="413"/>
    <x v="63"/>
    <s v="chloe.sharma40@outlook.com"/>
    <x v="3"/>
    <x v="3"/>
    <x v="3"/>
    <x v="11"/>
    <n v="1"/>
    <n v="249.98"/>
    <n v="0.15"/>
    <n v="14.2"/>
    <x v="5"/>
    <s v="COD"/>
    <x v="2"/>
    <n v="212.48299999999998"/>
  </r>
  <r>
    <s v="ORD-100138"/>
    <s v="2025-02-14"/>
    <x v="239"/>
    <x v="310"/>
    <s v="emma.kapoor6@yahoo.com"/>
    <x v="4"/>
    <x v="1"/>
    <x v="4"/>
    <x v="8"/>
    <n v="1"/>
    <n v="14.66"/>
    <n v="0.15"/>
    <n v="11.6"/>
    <x v="0"/>
    <s v="PayPal"/>
    <x v="2"/>
    <n v="12.461"/>
  </r>
  <r>
    <s v="ORD-100163"/>
    <s v="February 10, 2025"/>
    <x v="414"/>
    <x v="160"/>
    <s v="ethan.anderson80@outlook.com"/>
    <x v="4"/>
    <x v="1"/>
    <x v="2"/>
    <x v="10"/>
    <n v="2"/>
    <n v="3.13"/>
    <n v="0.1"/>
    <n v="0"/>
    <x v="4"/>
    <s v="Bank Transfer"/>
    <x v="3"/>
    <n v="5.6340000000000003"/>
  </r>
  <r>
    <s v="ORD-101193"/>
    <s v="15 Apr 2024"/>
    <x v="86"/>
    <x v="174"/>
    <s v="olivia.williams85@yahoo.com"/>
    <x v="3"/>
    <x v="7"/>
    <x v="3"/>
    <x v="5"/>
    <n v="10"/>
    <n v="105.71"/>
    <n v="0.1"/>
    <n v="8.3800000000000008"/>
    <x v="1"/>
    <s v="Debit Card"/>
    <x v="2"/>
    <n v="951.39"/>
  </r>
  <r>
    <s v="ORD-100594"/>
    <s v="11/12/2025"/>
    <x v="415"/>
    <x v="187"/>
    <s v="noah.iyer84@outlook.com"/>
    <x v="3"/>
    <x v="3"/>
    <x v="0"/>
    <x v="16"/>
    <n v="3"/>
    <n v="21.42"/>
    <n v="0.1"/>
    <n v="13.88"/>
    <x v="2"/>
    <s v="Credit Card"/>
    <x v="2"/>
    <n v="57.834000000000003"/>
  </r>
  <r>
    <s v="ORD-101281"/>
    <s v="March 19, 2024"/>
    <x v="416"/>
    <x v="194"/>
    <s v="mia.white47@gmail.com"/>
    <x v="4"/>
    <x v="11"/>
    <x v="2"/>
    <x v="10"/>
    <n v="4"/>
    <n v="3.25"/>
    <n v="0.1"/>
    <m/>
    <x v="4"/>
    <s v="Credit Card"/>
    <x v="3"/>
    <n v="11.700000000000001"/>
  </r>
  <r>
    <s v="ORD-101054"/>
    <s v="07/27/2024"/>
    <x v="181"/>
    <x v="72"/>
    <s v="chloe.brown99@outlook.com"/>
    <x v="3"/>
    <x v="3"/>
    <x v="0"/>
    <x v="17"/>
    <n v="10"/>
    <n v="45.78"/>
    <n v="0"/>
    <n v="0"/>
    <x v="6"/>
    <s v="Bank Transfer"/>
    <x v="1"/>
    <n v="457.8"/>
  </r>
  <r>
    <s v="ORD-101380"/>
    <s v="2024-10-08"/>
    <x v="417"/>
    <x v="232"/>
    <s v="Not Known"/>
    <x v="0"/>
    <x v="0"/>
    <x v="2"/>
    <x v="14"/>
    <n v="5"/>
    <n v="4.17"/>
    <n v="0"/>
    <n v="5.8"/>
    <x v="5"/>
    <s v="PayPal"/>
    <x v="2"/>
    <n v="20.85"/>
  </r>
  <r>
    <s v="ORD-100523"/>
    <s v="10/27/2024"/>
    <x v="381"/>
    <x v="260"/>
    <s v="lily.white74@outlook.com"/>
    <x v="3"/>
    <x v="4"/>
    <x v="0"/>
    <x v="16"/>
    <n v="10"/>
    <n v="22.59"/>
    <n v="0"/>
    <n v="11.51"/>
    <x v="4"/>
    <s v="Credit Card"/>
    <x v="2"/>
    <n v="225.9"/>
  </r>
  <r>
    <s v="ORD-100797"/>
    <s v="04/25/2025"/>
    <x v="418"/>
    <x v="4"/>
    <s v="ethan.johnson83@company.co"/>
    <x v="3"/>
    <x v="4"/>
    <x v="4"/>
    <x v="6"/>
    <n v="2"/>
    <n v="62.39"/>
    <n v="0"/>
    <n v="3.23"/>
    <x v="3"/>
    <s v="Not Known"/>
    <x v="2"/>
    <n v="124.78"/>
  </r>
  <r>
    <s v="ORD-101399"/>
    <s v="08/31/25"/>
    <x v="44"/>
    <x v="304"/>
    <s v="daniel.harris45@outlook.com"/>
    <x v="4"/>
    <x v="1"/>
    <x v="5"/>
    <x v="8"/>
    <n v="10"/>
    <n v="14.29"/>
    <n v="0"/>
    <n v="0.84"/>
    <x v="7"/>
    <s v="COD"/>
    <x v="2"/>
    <n v="142.89999999999998"/>
  </r>
  <r>
    <s v="ORD-100578"/>
    <s v="September 21, 2024"/>
    <x v="235"/>
    <x v="90"/>
    <s v="sophia.iyer90@outlook.com"/>
    <x v="2"/>
    <x v="2"/>
    <x v="1"/>
    <x v="7"/>
    <n v="5"/>
    <n v="42.6"/>
    <n v="0.05"/>
    <n v="11.42"/>
    <x v="2"/>
    <s v="Bank Transfer"/>
    <x v="3"/>
    <n v="202.35"/>
  </r>
  <r>
    <s v="ORD-100716"/>
    <s v="12/06/24"/>
    <x v="148"/>
    <x v="238"/>
    <s v="lily.anderson19@hotmail.com"/>
    <x v="0"/>
    <x v="0"/>
    <x v="2"/>
    <x v="3"/>
    <n v="3"/>
    <n v="7.44"/>
    <n v="0.15"/>
    <n v="11.16"/>
    <x v="0"/>
    <s v="Bank Transfer"/>
    <x v="1"/>
    <n v="18.972000000000001"/>
  </r>
  <r>
    <s v="ORD-100019"/>
    <s v="11/24/25"/>
    <x v="114"/>
    <x v="68"/>
    <s v="daniel.reddy49@yahoo.com"/>
    <x v="1"/>
    <x v="6"/>
    <x v="1"/>
    <x v="1"/>
    <n v="2"/>
    <n v="36.39"/>
    <n v="0.1"/>
    <n v="4.51"/>
    <x v="6"/>
    <s v="PayPal"/>
    <x v="3"/>
    <n v="65.50200000000001"/>
  </r>
  <r>
    <s v="ORD-101393"/>
    <s v="02/18/24"/>
    <x v="198"/>
    <x v="128"/>
    <s v="lily.kapoor1@gmail.com"/>
    <x v="2"/>
    <x v="2"/>
    <x v="1"/>
    <x v="19"/>
    <n v="2"/>
    <n v="24.9"/>
    <n v="0.1"/>
    <n v="2.1"/>
    <x v="1"/>
    <s v="Bank Transfer"/>
    <x v="3"/>
    <n v="44.82"/>
  </r>
  <r>
    <s v="ORD-100633"/>
    <s v="05/30/2025"/>
    <x v="326"/>
    <x v="238"/>
    <s v="lily.anderson85@hotmail.com"/>
    <x v="4"/>
    <x v="11"/>
    <x v="2"/>
    <x v="4"/>
    <n v="2"/>
    <n v="6.67"/>
    <n v="0.1"/>
    <n v="4.7699999999999996"/>
    <x v="6"/>
    <s v="Credit Card"/>
    <x v="0"/>
    <n v="12.006"/>
  </r>
  <r>
    <s v="ORD-100712"/>
    <s v="11/11/2025"/>
    <x v="120"/>
    <x v="25"/>
    <s v="emma.white44@gmail.com"/>
    <x v="1"/>
    <x v="6"/>
    <x v="2"/>
    <x v="4"/>
    <n v="1"/>
    <n v="6.48"/>
    <n v="0"/>
    <n v="6.79"/>
    <x v="0"/>
    <s v="PayPal"/>
    <x v="1"/>
    <n v="6.48"/>
  </r>
  <r>
    <s v="ORD-100618"/>
    <s v="2024-05-11"/>
    <x v="105"/>
    <x v="130"/>
    <s v="zara.williams75@yahoo.com"/>
    <x v="0"/>
    <x v="9"/>
    <x v="3"/>
    <x v="9"/>
    <n v="3"/>
    <n v="92.56"/>
    <n v="0"/>
    <n v="10.63"/>
    <x v="4"/>
    <s v="Credit Card"/>
    <x v="2"/>
    <n v="277.68"/>
  </r>
  <r>
    <s v="ORD-101169"/>
    <s v="08-06-2025"/>
    <x v="87"/>
    <x v="11"/>
    <s v="mia.clark3@outlook.com"/>
    <x v="0"/>
    <x v="9"/>
    <x v="4"/>
    <x v="12"/>
    <n v="10"/>
    <n v="13.54"/>
    <n v="0"/>
    <n v="5.98"/>
    <x v="2"/>
    <s v="COD"/>
    <x v="1"/>
    <n v="135.39999999999998"/>
  </r>
  <r>
    <s v="ORD-101081"/>
    <s v="01/07/25"/>
    <x v="337"/>
    <x v="115"/>
    <s v="aarav.taylor35@gmail.com"/>
    <x v="1"/>
    <x v="6"/>
    <x v="1"/>
    <x v="7"/>
    <n v="1"/>
    <n v="44.08"/>
    <n v="0"/>
    <n v="10.9"/>
    <x v="6"/>
    <s v="Not Known"/>
    <x v="2"/>
    <n v="44.08"/>
  </r>
  <r>
    <s v="ORD-100137"/>
    <s v="07 Jan 2025"/>
    <x v="337"/>
    <x v="206"/>
    <s v="sophia.kapoor61@gmail.com"/>
    <x v="3"/>
    <x v="3"/>
    <x v="4"/>
    <x v="18"/>
    <n v="1"/>
    <n v="29.59"/>
    <n v="0"/>
    <n v="14.41"/>
    <x v="6"/>
    <s v="Bank Transfer"/>
    <x v="1"/>
    <n v="29.59"/>
  </r>
  <r>
    <s v="ORD-100557"/>
    <s v="23 Jan 2024"/>
    <x v="161"/>
    <x v="91"/>
    <s v="emma.davis97@company.co"/>
    <x v="0"/>
    <x v="0"/>
    <x v="3"/>
    <x v="21"/>
    <n v="3"/>
    <n v="124.6"/>
    <n v="0.15"/>
    <n v="8.9"/>
    <x v="7"/>
    <s v="COD"/>
    <x v="1"/>
    <n v="317.72999999999996"/>
  </r>
  <r>
    <s v="ORD-101187"/>
    <s v="03/31/25"/>
    <x v="362"/>
    <x v="37"/>
    <s v="liam.moore25@yahoo.com"/>
    <x v="0"/>
    <x v="9"/>
    <x v="1"/>
    <x v="15"/>
    <n v="10"/>
    <n v="9.24"/>
    <n v="0"/>
    <n v="10.4"/>
    <x v="0"/>
    <s v="PayPal"/>
    <x v="2"/>
    <n v="92.4"/>
  </r>
  <r>
    <s v="ORD-100674"/>
    <s v="02/21/25"/>
    <x v="419"/>
    <x v="162"/>
    <s v="daniel.anderson45@company.co"/>
    <x v="0"/>
    <x v="0"/>
    <x v="2"/>
    <x v="14"/>
    <n v="5"/>
    <n v="4.33"/>
    <n v="0"/>
    <n v="3.39"/>
    <x v="3"/>
    <s v="Credit Card"/>
    <x v="2"/>
    <n v="21.65"/>
  </r>
  <r>
    <s v="ORD-101128"/>
    <s v="01/27/24"/>
    <x v="204"/>
    <x v="297"/>
    <s v="olivia.clark37@company.co"/>
    <x v="1"/>
    <x v="1"/>
    <x v="2"/>
    <x v="10"/>
    <n v="5"/>
    <n v="3.2"/>
    <n v="0.1"/>
    <n v="10.78"/>
    <x v="2"/>
    <s v="Bank Transfer"/>
    <x v="1"/>
    <n v="14.4"/>
  </r>
  <r>
    <s v="ORD-101328"/>
    <s v="27 Mar 2024"/>
    <x v="47"/>
    <x v="311"/>
    <s v="lily.williams42@outlook.com"/>
    <x v="4"/>
    <x v="1"/>
    <x v="2"/>
    <x v="10"/>
    <n v="2"/>
    <n v="3.11"/>
    <n v="0.05"/>
    <n v="3.81"/>
    <x v="1"/>
    <s v="Not Known"/>
    <x v="0"/>
    <n v="5.9089999999999998"/>
  </r>
  <r>
    <s v="ORD-100368"/>
    <s v="07/23/25"/>
    <x v="420"/>
    <x v="89"/>
    <s v="noah.sharma53@gmail.com"/>
    <x v="2"/>
    <x v="1"/>
    <x v="3"/>
    <x v="9"/>
    <n v="3"/>
    <n v="86.42"/>
    <n v="0"/>
    <n v="5.89"/>
    <x v="5"/>
    <s v="Not Known"/>
    <x v="2"/>
    <n v="259.26"/>
  </r>
  <r>
    <s v="ORD-101365"/>
    <s v="04/29/25"/>
    <x v="409"/>
    <x v="312"/>
    <s v="ethan.brown66@hotmail.com"/>
    <x v="3"/>
    <x v="7"/>
    <x v="0"/>
    <x v="17"/>
    <n v="1"/>
    <n v="45.17"/>
    <n v="0.1"/>
    <n v="1.33"/>
    <x v="4"/>
    <s v="Debit Card"/>
    <x v="2"/>
    <n v="40.653000000000006"/>
  </r>
  <r>
    <s v="ORD-101142"/>
    <s v="06/27/24"/>
    <x v="404"/>
    <x v="313"/>
    <s v="grace.sharma35@company.co"/>
    <x v="0"/>
    <x v="8"/>
    <x v="3"/>
    <x v="11"/>
    <n v="2"/>
    <n v="249.01"/>
    <n v="0.05"/>
    <n v="8.75"/>
    <x v="4"/>
    <s v="Credit Card"/>
    <x v="1"/>
    <n v="473.11899999999997"/>
  </r>
  <r>
    <s v="ORD-100327"/>
    <s v="2025-11-09"/>
    <x v="421"/>
    <x v="291"/>
    <s v="Not Known"/>
    <x v="0"/>
    <x v="9"/>
    <x v="4"/>
    <x v="18"/>
    <n v="3"/>
    <n v="31.38"/>
    <n v="0.05"/>
    <n v="10.07"/>
    <x v="0"/>
    <s v="Bank Transfer"/>
    <x v="1"/>
    <n v="89.432999999999993"/>
  </r>
  <r>
    <s v="ORD-100317"/>
    <s v="08/05/25"/>
    <x v="95"/>
    <x v="314"/>
    <s v="mia.davis15@company.co"/>
    <x v="2"/>
    <x v="10"/>
    <x v="4"/>
    <x v="6"/>
    <n v="1"/>
    <n v="59.75"/>
    <n v="0"/>
    <n v="10.28"/>
    <x v="3"/>
    <s v="Debit Card"/>
    <x v="2"/>
    <n v="59.75"/>
  </r>
  <r>
    <s v="ORD-101103"/>
    <s v="2025-02-04"/>
    <x v="224"/>
    <x v="21"/>
    <s v="arjun.anderson35@hotmail.com"/>
    <x v="0"/>
    <x v="9"/>
    <x v="0"/>
    <x v="17"/>
    <n v="2"/>
    <n v="44.48"/>
    <n v="0.1"/>
    <n v="7.73"/>
    <x v="3"/>
    <s v="Bank Transfer"/>
    <x v="3"/>
    <n v="80.063999999999993"/>
  </r>
  <r>
    <s v="ORD-101070"/>
    <s v="29-09-2025"/>
    <x v="287"/>
    <x v="210"/>
    <s v="sophia.sharma14@company.co"/>
    <x v="4"/>
    <x v="1"/>
    <x v="3"/>
    <x v="11"/>
    <n v="2"/>
    <n v="237.93"/>
    <n v="0.15"/>
    <n v="6.01"/>
    <x v="6"/>
    <s v="COD"/>
    <x v="0"/>
    <n v="404.48099999999999"/>
  </r>
  <r>
    <s v="ORD-100528"/>
    <s v="07/01/2024"/>
    <x v="382"/>
    <x v="26"/>
    <s v="advait.clark41@outlook.com"/>
    <x v="2"/>
    <x v="2"/>
    <x v="1"/>
    <x v="15"/>
    <n v="1"/>
    <n v="9.31"/>
    <n v="0"/>
    <n v="11.02"/>
    <x v="1"/>
    <s v="Debit Card"/>
    <x v="2"/>
    <n v="9.31"/>
  </r>
  <r>
    <s v="ORD-100526"/>
    <s v="30-12-2025"/>
    <x v="65"/>
    <x v="273"/>
    <s v="advait.reddy31@company.co"/>
    <x v="4"/>
    <x v="11"/>
    <x v="1"/>
    <x v="1"/>
    <n v="1"/>
    <n v="33.82"/>
    <n v="0"/>
    <n v="12.37"/>
    <x v="4"/>
    <s v="Bank Transfer"/>
    <x v="2"/>
    <n v="33.82"/>
  </r>
  <r>
    <s v="ORD-100087"/>
    <s v="20-08-2025"/>
    <x v="375"/>
    <x v="81"/>
    <s v="arjun.moore54@outlook.com"/>
    <x v="4"/>
    <x v="5"/>
    <x v="3"/>
    <x v="9"/>
    <n v="10"/>
    <n v="89.07"/>
    <n v="0.05"/>
    <n v="13.08"/>
    <x v="6"/>
    <s v="Bank Transfer"/>
    <x v="2"/>
    <n v="846.16499999999985"/>
  </r>
  <r>
    <s v="ORD-100479"/>
    <s v="2024-08-10"/>
    <x v="2"/>
    <x v="70"/>
    <s v="sophia.harris68@outlook.com"/>
    <x v="1"/>
    <x v="6"/>
    <x v="1"/>
    <x v="1"/>
    <n v="1"/>
    <n v="34.39"/>
    <n v="0.15"/>
    <n v="9.1199999999999992"/>
    <x v="5"/>
    <s v="Bank Transfer"/>
    <x v="1"/>
    <n v="29.2315"/>
  </r>
  <r>
    <s v="ORD-100338"/>
    <s v="18-04-2024"/>
    <x v="318"/>
    <x v="226"/>
    <s v="emma.taylor76@gmail.com"/>
    <x v="3"/>
    <x v="4"/>
    <x v="0"/>
    <x v="0"/>
    <n v="2"/>
    <n v="39.659999999999997"/>
    <n v="0.05"/>
    <n v="0"/>
    <x v="3"/>
    <s v="Not Known"/>
    <x v="2"/>
    <n v="75.353999999999985"/>
  </r>
  <r>
    <s v="ORD-100707"/>
    <s v="December 02, 2024"/>
    <x v="422"/>
    <x v="215"/>
    <s v="kabir.nair35@gmail.com"/>
    <x v="3"/>
    <x v="4"/>
    <x v="3"/>
    <x v="11"/>
    <n v="1"/>
    <n v="253.18"/>
    <n v="0"/>
    <n v="10.86"/>
    <x v="7"/>
    <s v="Credit Card"/>
    <x v="3"/>
    <n v="253.18"/>
  </r>
  <r>
    <s v="ORD-100657"/>
    <s v="02/02/2025"/>
    <x v="112"/>
    <x v="84"/>
    <s v="Not Known"/>
    <x v="1"/>
    <x v="1"/>
    <x v="4"/>
    <x v="18"/>
    <n v="10"/>
    <n v="30.36"/>
    <n v="0.05"/>
    <n v="10.68"/>
    <x v="4"/>
    <s v="Not Known"/>
    <x v="2"/>
    <n v="288.42"/>
  </r>
  <r>
    <s v="ORD-100148"/>
    <s v="12/14/24"/>
    <x v="423"/>
    <x v="149"/>
    <s v="aarav.kapoor17@hotmail.com"/>
    <x v="3"/>
    <x v="3"/>
    <x v="4"/>
    <x v="12"/>
    <n v="1"/>
    <n v="12.46"/>
    <n v="0.05"/>
    <n v="12.66"/>
    <x v="4"/>
    <s v="Credit Card"/>
    <x v="2"/>
    <n v="11.837"/>
  </r>
  <r>
    <s v="ORD-101174"/>
    <s v="June 09, 2024"/>
    <x v="271"/>
    <x v="87"/>
    <s v="noah.anderson76@gmail.com"/>
    <x v="3"/>
    <x v="7"/>
    <x v="4"/>
    <x v="18"/>
    <n v="4"/>
    <n v="29.91"/>
    <n v="0.05"/>
    <n v="11.7"/>
    <x v="4"/>
    <s v="Credit Card"/>
    <x v="2"/>
    <n v="113.658"/>
  </r>
  <r>
    <s v="ORD-101339"/>
    <s v="08/15/25"/>
    <x v="424"/>
    <x v="315"/>
    <s v="ella.taylor15@outlook.com"/>
    <x v="0"/>
    <x v="9"/>
    <x v="1"/>
    <x v="20"/>
    <n v="2"/>
    <n v="19.53"/>
    <n v="0"/>
    <n v="7.8"/>
    <x v="6"/>
    <s v="PayPal"/>
    <x v="2"/>
    <n v="39.06"/>
  </r>
  <r>
    <s v="ORD-100028"/>
    <s v="25-10-2025"/>
    <x v="379"/>
    <x v="127"/>
    <s v="Not Known"/>
    <x v="2"/>
    <x v="1"/>
    <x v="0"/>
    <x v="0"/>
    <n v="1"/>
    <n v="38.4"/>
    <n v="0"/>
    <n v="12.33"/>
    <x v="5"/>
    <s v="Debit Card"/>
    <x v="0"/>
    <n v="38.4"/>
  </r>
  <r>
    <s v="ORD-100246"/>
    <s v="16-01-2024"/>
    <x v="357"/>
    <x v="172"/>
    <s v="ava.reddy53@yahoo.com"/>
    <x v="0"/>
    <x v="0"/>
    <x v="4"/>
    <x v="18"/>
    <n v="5"/>
    <n v="30"/>
    <n v="0.15"/>
    <n v="10.07"/>
    <x v="1"/>
    <s v="Not Known"/>
    <x v="2"/>
    <n v="127.5"/>
  </r>
  <r>
    <s v="ORD-100365"/>
    <s v="2025-11-22"/>
    <x v="425"/>
    <x v="63"/>
    <s v="chloe.sharma76@gmail.com"/>
    <x v="3"/>
    <x v="3"/>
    <x v="3"/>
    <x v="21"/>
    <n v="4"/>
    <n v="126.66"/>
    <n v="0"/>
    <n v="9.77"/>
    <x v="2"/>
    <s v="PayPal"/>
    <x v="1"/>
    <n v="506.64"/>
  </r>
  <r>
    <s v="ORD-101120"/>
    <s v="06 Mar 2025"/>
    <x v="208"/>
    <x v="287"/>
    <s v="mia.nair6@yahoo.com"/>
    <x v="4"/>
    <x v="5"/>
    <x v="0"/>
    <x v="0"/>
    <n v="10"/>
    <n v="38.89"/>
    <n v="0.1"/>
    <n v="9.2100000000000009"/>
    <x v="1"/>
    <s v="Credit Card"/>
    <x v="0"/>
    <n v="350.01"/>
  </r>
  <r>
    <s v="ORD-101090"/>
    <s v="October 14, 2025"/>
    <x v="426"/>
    <x v="28"/>
    <s v="daniel.jackson68@gmail.com"/>
    <x v="1"/>
    <x v="6"/>
    <x v="5"/>
    <x v="11"/>
    <n v="5"/>
    <n v="238.97"/>
    <n v="0"/>
    <n v="14.47"/>
    <x v="0"/>
    <s v="Not Known"/>
    <x v="1"/>
    <n v="1194.8499999999999"/>
  </r>
  <r>
    <s v="ORD-100198"/>
    <s v="04/15/24"/>
    <x v="86"/>
    <x v="224"/>
    <s v="ethan.white42@gmail.com"/>
    <x v="4"/>
    <x v="11"/>
    <x v="3"/>
    <x v="11"/>
    <n v="10"/>
    <n v="237.62"/>
    <n v="0.15"/>
    <n v="4.0999999999999996"/>
    <x v="0"/>
    <s v="Bank Transfer"/>
    <x v="2"/>
    <n v="2019.7699999999998"/>
  </r>
  <r>
    <s v="ORD-100728"/>
    <s v="07/08/24"/>
    <x v="241"/>
    <x v="259"/>
    <s v="emma.iyer22@yahoo.com"/>
    <x v="1"/>
    <x v="1"/>
    <x v="1"/>
    <x v="13"/>
    <n v="4"/>
    <n v="181.3"/>
    <n v="0"/>
    <n v="1.56"/>
    <x v="6"/>
    <s v="Debit Card"/>
    <x v="2"/>
    <n v="725.2"/>
  </r>
  <r>
    <s v="ORD-100862"/>
    <s v="07/15/2025"/>
    <x v="427"/>
    <x v="65"/>
    <s v="ella.thomas76@company.co"/>
    <x v="2"/>
    <x v="1"/>
    <x v="3"/>
    <x v="11"/>
    <n v="4"/>
    <n v="247.02"/>
    <n v="0.1"/>
    <n v="13.36"/>
    <x v="1"/>
    <s v="Bank Transfer"/>
    <x v="3"/>
    <n v="889.27200000000005"/>
  </r>
  <r>
    <s v="ORD-100404"/>
    <s v="January 29, 2025"/>
    <x v="428"/>
    <x v="61"/>
    <s v="chloe.moore16@company.co"/>
    <x v="3"/>
    <x v="7"/>
    <x v="4"/>
    <x v="6"/>
    <n v="3"/>
    <n v="62.63"/>
    <n v="0.1"/>
    <n v="6.54"/>
    <x v="0"/>
    <s v="Not Known"/>
    <x v="0"/>
    <n v="169.10100000000003"/>
  </r>
  <r>
    <s v="ORD-100742"/>
    <s v="12-10-2024"/>
    <x v="429"/>
    <x v="316"/>
    <s v="arjun.miller57@hotmail.com"/>
    <x v="2"/>
    <x v="1"/>
    <x v="3"/>
    <x v="9"/>
    <n v="1"/>
    <n v="92.44"/>
    <n v="0"/>
    <n v="13.89"/>
    <x v="6"/>
    <s v="Credit Card"/>
    <x v="1"/>
    <n v="92.44"/>
  </r>
  <r>
    <s v="ORD-100483"/>
    <s v="21 Aug 2025"/>
    <x v="430"/>
    <x v="317"/>
    <s v="ava.gupta97@outlook.com"/>
    <x v="1"/>
    <x v="6"/>
    <x v="1"/>
    <x v="7"/>
    <n v="4"/>
    <n v="41.28"/>
    <n v="0.1"/>
    <n v="1.84"/>
    <x v="1"/>
    <s v="Bank Transfer"/>
    <x v="2"/>
    <n v="148.608"/>
  </r>
  <r>
    <s v="ORD-100158"/>
    <s v="25-06-2024"/>
    <x v="338"/>
    <x v="184"/>
    <s v="zara.thomas5@hotmail.com"/>
    <x v="3"/>
    <x v="4"/>
    <x v="1"/>
    <x v="20"/>
    <n v="2"/>
    <n v="19.11"/>
    <n v="0"/>
    <n v="9.1300000000000008"/>
    <x v="7"/>
    <s v="Credit Card"/>
    <x v="1"/>
    <n v="38.22"/>
  </r>
  <r>
    <s v="ORD-100315"/>
    <s v="2024-05-17"/>
    <x v="221"/>
    <x v="135"/>
    <s v="rohan.brown81@company.co"/>
    <x v="0"/>
    <x v="0"/>
    <x v="0"/>
    <x v="16"/>
    <n v="2"/>
    <n v="23.6"/>
    <n v="0"/>
    <m/>
    <x v="3"/>
    <s v="COD"/>
    <x v="2"/>
    <n v="47.2"/>
  </r>
  <r>
    <s v="ORD-100256"/>
    <s v="04-12-2024"/>
    <x v="431"/>
    <x v="300"/>
    <s v="daniel.taylor25@gmail.com"/>
    <x v="0"/>
    <x v="8"/>
    <x v="3"/>
    <x v="9"/>
    <n v="1"/>
    <n v="89.06"/>
    <n v="0"/>
    <n v="7.12"/>
    <x v="6"/>
    <s v="COD"/>
    <x v="2"/>
    <n v="89.06"/>
  </r>
  <r>
    <s v="ORD-100007"/>
    <s v="11/18/25"/>
    <x v="432"/>
    <x v="318"/>
    <s v="lily.thomas52@yahoo.com"/>
    <x v="1"/>
    <x v="1"/>
    <x v="2"/>
    <x v="3"/>
    <n v="2"/>
    <n v="8.15"/>
    <n v="0"/>
    <n v="7.76"/>
    <x v="5"/>
    <s v="Credit Card"/>
    <x v="2"/>
    <n v="16.3"/>
  </r>
  <r>
    <s v="ORD-101382"/>
    <s v="18-02-2025"/>
    <x v="182"/>
    <x v="319"/>
    <s v="sophia.reddy81@outlook.com"/>
    <x v="4"/>
    <x v="11"/>
    <x v="3"/>
    <x v="5"/>
    <n v="2"/>
    <n v="104.54"/>
    <n v="0"/>
    <n v="0"/>
    <x v="7"/>
    <s v="Credit Card"/>
    <x v="2"/>
    <n v="209.08"/>
  </r>
  <r>
    <s v="ORD-100384"/>
    <s v="2025-10-22"/>
    <x v="433"/>
    <x v="284"/>
    <s v="zara.white34@yahoo.com"/>
    <x v="4"/>
    <x v="1"/>
    <x v="4"/>
    <x v="8"/>
    <n v="4"/>
    <n v="14.89"/>
    <n v="0.1"/>
    <n v="4.42"/>
    <x v="5"/>
    <s v="Not Known"/>
    <x v="3"/>
    <n v="53.604000000000006"/>
  </r>
  <r>
    <s v="ORD-100177"/>
    <s v="2024-10-11"/>
    <x v="434"/>
    <x v="129"/>
    <s v="chloe.davis43@company.co"/>
    <x v="4"/>
    <x v="5"/>
    <x v="1"/>
    <x v="20"/>
    <n v="10"/>
    <n v="19.260000000000002"/>
    <n v="0.05"/>
    <n v="9.65"/>
    <x v="7"/>
    <s v="Not Known"/>
    <x v="2"/>
    <n v="182.97"/>
  </r>
  <r>
    <s v="ORD-100704"/>
    <s v="14 May 2025"/>
    <x v="197"/>
    <x v="320"/>
    <s v="mia.anderson57@hotmail.com"/>
    <x v="0"/>
    <x v="9"/>
    <x v="4"/>
    <x v="8"/>
    <n v="3"/>
    <n v="15.45"/>
    <n v="0.15"/>
    <n v="9.99"/>
    <x v="5"/>
    <s v="Credit Card"/>
    <x v="1"/>
    <n v="39.397499999999994"/>
  </r>
  <r>
    <s v="ORD-100314"/>
    <s v="05/05/2024"/>
    <x v="83"/>
    <x v="0"/>
    <s v="ava.williams52@yahoo.com"/>
    <x v="2"/>
    <x v="1"/>
    <x v="1"/>
    <x v="15"/>
    <n v="1"/>
    <n v="9.4"/>
    <n v="0"/>
    <m/>
    <x v="0"/>
    <s v="Not Known"/>
    <x v="1"/>
    <n v="9.4"/>
  </r>
  <r>
    <s v="ORD-100357"/>
    <s v="11 Mar 2025"/>
    <x v="321"/>
    <x v="26"/>
    <s v="advait.clark92@company.co"/>
    <x v="0"/>
    <x v="0"/>
    <x v="2"/>
    <x v="3"/>
    <n v="1"/>
    <n v="7.82"/>
    <n v="0.15"/>
    <n v="0"/>
    <x v="7"/>
    <s v="Credit Card"/>
    <x v="2"/>
    <n v="6.6470000000000002"/>
  </r>
  <r>
    <s v="ORD-100298"/>
    <s v="07/05/2024"/>
    <x v="166"/>
    <x v="33"/>
    <s v="mia.jackson37@yahoo.com"/>
    <x v="4"/>
    <x v="1"/>
    <x v="4"/>
    <x v="8"/>
    <n v="1"/>
    <n v="15.71"/>
    <n v="0.15"/>
    <n v="13.57"/>
    <x v="2"/>
    <s v="Credit Card"/>
    <x v="2"/>
    <n v="13.3535"/>
  </r>
  <r>
    <s v="ORD-100455"/>
    <s v="10 Dec 2025"/>
    <x v="435"/>
    <x v="221"/>
    <s v="lily.johnson10@hotmail.com"/>
    <x v="2"/>
    <x v="2"/>
    <x v="1"/>
    <x v="19"/>
    <n v="2"/>
    <n v="24.69"/>
    <n v="0.1"/>
    <n v="9.6300000000000008"/>
    <x v="7"/>
    <s v="Credit Card"/>
    <x v="2"/>
    <n v="44.442"/>
  </r>
  <r>
    <s v="ORD-100543"/>
    <s v="14 Jul 2025"/>
    <x v="436"/>
    <x v="321"/>
    <s v="emma.johnson96@hotmail.com"/>
    <x v="2"/>
    <x v="1"/>
    <x v="2"/>
    <x v="2"/>
    <n v="2"/>
    <n v="14.35"/>
    <n v="0.05"/>
    <n v="0"/>
    <x v="5"/>
    <s v="Debit Card"/>
    <x v="3"/>
    <n v="27.264999999999997"/>
  </r>
  <r>
    <s v="ORD-100662"/>
    <s v="03/02/25"/>
    <x v="366"/>
    <x v="41"/>
    <s v="Not Known"/>
    <x v="1"/>
    <x v="1"/>
    <x v="2"/>
    <x v="4"/>
    <n v="3"/>
    <n v="6.67"/>
    <n v="0"/>
    <n v="2.3199999999999998"/>
    <x v="5"/>
    <s v="Not Known"/>
    <x v="2"/>
    <n v="20.009999999999998"/>
  </r>
  <r>
    <s v="ORD-101021"/>
    <s v="2024-08-26"/>
    <x v="305"/>
    <x v="101"/>
    <s v="lily.harris71@hotmail.com"/>
    <x v="2"/>
    <x v="1"/>
    <x v="4"/>
    <x v="12"/>
    <n v="2"/>
    <n v="12.89"/>
    <n v="0"/>
    <n v="1.55"/>
    <x v="7"/>
    <s v="Bank Transfer"/>
    <x v="2"/>
    <n v="25.78"/>
  </r>
  <r>
    <s v="ORD-101173"/>
    <s v="30 Mar 2024"/>
    <x v="437"/>
    <x v="61"/>
    <s v="Not Known"/>
    <x v="3"/>
    <x v="7"/>
    <x v="2"/>
    <x v="2"/>
    <n v="1"/>
    <n v="14.14"/>
    <n v="0"/>
    <n v="11.54"/>
    <x v="5"/>
    <s v="PayPal"/>
    <x v="2"/>
    <n v="14.14"/>
  </r>
  <r>
    <s v="ORD-100885"/>
    <s v="February 10, 2024"/>
    <x v="100"/>
    <x v="54"/>
    <s v="daniel.iyer82@hotmail.com"/>
    <x v="4"/>
    <x v="1"/>
    <x v="4"/>
    <x v="18"/>
    <n v="3"/>
    <n v="31.25"/>
    <n v="0"/>
    <n v="14.79"/>
    <x v="5"/>
    <s v="COD"/>
    <x v="1"/>
    <n v="93.75"/>
  </r>
  <r>
    <s v="ORD-100527"/>
    <s v="03/26/2024"/>
    <x v="401"/>
    <x v="249"/>
    <s v="chloe.gupta66@hotmail.com"/>
    <x v="1"/>
    <x v="6"/>
    <x v="4"/>
    <x v="6"/>
    <n v="4"/>
    <n v="60.77"/>
    <n v="0.1"/>
    <n v="5.55"/>
    <x v="3"/>
    <s v="Debit Card"/>
    <x v="0"/>
    <n v="218.77200000000002"/>
  </r>
  <r>
    <s v="ORD-100682"/>
    <s v="2025-07-27"/>
    <x v="438"/>
    <x v="147"/>
    <s v="kabir.white15@yahoo.com"/>
    <x v="4"/>
    <x v="5"/>
    <x v="2"/>
    <x v="14"/>
    <n v="3"/>
    <n v="4.2300000000000004"/>
    <n v="0"/>
    <n v="4.51"/>
    <x v="7"/>
    <s v="Credit Card"/>
    <x v="0"/>
    <n v="12.690000000000001"/>
  </r>
  <r>
    <s v="ORD-100159"/>
    <s v="17-05-2024"/>
    <x v="221"/>
    <x v="53"/>
    <s v="mia.iyer30@gmail.com"/>
    <x v="0"/>
    <x v="8"/>
    <x v="4"/>
    <x v="8"/>
    <n v="3"/>
    <n v="15.6"/>
    <n v="0.1"/>
    <n v="12.39"/>
    <x v="0"/>
    <s v="COD"/>
    <x v="1"/>
    <n v="42.12"/>
  </r>
  <r>
    <s v="ORD-100999"/>
    <s v="09-05-2025"/>
    <x v="315"/>
    <x v="216"/>
    <s v="olivia.thomas73@hotmail.com"/>
    <x v="2"/>
    <x v="1"/>
    <x v="2"/>
    <x v="2"/>
    <n v="3"/>
    <n v="13.38"/>
    <n v="0"/>
    <m/>
    <x v="0"/>
    <s v="Not Known"/>
    <x v="2"/>
    <n v="40.14"/>
  </r>
  <r>
    <s v="ORD-100360"/>
    <s v="03 Mar 2025"/>
    <x v="133"/>
    <x v="279"/>
    <s v="ava.white6@hotmail.com"/>
    <x v="2"/>
    <x v="1"/>
    <x v="2"/>
    <x v="2"/>
    <n v="2"/>
    <n v="13.89"/>
    <n v="0.05"/>
    <n v="6.79"/>
    <x v="4"/>
    <s v="Not Known"/>
    <x v="1"/>
    <n v="26.390999999999998"/>
  </r>
  <r>
    <s v="ORD-101278"/>
    <s v="October 19, 2025"/>
    <x v="439"/>
    <x v="191"/>
    <s v="Not Known"/>
    <x v="3"/>
    <x v="7"/>
    <x v="4"/>
    <x v="18"/>
    <n v="3"/>
    <n v="30.61"/>
    <n v="0"/>
    <n v="2.46"/>
    <x v="1"/>
    <s v="COD"/>
    <x v="2"/>
    <n v="91.83"/>
  </r>
  <r>
    <s v="ORD-100202"/>
    <s v="01/17/2024"/>
    <x v="81"/>
    <x v="257"/>
    <s v="lily.clark14@company.co"/>
    <x v="3"/>
    <x v="4"/>
    <x v="0"/>
    <x v="22"/>
    <n v="3"/>
    <n v="77.33"/>
    <n v="0.05"/>
    <n v="7.57"/>
    <x v="7"/>
    <s v="Not Known"/>
    <x v="2"/>
    <n v="220.3905"/>
  </r>
  <r>
    <s v="ORD-100851"/>
    <s v="March 05, 2025"/>
    <x v="384"/>
    <x v="227"/>
    <s v="olivia.kapoor56@hotmail.com"/>
    <x v="2"/>
    <x v="2"/>
    <x v="1"/>
    <x v="13"/>
    <n v="2"/>
    <n v="192.16"/>
    <n v="0.05"/>
    <n v="2.11"/>
    <x v="7"/>
    <s v="Credit Card"/>
    <x v="1"/>
    <n v="365.10399999999998"/>
  </r>
  <r>
    <s v="ORD-100861"/>
    <s v="17 Sep 2025"/>
    <x v="196"/>
    <x v="105"/>
    <s v="liam.johnson85@outlook.com"/>
    <x v="3"/>
    <x v="3"/>
    <x v="4"/>
    <x v="18"/>
    <n v="1"/>
    <n v="30.9"/>
    <n v="0.05"/>
    <n v="1.03"/>
    <x v="0"/>
    <s v="Credit Card"/>
    <x v="0"/>
    <n v="29.354999999999997"/>
  </r>
  <r>
    <s v="ORD-100112"/>
    <s v="03-01-2025"/>
    <x v="233"/>
    <x v="162"/>
    <s v="daniel.anderson57@gmail.com"/>
    <x v="4"/>
    <x v="1"/>
    <x v="3"/>
    <x v="11"/>
    <n v="1"/>
    <n v="246.01"/>
    <n v="0.1"/>
    <n v="2.81"/>
    <x v="3"/>
    <s v="Bank Transfer"/>
    <x v="2"/>
    <n v="221.40899999999999"/>
  </r>
  <r>
    <s v="ORD-100833"/>
    <s v="20 Jan 2025"/>
    <x v="440"/>
    <x v="12"/>
    <s v="Not Known"/>
    <x v="3"/>
    <x v="10"/>
    <x v="4"/>
    <x v="12"/>
    <n v="1"/>
    <n v="12.4"/>
    <n v="0.1"/>
    <n v="11.78"/>
    <x v="7"/>
    <s v="Debit Card"/>
    <x v="2"/>
    <n v="11.16"/>
  </r>
  <r>
    <s v="ORD-100307"/>
    <s v="12/26/2024"/>
    <x v="441"/>
    <x v="73"/>
    <s v="daniel.moore75@outlook.com"/>
    <x v="1"/>
    <x v="1"/>
    <x v="2"/>
    <x v="4"/>
    <n v="10"/>
    <n v="6.56"/>
    <n v="0.15"/>
    <n v="4.22"/>
    <x v="3"/>
    <s v="Debit Card"/>
    <x v="0"/>
    <n v="55.759999999999991"/>
  </r>
  <r>
    <s v="ORD-100789"/>
    <s v="2024-03-30"/>
    <x v="437"/>
    <x v="168"/>
    <s v="lily.iyer99@gmail.com"/>
    <x v="2"/>
    <x v="1"/>
    <x v="2"/>
    <x v="3"/>
    <n v="1"/>
    <n v="7.76"/>
    <n v="0"/>
    <n v="6.85"/>
    <x v="5"/>
    <s v="COD"/>
    <x v="2"/>
    <n v="7.76"/>
  </r>
  <r>
    <s v="ORD-100422"/>
    <s v="2024-02-05"/>
    <x v="442"/>
    <x v="88"/>
    <s v="noah.clark97@hotmail.com"/>
    <x v="4"/>
    <x v="5"/>
    <x v="2"/>
    <x v="4"/>
    <n v="1"/>
    <n v="6.54"/>
    <n v="0"/>
    <n v="5.45"/>
    <x v="2"/>
    <s v="Debit Card"/>
    <x v="2"/>
    <n v="6.54"/>
  </r>
  <r>
    <s v="ORD-100737"/>
    <s v="28 Jul 2024"/>
    <x v="443"/>
    <x v="51"/>
    <s v="ella.sharma6@yahoo.com"/>
    <x v="1"/>
    <x v="6"/>
    <x v="4"/>
    <x v="18"/>
    <n v="2"/>
    <n v="30.09"/>
    <n v="0.1"/>
    <n v="11.08"/>
    <x v="5"/>
    <s v="COD"/>
    <x v="2"/>
    <n v="54.161999999999999"/>
  </r>
  <r>
    <s v="ORD-101073"/>
    <s v="11/01/24"/>
    <x v="301"/>
    <x v="316"/>
    <s v="Not Known"/>
    <x v="4"/>
    <x v="1"/>
    <x v="0"/>
    <x v="0"/>
    <n v="3"/>
    <n v="41.85"/>
    <n v="0"/>
    <n v="12.78"/>
    <x v="0"/>
    <s v="PayPal"/>
    <x v="2"/>
    <n v="125.55000000000001"/>
  </r>
  <r>
    <s v="ORD-100883"/>
    <s v="07-02-2025"/>
    <x v="444"/>
    <x v="166"/>
    <s v="olivia.reddy66@yahoo.com"/>
    <x v="3"/>
    <x v="7"/>
    <x v="4"/>
    <x v="8"/>
    <n v="4"/>
    <n v="15.7"/>
    <n v="0.05"/>
    <n v="0"/>
    <x v="0"/>
    <s v="Not Known"/>
    <x v="3"/>
    <n v="59.66"/>
  </r>
  <r>
    <s v="ORD-100459"/>
    <s v="2024-04-09"/>
    <x v="108"/>
    <x v="118"/>
    <s v="ishaan.nair64@hotmail.com"/>
    <x v="0"/>
    <x v="9"/>
    <x v="0"/>
    <x v="16"/>
    <n v="4"/>
    <n v="21.47"/>
    <n v="0.05"/>
    <n v="4.6399999999999997"/>
    <x v="5"/>
    <s v="Debit Card"/>
    <x v="2"/>
    <n v="81.585999999999999"/>
  </r>
  <r>
    <s v="ORD-100915"/>
    <s v="2024-08-11"/>
    <x v="228"/>
    <x v="146"/>
    <s v="aarav.harris79@gmail.com"/>
    <x v="0"/>
    <x v="0"/>
    <x v="5"/>
    <x v="16"/>
    <n v="3"/>
    <n v="21.8"/>
    <n v="0.05"/>
    <n v="8.2899999999999991"/>
    <x v="1"/>
    <s v="PayPal"/>
    <x v="0"/>
    <n v="62.13"/>
  </r>
  <r>
    <s v="ORD-101306"/>
    <s v="07-05-2025"/>
    <x v="70"/>
    <x v="201"/>
    <s v="advait.iyer3@company.co"/>
    <x v="2"/>
    <x v="2"/>
    <x v="3"/>
    <x v="11"/>
    <n v="4"/>
    <n v="260.02"/>
    <n v="0.05"/>
    <n v="13.41"/>
    <x v="5"/>
    <s v="Bank Transfer"/>
    <x v="2"/>
    <n v="988.07599999999991"/>
  </r>
  <r>
    <s v="ORD-100871"/>
    <s v="15 Mar 2024"/>
    <x v="445"/>
    <x v="23"/>
    <s v="ethan.davis2@yahoo.com"/>
    <x v="0"/>
    <x v="10"/>
    <x v="3"/>
    <x v="11"/>
    <n v="5"/>
    <n v="237.06"/>
    <n v="0.05"/>
    <n v="4.7"/>
    <x v="2"/>
    <s v="Debit Card"/>
    <x v="2"/>
    <n v="1126.0349999999999"/>
  </r>
  <r>
    <s v="ORD-100858"/>
    <s v="2025-12-15"/>
    <x v="193"/>
    <x v="170"/>
    <s v="chloe.williams83@outlook.com"/>
    <x v="2"/>
    <x v="1"/>
    <x v="2"/>
    <x v="3"/>
    <n v="3"/>
    <n v="7.47"/>
    <n v="0"/>
    <n v="5.58"/>
    <x v="6"/>
    <s v="Bank Transfer"/>
    <x v="2"/>
    <n v="22.41"/>
  </r>
  <r>
    <s v="ORD-100449"/>
    <s v="2024-03-19"/>
    <x v="416"/>
    <x v="322"/>
    <s v="zara.brown92@outlook.com"/>
    <x v="4"/>
    <x v="5"/>
    <x v="3"/>
    <x v="11"/>
    <n v="2"/>
    <n v="253.47"/>
    <n v="0.1"/>
    <n v="2.23"/>
    <x v="2"/>
    <s v="PayPal"/>
    <x v="2"/>
    <n v="456.24599999999998"/>
  </r>
  <r>
    <s v="ORD-100679"/>
    <s v="04/22/24"/>
    <x v="226"/>
    <x v="323"/>
    <s v="ava.jackson55@outlook.com"/>
    <x v="3"/>
    <x v="4"/>
    <x v="1"/>
    <x v="7"/>
    <n v="10"/>
    <n v="42.36"/>
    <n v="0.05"/>
    <n v="1.1499999999999999"/>
    <x v="3"/>
    <s v="Debit Card"/>
    <x v="2"/>
    <n v="402.42"/>
  </r>
  <r>
    <s v="ORD-100692"/>
    <s v="09/16/2025"/>
    <x v="446"/>
    <x v="72"/>
    <s v="chloe.brown59@company.co"/>
    <x v="4"/>
    <x v="1"/>
    <x v="0"/>
    <x v="17"/>
    <n v="1"/>
    <n v="47.05"/>
    <n v="0.1"/>
    <n v="4.1900000000000004"/>
    <x v="6"/>
    <s v="Credit Card"/>
    <x v="3"/>
    <n v="42.344999999999999"/>
  </r>
  <r>
    <s v="ORD-100912"/>
    <s v="09/11/25"/>
    <x v="354"/>
    <x v="15"/>
    <s v="noah.wilson17@outlook.com"/>
    <x v="0"/>
    <x v="0"/>
    <x v="3"/>
    <x v="5"/>
    <n v="10"/>
    <n v="107.4"/>
    <n v="0"/>
    <n v="3.28"/>
    <x v="0"/>
    <s v="Credit Card"/>
    <x v="2"/>
    <n v="1074"/>
  </r>
  <r>
    <s v="ORD-100080"/>
    <s v="18-08-2024"/>
    <x v="124"/>
    <x v="46"/>
    <s v="olivia.brown91@yahoo.com"/>
    <x v="3"/>
    <x v="3"/>
    <x v="0"/>
    <x v="0"/>
    <n v="4"/>
    <n v="41.06"/>
    <n v="0"/>
    <n v="12.69"/>
    <x v="0"/>
    <s v="Credit Card"/>
    <x v="2"/>
    <n v="164.24"/>
  </r>
  <r>
    <s v="ORD-101268"/>
    <s v="17 May 2025"/>
    <x v="285"/>
    <x v="66"/>
    <s v="olivia.gupta91@yahoo.com"/>
    <x v="2"/>
    <x v="2"/>
    <x v="0"/>
    <x v="0"/>
    <n v="1"/>
    <n v="41.59"/>
    <n v="0.1"/>
    <n v="5.65"/>
    <x v="0"/>
    <s v="Bank Transfer"/>
    <x v="2"/>
    <n v="37.431000000000004"/>
  </r>
  <r>
    <s v="ORD-100922"/>
    <s v="10/19/25"/>
    <x v="439"/>
    <x v="69"/>
    <s v="grace.iyer61@gmail.com"/>
    <x v="4"/>
    <x v="5"/>
    <x v="2"/>
    <x v="10"/>
    <n v="1"/>
    <n v="2.96"/>
    <n v="0.05"/>
    <n v="12.37"/>
    <x v="7"/>
    <s v="Credit Card"/>
    <x v="2"/>
    <n v="2.8119999999999998"/>
  </r>
  <r>
    <s v="ORD-100215"/>
    <s v="13-05-2025"/>
    <x v="447"/>
    <x v="63"/>
    <s v="chloe.sharma41@hotmail.com"/>
    <x v="1"/>
    <x v="1"/>
    <x v="0"/>
    <x v="16"/>
    <n v="1"/>
    <n v="23.3"/>
    <n v="0"/>
    <n v="8.52"/>
    <x v="7"/>
    <s v="Credit Card"/>
    <x v="2"/>
    <n v="23.3"/>
  </r>
  <r>
    <s v="ORD-100893"/>
    <s v="10/06/25"/>
    <x v="448"/>
    <x v="121"/>
    <s v="ishaan.miller6@gmail.com"/>
    <x v="4"/>
    <x v="11"/>
    <x v="4"/>
    <x v="18"/>
    <n v="3"/>
    <n v="30.22"/>
    <n v="0.1"/>
    <n v="12.21"/>
    <x v="5"/>
    <s v="Credit Card"/>
    <x v="0"/>
    <n v="81.593999999999994"/>
  </r>
  <r>
    <s v="ORD-100030"/>
    <s v="20 Feb 2025"/>
    <x v="449"/>
    <x v="168"/>
    <s v="lily.iyer93@yahoo.com"/>
    <x v="2"/>
    <x v="1"/>
    <x v="4"/>
    <x v="18"/>
    <n v="3"/>
    <n v="29.55"/>
    <n v="0.1"/>
    <m/>
    <x v="3"/>
    <s v="Debit Card"/>
    <x v="2"/>
    <n v="79.785000000000011"/>
  </r>
  <r>
    <s v="ORD-100242"/>
    <s v="2024-06-09"/>
    <x v="271"/>
    <x v="324"/>
    <s v="aarav.johnson96@outlook.com"/>
    <x v="3"/>
    <x v="7"/>
    <x v="4"/>
    <x v="12"/>
    <n v="5"/>
    <n v="12.58"/>
    <n v="0"/>
    <n v="5.33"/>
    <x v="0"/>
    <s v="Credit Card"/>
    <x v="2"/>
    <n v="62.9"/>
  </r>
  <r>
    <s v="ORD-101330"/>
    <s v="09/16/24"/>
    <x v="223"/>
    <x v="251"/>
    <s v="grace.kapoor17@hotmail.com"/>
    <x v="1"/>
    <x v="6"/>
    <x v="1"/>
    <x v="13"/>
    <n v="1"/>
    <n v="193.78"/>
    <n v="0.15"/>
    <n v="0"/>
    <x v="5"/>
    <s v="Debit Card"/>
    <x v="3"/>
    <n v="164.71299999999999"/>
  </r>
  <r>
    <s v="ORD-100641"/>
    <s v="20 Aug 2025"/>
    <x v="375"/>
    <x v="290"/>
    <s v="ishaan.gupta41@gmail.com"/>
    <x v="1"/>
    <x v="1"/>
    <x v="1"/>
    <x v="20"/>
    <n v="3"/>
    <n v="18.670000000000002"/>
    <n v="0.15"/>
    <n v="2.63"/>
    <x v="0"/>
    <s v="Credit Card"/>
    <x v="2"/>
    <n v="47.608500000000006"/>
  </r>
  <r>
    <s v="ORD-100696"/>
    <s v="25 May 2024"/>
    <x v="450"/>
    <x v="256"/>
    <s v="olivia.iyer38@outlook.com"/>
    <x v="2"/>
    <x v="1"/>
    <x v="2"/>
    <x v="4"/>
    <n v="1"/>
    <n v="6.63"/>
    <n v="0"/>
    <n v="2.79"/>
    <x v="7"/>
    <s v="PayPal"/>
    <x v="2"/>
    <n v="6.63"/>
  </r>
  <r>
    <s v="ORD-100209"/>
    <s v="March 15, 2024"/>
    <x v="445"/>
    <x v="302"/>
    <s v="rohan.reddy72@company.co"/>
    <x v="0"/>
    <x v="0"/>
    <x v="3"/>
    <x v="9"/>
    <n v="2"/>
    <n v="93.12"/>
    <n v="0.05"/>
    <n v="1.76"/>
    <x v="0"/>
    <s v="Bank Transfer"/>
    <x v="3"/>
    <n v="176.928"/>
  </r>
  <r>
    <s v="ORD-100887"/>
    <s v="02/03/25"/>
    <x v="259"/>
    <x v="43"/>
    <s v="ethan.sharma94@outlook.com"/>
    <x v="0"/>
    <x v="8"/>
    <x v="2"/>
    <x v="4"/>
    <n v="10"/>
    <n v="6.23"/>
    <n v="0.05"/>
    <n v="7.49"/>
    <x v="3"/>
    <s v="Debit Card"/>
    <x v="3"/>
    <n v="59.185000000000002"/>
  </r>
  <r>
    <s v="ORD-100435"/>
    <s v="06/07/2025"/>
    <x v="451"/>
    <x v="83"/>
    <s v="grace.white20@company.co"/>
    <x v="3"/>
    <x v="4"/>
    <x v="2"/>
    <x v="4"/>
    <n v="4"/>
    <n v="6.62"/>
    <n v="0"/>
    <n v="1.73"/>
    <x v="0"/>
    <s v="COD"/>
    <x v="2"/>
    <n v="26.48"/>
  </r>
  <r>
    <s v="ORD-101015"/>
    <s v="15-03-2024"/>
    <x v="445"/>
    <x v="206"/>
    <s v="sophia.kapoor38@yahoo.com"/>
    <x v="2"/>
    <x v="1"/>
    <x v="4"/>
    <x v="12"/>
    <n v="3"/>
    <n v="12.62"/>
    <n v="0.1"/>
    <n v="10.59"/>
    <x v="2"/>
    <s v="Debit Card"/>
    <x v="2"/>
    <n v="34.073999999999998"/>
  </r>
  <r>
    <s v="ORD-101358"/>
    <s v="23 Aug 2024"/>
    <x v="452"/>
    <x v="299"/>
    <s v="Not Known"/>
    <x v="4"/>
    <x v="1"/>
    <x v="2"/>
    <x v="14"/>
    <n v="2"/>
    <n v="4.05"/>
    <n v="0.1"/>
    <n v="2.68"/>
    <x v="0"/>
    <s v="Not Known"/>
    <x v="2"/>
    <n v="7.29"/>
  </r>
  <r>
    <s v="ORD-101172"/>
    <s v="21 Jun 2025"/>
    <x v="453"/>
    <x v="110"/>
    <s v="zara.davis18@outlook.com"/>
    <x v="2"/>
    <x v="1"/>
    <x v="2"/>
    <x v="14"/>
    <n v="3"/>
    <n v="4.32"/>
    <n v="0.1"/>
    <m/>
    <x v="6"/>
    <s v="Not Known"/>
    <x v="2"/>
    <n v="11.664000000000001"/>
  </r>
  <r>
    <s v="ORD-101323"/>
    <s v="05/27/24"/>
    <x v="26"/>
    <x v="83"/>
    <s v="grace.white49@yahoo.com"/>
    <x v="3"/>
    <x v="7"/>
    <x v="3"/>
    <x v="5"/>
    <n v="1"/>
    <n v="114.49"/>
    <n v="0"/>
    <n v="7.25"/>
    <x v="3"/>
    <s v="COD"/>
    <x v="2"/>
    <n v="114.49"/>
  </r>
  <r>
    <s v="ORD-100688"/>
    <s v="04/30/24"/>
    <x v="454"/>
    <x v="198"/>
    <s v="zara.harris23@company.co"/>
    <x v="3"/>
    <x v="4"/>
    <x v="2"/>
    <x v="2"/>
    <n v="2"/>
    <n v="14.55"/>
    <n v="0.05"/>
    <n v="9.58"/>
    <x v="1"/>
    <s v="Bank Transfer"/>
    <x v="0"/>
    <n v="27.645"/>
  </r>
  <r>
    <s v="ORD-100551"/>
    <s v="04-03-2024"/>
    <x v="455"/>
    <x v="308"/>
    <s v="noah.williams91@gmail.com"/>
    <x v="3"/>
    <x v="3"/>
    <x v="3"/>
    <x v="21"/>
    <n v="1"/>
    <n v="130.46"/>
    <n v="0"/>
    <n v="4.16"/>
    <x v="1"/>
    <s v="COD"/>
    <x v="2"/>
    <n v="130.46"/>
  </r>
  <r>
    <s v="ORD-100544"/>
    <s v="28 Apr 2025"/>
    <x v="282"/>
    <x v="325"/>
    <s v="advait.miller33@outlook.com"/>
    <x v="0"/>
    <x v="9"/>
    <x v="0"/>
    <x v="22"/>
    <n v="1"/>
    <n v="80.5"/>
    <n v="0.1"/>
    <n v="13.91"/>
    <x v="2"/>
    <s v="Credit Card"/>
    <x v="2"/>
    <n v="72.45"/>
  </r>
  <r>
    <s v="ORD-100995"/>
    <s v="2025-03-13"/>
    <x v="290"/>
    <x v="145"/>
    <s v="liam.davis81@hotmail.com"/>
    <x v="1"/>
    <x v="1"/>
    <x v="0"/>
    <x v="0"/>
    <n v="1"/>
    <n v="40.08"/>
    <n v="0"/>
    <n v="0"/>
    <x v="6"/>
    <s v="COD"/>
    <x v="3"/>
    <n v="40.08"/>
  </r>
  <r>
    <s v="ORD-100983"/>
    <s v="January 02, 2025"/>
    <x v="248"/>
    <x v="51"/>
    <s v="ella.sharma89@outlook.com"/>
    <x v="0"/>
    <x v="8"/>
    <x v="2"/>
    <x v="3"/>
    <n v="5"/>
    <n v="7.73"/>
    <n v="0.1"/>
    <n v="5.73"/>
    <x v="2"/>
    <s v="Credit Card"/>
    <x v="2"/>
    <n v="34.785000000000004"/>
  </r>
  <r>
    <s v="ORD-100806"/>
    <s v="07/25/25"/>
    <x v="456"/>
    <x v="326"/>
    <s v="emma.gupta3@gmail.com"/>
    <x v="0"/>
    <x v="0"/>
    <x v="1"/>
    <x v="1"/>
    <n v="2"/>
    <n v="33.869999999999997"/>
    <n v="0"/>
    <n v="2.11"/>
    <x v="4"/>
    <s v="Not Known"/>
    <x v="2"/>
    <n v="67.739999999999995"/>
  </r>
  <r>
    <s v="ORD-101038"/>
    <s v="July 12, 2024"/>
    <x v="457"/>
    <x v="23"/>
    <s v="ethan.davis53@company.co"/>
    <x v="4"/>
    <x v="1"/>
    <x v="5"/>
    <x v="21"/>
    <n v="1"/>
    <n v="132.29"/>
    <n v="0.15"/>
    <m/>
    <x v="6"/>
    <s v="Credit Card"/>
    <x v="2"/>
    <n v="112.44649999999999"/>
  </r>
  <r>
    <s v="ORD-100403"/>
    <s v="14-03-2024"/>
    <x v="458"/>
    <x v="7"/>
    <s v="kabir.reddy62@company.co"/>
    <x v="1"/>
    <x v="6"/>
    <x v="1"/>
    <x v="7"/>
    <n v="10"/>
    <n v="42.4"/>
    <n v="0"/>
    <n v="2.94"/>
    <x v="1"/>
    <s v="Credit Card"/>
    <x v="2"/>
    <n v="424"/>
  </r>
  <r>
    <s v="ORD-101264"/>
    <s v="09/17/25"/>
    <x v="196"/>
    <x v="234"/>
    <s v="noah.harris95@outlook.com"/>
    <x v="2"/>
    <x v="1"/>
    <x v="1"/>
    <x v="20"/>
    <n v="3"/>
    <n v="19.489999999999998"/>
    <n v="0.1"/>
    <n v="7.75"/>
    <x v="7"/>
    <s v="Debit Card"/>
    <x v="2"/>
    <n v="52.622999999999998"/>
  </r>
  <r>
    <s v="ORD-100362"/>
    <s v="05/03/24"/>
    <x v="459"/>
    <x v="127"/>
    <s v="arjun.johnson3@company.co"/>
    <x v="4"/>
    <x v="5"/>
    <x v="3"/>
    <x v="21"/>
    <n v="2"/>
    <n v="130.86000000000001"/>
    <n v="0"/>
    <n v="0.28000000000000003"/>
    <x v="1"/>
    <s v="Credit Card"/>
    <x v="2"/>
    <n v="261.72000000000003"/>
  </r>
  <r>
    <s v="ORD-100271"/>
    <s v="12 Jan 2024"/>
    <x v="460"/>
    <x v="99"/>
    <s v="liam.harris69@gmail.com"/>
    <x v="0"/>
    <x v="0"/>
    <x v="1"/>
    <x v="19"/>
    <n v="2"/>
    <n v="25.97"/>
    <n v="0.05"/>
    <n v="7.04"/>
    <x v="4"/>
    <s v="Debit Card"/>
    <x v="0"/>
    <n v="49.342999999999996"/>
  </r>
  <r>
    <s v="ORD-100466"/>
    <s v="2025-08-15"/>
    <x v="424"/>
    <x v="327"/>
    <s v="advait.sharma82@yahoo.com"/>
    <x v="1"/>
    <x v="6"/>
    <x v="2"/>
    <x v="3"/>
    <n v="4"/>
    <n v="8.08"/>
    <n v="0.1"/>
    <n v="14.69"/>
    <x v="7"/>
    <s v="COD"/>
    <x v="2"/>
    <n v="29.088000000000001"/>
  </r>
  <r>
    <s v="ORD-101294"/>
    <s v="August 14, 2025"/>
    <x v="461"/>
    <x v="38"/>
    <s v="aarav.iyer11@company.co"/>
    <x v="4"/>
    <x v="1"/>
    <x v="1"/>
    <x v="20"/>
    <n v="10"/>
    <n v="19.559999999999999"/>
    <n v="0.1"/>
    <n v="0.25"/>
    <x v="4"/>
    <s v="Credit Card"/>
    <x v="3"/>
    <n v="176.04"/>
  </r>
  <r>
    <s v="ORD-101290"/>
    <s v="11-05-2024"/>
    <x v="105"/>
    <x v="157"/>
    <s v="olivia.jackson95@outlook.com"/>
    <x v="4"/>
    <x v="5"/>
    <x v="4"/>
    <x v="12"/>
    <n v="1"/>
    <n v="13.25"/>
    <n v="0"/>
    <n v="6.95"/>
    <x v="5"/>
    <s v="Credit Card"/>
    <x v="0"/>
    <n v="13.25"/>
  </r>
  <r>
    <s v="ORD-100277"/>
    <s v="28 Oct 2024"/>
    <x v="462"/>
    <x v="328"/>
    <s v="ethan.clark33@gmail.com"/>
    <x v="1"/>
    <x v="1"/>
    <x v="0"/>
    <x v="17"/>
    <n v="1"/>
    <n v="45.94"/>
    <n v="0"/>
    <n v="9.58"/>
    <x v="0"/>
    <s v="Not Known"/>
    <x v="1"/>
    <n v="45.94"/>
  </r>
  <r>
    <s v="ORD-101292"/>
    <s v="August 21, 2025"/>
    <x v="430"/>
    <x v="297"/>
    <s v="olivia.clark94@gmail.com"/>
    <x v="0"/>
    <x v="9"/>
    <x v="3"/>
    <x v="5"/>
    <n v="1"/>
    <n v="115"/>
    <n v="0.15"/>
    <n v="14.44"/>
    <x v="0"/>
    <s v="Credit Card"/>
    <x v="2"/>
    <n v="97.75"/>
  </r>
  <r>
    <s v="ORD-101376"/>
    <s v="15-10-2024"/>
    <x v="463"/>
    <x v="176"/>
    <s v="liam.taylor71@company.co"/>
    <x v="0"/>
    <x v="9"/>
    <x v="0"/>
    <x v="17"/>
    <n v="2"/>
    <n v="45.38"/>
    <n v="0.1"/>
    <n v="2.17"/>
    <x v="0"/>
    <s v="COD"/>
    <x v="2"/>
    <n v="81.684000000000012"/>
  </r>
  <r>
    <s v="ORD-100899"/>
    <s v="December 30, 2025"/>
    <x v="65"/>
    <x v="10"/>
    <s v="noah.miller21@yahoo.com"/>
    <x v="0"/>
    <x v="9"/>
    <x v="5"/>
    <x v="6"/>
    <n v="2"/>
    <n v="58.19"/>
    <n v="0"/>
    <n v="11.32"/>
    <x v="0"/>
    <s v="PayPal"/>
    <x v="2"/>
    <n v="116.38"/>
  </r>
  <r>
    <s v="ORD-101002"/>
    <s v="14-01-2025"/>
    <x v="263"/>
    <x v="180"/>
    <s v="aarav.anderson21@gmail.com"/>
    <x v="3"/>
    <x v="7"/>
    <x v="0"/>
    <x v="16"/>
    <n v="4"/>
    <n v="22.58"/>
    <n v="0.1"/>
    <n v="4.18"/>
    <x v="2"/>
    <s v="Credit Card"/>
    <x v="2"/>
    <n v="81.287999999999997"/>
  </r>
  <r>
    <s v="ORD-101390"/>
    <s v="26 Jan 2024"/>
    <x v="464"/>
    <x v="271"/>
    <s v="sophia.taylor44@gmail.com"/>
    <x v="2"/>
    <x v="2"/>
    <x v="1"/>
    <x v="7"/>
    <n v="1"/>
    <n v="41.43"/>
    <n v="0.05"/>
    <n v="8.36"/>
    <x v="1"/>
    <s v="PayPal"/>
    <x v="3"/>
    <n v="39.358499999999999"/>
  </r>
  <r>
    <s v="ORD-101114"/>
    <s v="02-06-2024"/>
    <x v="408"/>
    <x v="253"/>
    <s v="liam.kapoor65@gmail.com"/>
    <x v="2"/>
    <x v="1"/>
    <x v="0"/>
    <x v="0"/>
    <n v="1"/>
    <n v="40.619999999999997"/>
    <n v="0.15"/>
    <n v="5.72"/>
    <x v="4"/>
    <s v="Not Known"/>
    <x v="0"/>
    <n v="34.526999999999994"/>
  </r>
  <r>
    <s v="ORD-100442"/>
    <s v="31-05-2024"/>
    <x v="465"/>
    <x v="237"/>
    <s v="ella.brown82@yahoo.com"/>
    <x v="3"/>
    <x v="4"/>
    <x v="0"/>
    <x v="22"/>
    <n v="2"/>
    <n v="78.42"/>
    <n v="0.1"/>
    <n v="11.86"/>
    <x v="1"/>
    <s v="Not Known"/>
    <x v="2"/>
    <n v="141.15600000000001"/>
  </r>
  <r>
    <s v="ORD-100299"/>
    <s v="June 15, 2024"/>
    <x v="345"/>
    <x v="329"/>
    <s v="ella.johnson70@yahoo.com"/>
    <x v="1"/>
    <x v="6"/>
    <x v="0"/>
    <x v="0"/>
    <n v="1"/>
    <n v="39.75"/>
    <n v="0.05"/>
    <n v="0.37"/>
    <x v="3"/>
    <s v="Not Known"/>
    <x v="2"/>
    <n v="37.762499999999996"/>
  </r>
  <r>
    <s v="ORD-100879"/>
    <s v="2024-07-31"/>
    <x v="466"/>
    <x v="330"/>
    <s v="Not Known"/>
    <x v="4"/>
    <x v="5"/>
    <x v="1"/>
    <x v="20"/>
    <n v="1"/>
    <n v="18.84"/>
    <n v="0.05"/>
    <n v="10.44"/>
    <x v="1"/>
    <s v="Not Known"/>
    <x v="2"/>
    <n v="17.898"/>
  </r>
  <r>
    <s v="ORD-100375"/>
    <s v="10/28/25"/>
    <x v="467"/>
    <x v="302"/>
    <s v="rohan.reddy44@hotmail.com"/>
    <x v="3"/>
    <x v="7"/>
    <x v="4"/>
    <x v="6"/>
    <n v="2"/>
    <n v="57.57"/>
    <n v="0"/>
    <n v="0"/>
    <x v="4"/>
    <s v="Bank Transfer"/>
    <x v="2"/>
    <n v="115.14"/>
  </r>
  <r>
    <s v="ORD-100956"/>
    <s v="February 08, 2024"/>
    <x v="468"/>
    <x v="167"/>
    <s v="ishaan.wilson55@hotmail.com"/>
    <x v="3"/>
    <x v="3"/>
    <x v="2"/>
    <x v="4"/>
    <n v="1"/>
    <n v="6.52"/>
    <n v="0"/>
    <n v="13.34"/>
    <x v="5"/>
    <s v="PayPal"/>
    <x v="2"/>
    <n v="6.52"/>
  </r>
  <r>
    <s v="ORD-101083"/>
    <s v="13 Jun 2025"/>
    <x v="352"/>
    <x v="284"/>
    <s v="zara.white50@gmail.com"/>
    <x v="4"/>
    <x v="1"/>
    <x v="4"/>
    <x v="12"/>
    <n v="1"/>
    <n v="13.3"/>
    <n v="0"/>
    <n v="12.19"/>
    <x v="7"/>
    <s v="Credit Card"/>
    <x v="2"/>
    <n v="13.3"/>
  </r>
  <r>
    <s v="ORD-100872"/>
    <s v="February 02, 2024"/>
    <x v="89"/>
    <x v="55"/>
    <s v="Not Known"/>
    <x v="0"/>
    <x v="9"/>
    <x v="0"/>
    <x v="22"/>
    <n v="1"/>
    <n v="77.459999999999994"/>
    <n v="0"/>
    <n v="13.39"/>
    <x v="6"/>
    <s v="PayPal"/>
    <x v="2"/>
    <n v="77.459999999999994"/>
  </r>
  <r>
    <s v="ORD-101076"/>
    <s v="29 Apr 2024"/>
    <x v="142"/>
    <x v="212"/>
    <s v="kabir.iyer86@outlook.com"/>
    <x v="0"/>
    <x v="0"/>
    <x v="1"/>
    <x v="1"/>
    <n v="3"/>
    <n v="35.82"/>
    <n v="0.05"/>
    <n v="12.32"/>
    <x v="6"/>
    <s v="Credit Card"/>
    <x v="3"/>
    <n v="102.087"/>
  </r>
  <r>
    <s v="ORD-100472"/>
    <s v="13 May 2024"/>
    <x v="469"/>
    <x v="96"/>
    <s v="aarav.nair4@gmail.com"/>
    <x v="4"/>
    <x v="1"/>
    <x v="1"/>
    <x v="20"/>
    <n v="1"/>
    <n v="18.09"/>
    <n v="0"/>
    <n v="5.37"/>
    <x v="1"/>
    <s v="COD"/>
    <x v="2"/>
    <n v="18.09"/>
  </r>
  <r>
    <s v="ORD-100825"/>
    <s v="28-07-2025"/>
    <x v="294"/>
    <x v="38"/>
    <s v="aarav.iyer20@gmail.com"/>
    <x v="1"/>
    <x v="6"/>
    <x v="3"/>
    <x v="5"/>
    <n v="2"/>
    <n v="108.72"/>
    <n v="0.1"/>
    <n v="2.4"/>
    <x v="4"/>
    <s v="Bank Transfer"/>
    <x v="2"/>
    <n v="195.696"/>
  </r>
  <r>
    <s v="ORD-100563"/>
    <s v="10/31/25"/>
    <x v="470"/>
    <x v="231"/>
    <s v="Not Known"/>
    <x v="1"/>
    <x v="1"/>
    <x v="3"/>
    <x v="21"/>
    <n v="1"/>
    <n v="131.01"/>
    <n v="0"/>
    <n v="0.82"/>
    <x v="7"/>
    <s v="PayPal"/>
    <x v="2"/>
    <n v="131.01"/>
  </r>
  <r>
    <s v="ORD-101315"/>
    <s v="10 Mar 2025"/>
    <x v="110"/>
    <x v="331"/>
    <s v="emma.anderson75@hotmail.com"/>
    <x v="2"/>
    <x v="10"/>
    <x v="0"/>
    <x v="22"/>
    <n v="4"/>
    <n v="78.5"/>
    <n v="0"/>
    <n v="5.29"/>
    <x v="1"/>
    <s v="Not Known"/>
    <x v="1"/>
    <n v="314"/>
  </r>
  <r>
    <s v="ORD-100750"/>
    <s v="06-01-2024"/>
    <x v="1"/>
    <x v="220"/>
    <s v="kabir.kapoor95@hotmail.com"/>
    <x v="3"/>
    <x v="3"/>
    <x v="2"/>
    <x v="4"/>
    <n v="1"/>
    <n v="6.21"/>
    <n v="0.1"/>
    <n v="14.43"/>
    <x v="2"/>
    <s v="Bank Transfer"/>
    <x v="2"/>
    <n v="5.5890000000000004"/>
  </r>
  <r>
    <s v="ORD-100388"/>
    <s v="2024-11-07"/>
    <x v="300"/>
    <x v="134"/>
    <s v="ella.reddy82@hotmail.com"/>
    <x v="0"/>
    <x v="0"/>
    <x v="0"/>
    <x v="16"/>
    <n v="4"/>
    <n v="23.58"/>
    <n v="0"/>
    <n v="8.2899999999999991"/>
    <x v="6"/>
    <s v="Not Known"/>
    <x v="2"/>
    <n v="94.32"/>
  </r>
  <r>
    <s v="ORD-100022"/>
    <s v="04/01/2025"/>
    <x v="471"/>
    <x v="84"/>
    <s v="rohan.nair71@company.co"/>
    <x v="4"/>
    <x v="11"/>
    <x v="2"/>
    <x v="3"/>
    <n v="1"/>
    <n v="7.93"/>
    <n v="0.15"/>
    <n v="6.75"/>
    <x v="1"/>
    <s v="Not Known"/>
    <x v="3"/>
    <n v="6.7404999999999999"/>
  </r>
  <r>
    <s v="ORD-100771"/>
    <s v="15 Oct 2024"/>
    <x v="463"/>
    <x v="212"/>
    <s v="kabir.iyer77@company.co"/>
    <x v="3"/>
    <x v="4"/>
    <x v="4"/>
    <x v="6"/>
    <n v="3"/>
    <n v="60.75"/>
    <n v="0.05"/>
    <n v="0"/>
    <x v="3"/>
    <s v="Credit Card"/>
    <x v="1"/>
    <n v="173.13749999999999"/>
  </r>
  <r>
    <s v="ORD-100124"/>
    <s v="2025-08-09"/>
    <x v="55"/>
    <x v="323"/>
    <s v="ava.jackson15@company.co"/>
    <x v="1"/>
    <x v="1"/>
    <x v="2"/>
    <x v="10"/>
    <n v="10"/>
    <n v="2.96"/>
    <n v="0.1"/>
    <n v="12.35"/>
    <x v="4"/>
    <s v="Bank Transfer"/>
    <x v="2"/>
    <n v="26.64"/>
  </r>
  <r>
    <s v="ORD-100423"/>
    <s v="2025-12-05"/>
    <x v="472"/>
    <x v="9"/>
    <s v="daniel.kapoor27@hotmail.com"/>
    <x v="4"/>
    <x v="1"/>
    <x v="0"/>
    <x v="22"/>
    <n v="1"/>
    <n v="81.260000000000005"/>
    <n v="0.05"/>
    <n v="3.56"/>
    <x v="1"/>
    <s v="Credit Card"/>
    <x v="3"/>
    <n v="77.197000000000003"/>
  </r>
  <r>
    <s v="ORD-100773"/>
    <s v="2025-04-20"/>
    <x v="358"/>
    <x v="332"/>
    <s v="ishaan.anderson11@company.co"/>
    <x v="4"/>
    <x v="11"/>
    <x v="2"/>
    <x v="4"/>
    <n v="3"/>
    <n v="6.78"/>
    <n v="0"/>
    <n v="13.49"/>
    <x v="2"/>
    <s v="COD"/>
    <x v="2"/>
    <n v="20.34"/>
  </r>
  <r>
    <s v="ORD-101302"/>
    <s v="11/01/25"/>
    <x v="79"/>
    <x v="333"/>
    <s v="ethan.thomas56@hotmail.com"/>
    <x v="3"/>
    <x v="4"/>
    <x v="2"/>
    <x v="10"/>
    <n v="1"/>
    <n v="3.18"/>
    <n v="0.05"/>
    <n v="12.07"/>
    <x v="6"/>
    <s v="PayPal"/>
    <x v="2"/>
    <n v="3.0209999999999999"/>
  </r>
  <r>
    <s v="ORD-100470"/>
    <s v="06-09-2025"/>
    <x v="473"/>
    <x v="272"/>
    <s v="grace.johnson67@yahoo.com"/>
    <x v="4"/>
    <x v="11"/>
    <x v="3"/>
    <x v="9"/>
    <n v="2"/>
    <n v="87.29"/>
    <n v="0"/>
    <m/>
    <x v="7"/>
    <s v="Credit Card"/>
    <x v="2"/>
    <n v="174.58"/>
  </r>
  <r>
    <s v="ORD-100721"/>
    <s v="November 15, 2025"/>
    <x v="474"/>
    <x v="310"/>
    <s v="emma.kapoor62@company.co"/>
    <x v="1"/>
    <x v="1"/>
    <x v="1"/>
    <x v="7"/>
    <n v="5"/>
    <n v="43.95"/>
    <n v="0.15"/>
    <n v="5.34"/>
    <x v="5"/>
    <s v="PayPal"/>
    <x v="2"/>
    <n v="186.78749999999999"/>
  </r>
  <r>
    <s v="ORD-101250"/>
    <s v="12/08/2025"/>
    <x v="62"/>
    <x v="334"/>
    <s v="liam.thomas29@yahoo.com"/>
    <x v="2"/>
    <x v="1"/>
    <x v="1"/>
    <x v="20"/>
    <n v="1"/>
    <n v="19.489999999999998"/>
    <n v="0.05"/>
    <n v="12.03"/>
    <x v="1"/>
    <s v="Credit Card"/>
    <x v="2"/>
    <n v="18.515499999999999"/>
  </r>
  <r>
    <m/>
    <m/>
    <x v="218"/>
    <x v="190"/>
    <s v="Not Known"/>
    <x v="5"/>
    <x v="10"/>
    <x v="5"/>
    <x v="23"/>
    <m/>
    <m/>
    <n v="0"/>
    <m/>
    <x v="3"/>
    <s v="Not Known"/>
    <x v="4"/>
    <m/>
  </r>
  <r>
    <s v="ORD-100142"/>
    <s v="11/07/24"/>
    <x v="300"/>
    <x v="335"/>
    <s v="ishaan.jackson88@gmail.com"/>
    <x v="4"/>
    <x v="1"/>
    <x v="4"/>
    <x v="6"/>
    <n v="10"/>
    <n v="58.87"/>
    <n v="0.15"/>
    <n v="3.23"/>
    <x v="4"/>
    <s v="Credit Card"/>
    <x v="2"/>
    <n v="500.39499999999992"/>
  </r>
  <r>
    <s v="ORD-100050"/>
    <s v="02/03/24"/>
    <x v="335"/>
    <x v="336"/>
    <s v="arjun.gupta36@company.co"/>
    <x v="1"/>
    <x v="1"/>
    <x v="4"/>
    <x v="6"/>
    <n v="10"/>
    <n v="59.22"/>
    <n v="0.1"/>
    <n v="6.67"/>
    <x v="1"/>
    <s v="Not Known"/>
    <x v="0"/>
    <n v="532.98"/>
  </r>
  <r>
    <s v="ORD-101353"/>
    <s v="05 Jul 2024"/>
    <x v="166"/>
    <x v="231"/>
    <s v="daniel.gupta24@gmail.com"/>
    <x v="3"/>
    <x v="3"/>
    <x v="0"/>
    <x v="17"/>
    <n v="1"/>
    <n v="45.98"/>
    <n v="0"/>
    <n v="3.88"/>
    <x v="4"/>
    <s v="Debit Card"/>
    <x v="2"/>
    <n v="45.98"/>
  </r>
  <r>
    <s v="ORD-101115"/>
    <s v="01/28/2024"/>
    <x v="140"/>
    <x v="188"/>
    <s v="rohan.gupta75@company.co"/>
    <x v="3"/>
    <x v="7"/>
    <x v="0"/>
    <x v="17"/>
    <n v="2"/>
    <n v="46.95"/>
    <n v="0"/>
    <n v="10.19"/>
    <x v="6"/>
    <s v="Credit Card"/>
    <x v="1"/>
    <n v="93.9"/>
  </r>
  <r>
    <s v="ORD-100623"/>
    <s v="2025-01-17"/>
    <x v="475"/>
    <x v="96"/>
    <s v="Not Known"/>
    <x v="2"/>
    <x v="1"/>
    <x v="3"/>
    <x v="21"/>
    <n v="10"/>
    <n v="126.93"/>
    <n v="0.1"/>
    <n v="0"/>
    <x v="6"/>
    <s v="Credit Card"/>
    <x v="0"/>
    <n v="1142.3700000000001"/>
  </r>
  <r>
    <s v="ORD-101053"/>
    <s v="2024-03-03"/>
    <x v="476"/>
    <x v="134"/>
    <s v="ella.reddy24@company.co"/>
    <x v="4"/>
    <x v="5"/>
    <x v="4"/>
    <x v="12"/>
    <n v="4"/>
    <n v="12.68"/>
    <n v="0"/>
    <n v="8.67"/>
    <x v="6"/>
    <s v="Debit Card"/>
    <x v="2"/>
    <n v="50.72"/>
  </r>
  <r>
    <s v="ORD-100081"/>
    <s v="2024-01-30"/>
    <x v="66"/>
    <x v="337"/>
    <s v="Not Known"/>
    <x v="0"/>
    <x v="0"/>
    <x v="3"/>
    <x v="21"/>
    <n v="1"/>
    <n v="129.03"/>
    <n v="0"/>
    <n v="11.57"/>
    <x v="0"/>
    <s v="COD"/>
    <x v="2"/>
    <n v="129.03"/>
  </r>
  <r>
    <s v="ORD-100703"/>
    <s v="December 29, 2025"/>
    <x v="202"/>
    <x v="338"/>
    <s v="daniel.miller19@gmail.com"/>
    <x v="0"/>
    <x v="0"/>
    <x v="4"/>
    <x v="12"/>
    <n v="1"/>
    <n v="13.55"/>
    <n v="0.15"/>
    <n v="0"/>
    <x v="1"/>
    <s v="COD"/>
    <x v="2"/>
    <n v="11.5175"/>
  </r>
  <r>
    <s v="ORD-100482"/>
    <s v="January 12, 2025"/>
    <x v="394"/>
    <x v="226"/>
    <s v="emma.taylor25@yahoo.com"/>
    <x v="2"/>
    <x v="2"/>
    <x v="0"/>
    <x v="17"/>
    <n v="1"/>
    <n v="42.88"/>
    <n v="0"/>
    <n v="13.02"/>
    <x v="0"/>
    <s v="Not Known"/>
    <x v="2"/>
    <n v="42.88"/>
  </r>
  <r>
    <s v="ORD-100321"/>
    <s v="2025-08-15"/>
    <x v="424"/>
    <x v="339"/>
    <s v="kabir.johnson12@yahoo.com"/>
    <x v="0"/>
    <x v="8"/>
    <x v="4"/>
    <x v="12"/>
    <n v="2"/>
    <n v="13.43"/>
    <n v="0.1"/>
    <n v="1.01"/>
    <x v="3"/>
    <s v="Debit Card"/>
    <x v="2"/>
    <n v="24.173999999999999"/>
  </r>
  <r>
    <s v="ORD-101078"/>
    <s v="15-12-2025"/>
    <x v="193"/>
    <x v="123"/>
    <s v="ella.harris78@company.co"/>
    <x v="4"/>
    <x v="11"/>
    <x v="0"/>
    <x v="16"/>
    <n v="1"/>
    <n v="22.92"/>
    <n v="0.05"/>
    <n v="5.73"/>
    <x v="7"/>
    <s v="COD"/>
    <x v="2"/>
    <n v="21.774000000000001"/>
  </r>
  <r>
    <s v="ORD-100505"/>
    <s v="2024-03-06"/>
    <x v="477"/>
    <x v="340"/>
    <s v="sophia.brown54@company.co"/>
    <x v="4"/>
    <x v="5"/>
    <x v="5"/>
    <x v="13"/>
    <n v="3"/>
    <n v="198.24"/>
    <n v="0.05"/>
    <n v="0.56000000000000005"/>
    <x v="5"/>
    <s v="Debit Card"/>
    <x v="0"/>
    <n v="564.98400000000004"/>
  </r>
  <r>
    <s v="ORD-101379"/>
    <s v="2025-06-12"/>
    <x v="478"/>
    <x v="105"/>
    <s v="liam.johnson9@gmail.com"/>
    <x v="2"/>
    <x v="1"/>
    <x v="3"/>
    <x v="5"/>
    <n v="2"/>
    <n v="109"/>
    <n v="0.1"/>
    <n v="14.99"/>
    <x v="5"/>
    <s v="PayPal"/>
    <x v="2"/>
    <n v="196.20000000000002"/>
  </r>
  <r>
    <s v="ORD-100066"/>
    <s v="07/15/2024"/>
    <x v="479"/>
    <x v="180"/>
    <s v="aarav.anderson63@outlook.com"/>
    <x v="2"/>
    <x v="1"/>
    <x v="0"/>
    <x v="17"/>
    <n v="10"/>
    <n v="45.66"/>
    <n v="0.15"/>
    <n v="4.4400000000000004"/>
    <x v="5"/>
    <s v="Bank Transfer"/>
    <x v="2"/>
    <n v="388.10999999999996"/>
  </r>
  <r>
    <s v="ORD-100857"/>
    <s v="2024-10-13"/>
    <x v="258"/>
    <x v="129"/>
    <s v="chloe.davis93@hotmail.com"/>
    <x v="4"/>
    <x v="11"/>
    <x v="3"/>
    <x v="21"/>
    <n v="1"/>
    <n v="128.47999999999999"/>
    <n v="0.1"/>
    <n v="0"/>
    <x v="2"/>
    <s v="Credit Card"/>
    <x v="3"/>
    <n v="115.63199999999999"/>
  </r>
  <r>
    <s v="ORD-101283"/>
    <s v="2025-08-08"/>
    <x v="295"/>
    <x v="341"/>
    <s v="ishaan.harris69@hotmail.com"/>
    <x v="2"/>
    <x v="2"/>
    <x v="0"/>
    <x v="17"/>
    <n v="1"/>
    <n v="44.45"/>
    <n v="0"/>
    <m/>
    <x v="6"/>
    <s v="Credit Card"/>
    <x v="2"/>
    <n v="44.45"/>
  </r>
  <r>
    <s v="ORD-101064"/>
    <s v="05/10/2024"/>
    <x v="353"/>
    <x v="293"/>
    <s v="chloe.wilson26@company.co"/>
    <x v="4"/>
    <x v="5"/>
    <x v="3"/>
    <x v="11"/>
    <n v="1"/>
    <n v="239.51"/>
    <n v="0.05"/>
    <n v="0"/>
    <x v="7"/>
    <s v="Not Known"/>
    <x v="2"/>
    <n v="227.53449999999998"/>
  </r>
  <r>
    <s v="ORD-100031"/>
    <s v="09-04-2025"/>
    <x v="349"/>
    <x v="108"/>
    <s v="ella.kapoor90@hotmail.com"/>
    <x v="1"/>
    <x v="1"/>
    <x v="4"/>
    <x v="18"/>
    <n v="3"/>
    <n v="29.41"/>
    <n v="0.05"/>
    <n v="1.81"/>
    <x v="1"/>
    <s v="PayPal"/>
    <x v="2"/>
    <n v="83.8185"/>
  </r>
  <r>
    <s v="ORD-100795"/>
    <s v="07 Sep 2024"/>
    <x v="143"/>
    <x v="311"/>
    <s v="lily.williams67@gmail.com"/>
    <x v="4"/>
    <x v="1"/>
    <x v="2"/>
    <x v="2"/>
    <n v="1"/>
    <n v="13.5"/>
    <n v="0.1"/>
    <n v="3.06"/>
    <x v="3"/>
    <s v="PayPal"/>
    <x v="2"/>
    <n v="12.15"/>
  </r>
  <r>
    <s v="ORD-100417"/>
    <s v="March 14, 2024"/>
    <x v="458"/>
    <x v="134"/>
    <s v="ella.reddy51@outlook.com"/>
    <x v="4"/>
    <x v="1"/>
    <x v="4"/>
    <x v="6"/>
    <n v="1"/>
    <n v="58.78"/>
    <n v="0"/>
    <n v="10.45"/>
    <x v="1"/>
    <s v="COD"/>
    <x v="2"/>
    <n v="58.78"/>
  </r>
  <r>
    <s v="ORD-100632"/>
    <s v="05/24/2025"/>
    <x v="480"/>
    <x v="159"/>
    <s v="emma.brown72@yahoo.com"/>
    <x v="3"/>
    <x v="3"/>
    <x v="3"/>
    <x v="5"/>
    <n v="2"/>
    <n v="107.63"/>
    <n v="0.1"/>
    <n v="0.54"/>
    <x v="3"/>
    <s v="Credit Card"/>
    <x v="2"/>
    <n v="193.73400000000001"/>
  </r>
  <r>
    <s v="ORD-101192"/>
    <s v="December 26, 2024"/>
    <x v="441"/>
    <x v="261"/>
    <s v="advait.brown41@company.co"/>
    <x v="1"/>
    <x v="6"/>
    <x v="4"/>
    <x v="8"/>
    <n v="3"/>
    <n v="14.36"/>
    <n v="0.05"/>
    <n v="9.3699999999999992"/>
    <x v="6"/>
    <s v="Credit Card"/>
    <x v="1"/>
    <n v="40.925999999999995"/>
  </r>
  <r>
    <s v="ORD-100064"/>
    <s v="June 19, 2025"/>
    <x v="141"/>
    <x v="253"/>
    <s v="liam.kapoor68@company.co"/>
    <x v="0"/>
    <x v="9"/>
    <x v="5"/>
    <x v="0"/>
    <n v="1"/>
    <n v="41.82"/>
    <n v="0.15"/>
    <n v="13.77"/>
    <x v="7"/>
    <s v="Debit Card"/>
    <x v="0"/>
    <n v="35.546999999999997"/>
  </r>
  <r>
    <s v="ORD-100139"/>
    <s v="09/08/2024"/>
    <x v="481"/>
    <x v="205"/>
    <s v="rohan.anderson70@yahoo.com"/>
    <x v="3"/>
    <x v="3"/>
    <x v="3"/>
    <x v="11"/>
    <n v="1"/>
    <n v="243.81"/>
    <n v="0.05"/>
    <n v="0.36"/>
    <x v="4"/>
    <s v="COD"/>
    <x v="2"/>
    <n v="231.61949999999999"/>
  </r>
  <r>
    <s v="ORD-101167"/>
    <s v="2025-12-15"/>
    <x v="193"/>
    <x v="315"/>
    <s v="ella.taylor40@outlook.com"/>
    <x v="3"/>
    <x v="7"/>
    <x v="2"/>
    <x v="3"/>
    <n v="3"/>
    <n v="7.88"/>
    <n v="0.15"/>
    <n v="2.8"/>
    <x v="6"/>
    <s v="Not Known"/>
    <x v="1"/>
    <n v="20.094000000000001"/>
  </r>
  <r>
    <s v="ORD-100972"/>
    <s v="09-04-2025"/>
    <x v="349"/>
    <x v="271"/>
    <s v="sophia.taylor16@yahoo.com"/>
    <x v="4"/>
    <x v="5"/>
    <x v="3"/>
    <x v="5"/>
    <n v="3"/>
    <n v="112.92"/>
    <n v="0"/>
    <n v="0"/>
    <x v="7"/>
    <s v="Not Known"/>
    <x v="2"/>
    <n v="338.76"/>
  </r>
  <r>
    <s v="ORD-100077"/>
    <s v="21 Dec 2025"/>
    <x v="242"/>
    <x v="342"/>
    <s v="aarav.davis34@hotmail.com"/>
    <x v="3"/>
    <x v="4"/>
    <x v="3"/>
    <x v="5"/>
    <n v="2"/>
    <n v="107.96"/>
    <n v="0"/>
    <n v="4.28"/>
    <x v="3"/>
    <s v="Credit Card"/>
    <x v="2"/>
    <n v="215.92"/>
  </r>
  <r>
    <s v="ORD-100491"/>
    <s v="December 03, 2025"/>
    <x v="482"/>
    <x v="9"/>
    <s v="daniel.kapoor35@hotmail.com"/>
    <x v="3"/>
    <x v="4"/>
    <x v="4"/>
    <x v="8"/>
    <n v="3"/>
    <n v="14.8"/>
    <n v="0.1"/>
    <n v="2.2200000000000002"/>
    <x v="7"/>
    <s v="Not Known"/>
    <x v="2"/>
    <n v="39.960000000000008"/>
  </r>
  <r>
    <s v="ORD-101018"/>
    <s v="28 May 2024"/>
    <x v="387"/>
    <x v="90"/>
    <s v="sophia.iyer78@gmail.com"/>
    <x v="3"/>
    <x v="7"/>
    <x v="0"/>
    <x v="0"/>
    <n v="3"/>
    <n v="38.700000000000003"/>
    <n v="0.15"/>
    <n v="11.13"/>
    <x v="4"/>
    <s v="Bank Transfer"/>
    <x v="2"/>
    <n v="98.685000000000002"/>
  </r>
  <r>
    <s v="ORD-100752"/>
    <s v="03-02-2025"/>
    <x v="259"/>
    <x v="113"/>
    <s v="ishaan.brown6@gmail.com"/>
    <x v="4"/>
    <x v="1"/>
    <x v="4"/>
    <x v="18"/>
    <n v="10"/>
    <n v="29.59"/>
    <n v="0.1"/>
    <n v="5.32"/>
    <x v="4"/>
    <s v="Not Known"/>
    <x v="3"/>
    <n v="266.31"/>
  </r>
  <r>
    <s v="ORD-100532"/>
    <s v="04/26/2025"/>
    <x v="483"/>
    <x v="131"/>
    <s v="sophia.gupta34@yahoo.com"/>
    <x v="1"/>
    <x v="6"/>
    <x v="2"/>
    <x v="2"/>
    <n v="1"/>
    <n v="14.23"/>
    <n v="0"/>
    <n v="11"/>
    <x v="0"/>
    <s v="Credit Card"/>
    <x v="2"/>
    <n v="14.23"/>
  </r>
  <r>
    <s v="ORD-100065"/>
    <s v="11/13/24"/>
    <x v="484"/>
    <x v="215"/>
    <s v="kabir.nair45@hotmail.com"/>
    <x v="3"/>
    <x v="4"/>
    <x v="3"/>
    <x v="21"/>
    <n v="4"/>
    <n v="126.8"/>
    <n v="0.1"/>
    <n v="1.93"/>
    <x v="5"/>
    <s v="PayPal"/>
    <x v="2"/>
    <n v="456.48"/>
  </r>
  <r>
    <s v="ORD-101221"/>
    <s v="2024-06-06"/>
    <x v="122"/>
    <x v="29"/>
    <s v="chloe.miller31@outlook.com"/>
    <x v="0"/>
    <x v="0"/>
    <x v="2"/>
    <x v="10"/>
    <n v="1"/>
    <n v="3.15"/>
    <n v="0.1"/>
    <n v="6.91"/>
    <x v="4"/>
    <s v="Bank Transfer"/>
    <x v="2"/>
    <n v="2.835"/>
  </r>
  <r>
    <s v="ORD-100848"/>
    <s v="11/22/24"/>
    <x v="485"/>
    <x v="191"/>
    <s v="zara.reddy38@yahoo.com"/>
    <x v="1"/>
    <x v="6"/>
    <x v="4"/>
    <x v="12"/>
    <n v="2"/>
    <n v="12.36"/>
    <n v="0.05"/>
    <n v="1.28"/>
    <x v="6"/>
    <s v="Not Known"/>
    <x v="2"/>
    <n v="23.483999999999998"/>
  </r>
  <r>
    <s v="ORD-101216"/>
    <s v="18-05-2025"/>
    <x v="192"/>
    <x v="212"/>
    <s v="kabir.iyer72@hotmail.com"/>
    <x v="3"/>
    <x v="3"/>
    <x v="1"/>
    <x v="1"/>
    <n v="1"/>
    <n v="34.5"/>
    <n v="0"/>
    <n v="0.75"/>
    <x v="1"/>
    <s v="COD"/>
    <x v="2"/>
    <n v="34.5"/>
  </r>
  <r>
    <s v="ORD-100296"/>
    <s v="24-01-2024"/>
    <x v="317"/>
    <x v="153"/>
    <s v="kabir.brown81@yahoo.com"/>
    <x v="1"/>
    <x v="6"/>
    <x v="2"/>
    <x v="10"/>
    <n v="1"/>
    <n v="3.24"/>
    <n v="0"/>
    <n v="8.1199999999999992"/>
    <x v="2"/>
    <s v="Debit Card"/>
    <x v="0"/>
    <n v="3.24"/>
  </r>
  <r>
    <s v="ORD-100591"/>
    <s v="22-09-2024"/>
    <x v="219"/>
    <x v="28"/>
    <s v="daniel.jackson91@yahoo.com"/>
    <x v="4"/>
    <x v="5"/>
    <x v="3"/>
    <x v="9"/>
    <n v="2"/>
    <n v="92.61"/>
    <n v="0"/>
    <n v="0.35"/>
    <x v="5"/>
    <s v="COD"/>
    <x v="1"/>
    <n v="185.22"/>
  </r>
  <r>
    <s v="ORD-100419"/>
    <s v="2024-09-07"/>
    <x v="143"/>
    <x v="310"/>
    <s v="emma.kapoor52@yahoo.com"/>
    <x v="4"/>
    <x v="11"/>
    <x v="5"/>
    <x v="4"/>
    <n v="1"/>
    <n v="6.24"/>
    <n v="0"/>
    <n v="7.33"/>
    <x v="2"/>
    <s v="COD"/>
    <x v="1"/>
    <n v="6.24"/>
  </r>
  <r>
    <s v="ORD-100767"/>
    <s v="January 02, 2025"/>
    <x v="248"/>
    <x v="242"/>
    <s v="arjun.nair98@yahoo.com"/>
    <x v="3"/>
    <x v="7"/>
    <x v="1"/>
    <x v="7"/>
    <n v="1"/>
    <n v="43.93"/>
    <n v="0"/>
    <n v="9.91"/>
    <x v="5"/>
    <s v="Not Known"/>
    <x v="2"/>
    <n v="43.93"/>
  </r>
  <r>
    <s v="ORD-100438"/>
    <s v="13-05-2024"/>
    <x v="469"/>
    <x v="73"/>
    <s v="daniel.moore99@gmail.com"/>
    <x v="4"/>
    <x v="11"/>
    <x v="3"/>
    <x v="21"/>
    <n v="5"/>
    <n v="128.11000000000001"/>
    <n v="0.15"/>
    <n v="5.42"/>
    <x v="4"/>
    <s v="Credit Card"/>
    <x v="3"/>
    <n v="544.46750000000009"/>
  </r>
  <r>
    <s v="ORD-100261"/>
    <s v="October 17, 2024"/>
    <x v="162"/>
    <x v="261"/>
    <s v="advait.brown91@outlook.com"/>
    <x v="2"/>
    <x v="2"/>
    <x v="2"/>
    <x v="14"/>
    <n v="1"/>
    <n v="4.1500000000000004"/>
    <n v="0"/>
    <n v="4.67"/>
    <x v="4"/>
    <s v="Bank Transfer"/>
    <x v="2"/>
    <n v="4.1500000000000004"/>
  </r>
  <r>
    <s v="ORD-101383"/>
    <s v="2024-03-24"/>
    <x v="307"/>
    <x v="284"/>
    <s v="zara.white5@gmail.com"/>
    <x v="4"/>
    <x v="11"/>
    <x v="3"/>
    <x v="11"/>
    <n v="10"/>
    <n v="259.95999999999998"/>
    <n v="0"/>
    <n v="9.66"/>
    <x v="0"/>
    <s v="Debit Card"/>
    <x v="2"/>
    <n v="2599.6"/>
  </r>
  <r>
    <s v="ORD-100724"/>
    <s v="07/18/25"/>
    <x v="486"/>
    <x v="128"/>
    <s v="lily.kapoor71@yahoo.com"/>
    <x v="0"/>
    <x v="0"/>
    <x v="1"/>
    <x v="7"/>
    <n v="1"/>
    <n v="43.52"/>
    <n v="0"/>
    <n v="9.3699999999999992"/>
    <x v="6"/>
    <s v="Not Known"/>
    <x v="0"/>
    <n v="43.52"/>
  </r>
  <r>
    <s v="ORD-101342"/>
    <s v="27 Apr 2024"/>
    <x v="174"/>
    <x v="305"/>
    <s v="grace.davis39@hotmail.com"/>
    <x v="2"/>
    <x v="2"/>
    <x v="2"/>
    <x v="4"/>
    <n v="2"/>
    <n v="6.34"/>
    <n v="0.15"/>
    <n v="11.4"/>
    <x v="6"/>
    <s v="Debit Card"/>
    <x v="2"/>
    <n v="10.777999999999999"/>
  </r>
  <r>
    <s v="ORD-100281"/>
    <s v="03/24/25"/>
    <x v="311"/>
    <x v="282"/>
    <s v="mia.reddy81@outlook.com"/>
    <x v="0"/>
    <x v="9"/>
    <x v="3"/>
    <x v="11"/>
    <n v="4"/>
    <n v="240.95"/>
    <n v="0.05"/>
    <n v="2.9"/>
    <x v="1"/>
    <s v="Debit Card"/>
    <x v="1"/>
    <n v="915.6099999999999"/>
  </r>
  <r>
    <s v="ORD-100626"/>
    <s v="December 25, 2025"/>
    <x v="5"/>
    <x v="4"/>
    <s v="ethan.johnson85@company.co"/>
    <x v="1"/>
    <x v="1"/>
    <x v="3"/>
    <x v="11"/>
    <n v="5"/>
    <n v="245.66"/>
    <n v="0.05"/>
    <n v="1.36"/>
    <x v="4"/>
    <s v="Bank Transfer"/>
    <x v="2"/>
    <n v="1166.885"/>
  </r>
  <r>
    <s v="ORD-101362"/>
    <s v="2025-03-16"/>
    <x v="60"/>
    <x v="275"/>
    <s v="ava.kapoor3@outlook.com"/>
    <x v="2"/>
    <x v="2"/>
    <x v="4"/>
    <x v="12"/>
    <n v="4"/>
    <n v="13.5"/>
    <n v="0.05"/>
    <n v="12.68"/>
    <x v="5"/>
    <s v="COD"/>
    <x v="2"/>
    <n v="51.3"/>
  </r>
  <r>
    <s v="ORD-101049"/>
    <s v="12/13/2025"/>
    <x v="487"/>
    <x v="233"/>
    <s v="zara.kapoor61@gmail.com"/>
    <x v="4"/>
    <x v="1"/>
    <x v="4"/>
    <x v="12"/>
    <n v="1"/>
    <n v="12.82"/>
    <n v="0"/>
    <n v="0.17"/>
    <x v="0"/>
    <s v="PayPal"/>
    <x v="2"/>
    <n v="12.82"/>
  </r>
  <r>
    <s v="ORD-101063"/>
    <s v="December 17, 2025"/>
    <x v="268"/>
    <x v="222"/>
    <s v="zara.anderson11@outlook.com"/>
    <x v="2"/>
    <x v="1"/>
    <x v="3"/>
    <x v="11"/>
    <n v="2"/>
    <n v="245.9"/>
    <n v="0"/>
    <n v="5.51"/>
    <x v="0"/>
    <s v="COD"/>
    <x v="2"/>
    <n v="491.8"/>
  </r>
  <r>
    <s v="ORD-100188"/>
    <s v="04/01/2025"/>
    <x v="471"/>
    <x v="246"/>
    <s v="chloe.harris45@gmail.com"/>
    <x v="4"/>
    <x v="5"/>
    <x v="3"/>
    <x v="9"/>
    <n v="1"/>
    <n v="87.76"/>
    <n v="0"/>
    <n v="9.32"/>
    <x v="6"/>
    <s v="COD"/>
    <x v="0"/>
    <n v="87.76"/>
  </r>
  <r>
    <s v="ORD-101165"/>
    <s v="04/07/24"/>
    <x v="48"/>
    <x v="100"/>
    <s v="mia.williams66@yahoo.com"/>
    <x v="1"/>
    <x v="6"/>
    <x v="1"/>
    <x v="19"/>
    <n v="3"/>
    <n v="24.47"/>
    <n v="0.05"/>
    <n v="8.34"/>
    <x v="3"/>
    <s v="PayPal"/>
    <x v="2"/>
    <n v="69.739499999999992"/>
  </r>
  <r>
    <s v="ORD-100251"/>
    <s v="08/31/2024"/>
    <x v="488"/>
    <x v="17"/>
    <s v="aarav.jackson64@gmail.com"/>
    <x v="0"/>
    <x v="9"/>
    <x v="2"/>
    <x v="4"/>
    <n v="1"/>
    <n v="6.76"/>
    <n v="0.1"/>
    <n v="6.81"/>
    <x v="3"/>
    <s v="Credit Card"/>
    <x v="2"/>
    <n v="6.0839999999999996"/>
  </r>
  <r>
    <s v="ORD-100583"/>
    <s v="2025-03-28"/>
    <x v="20"/>
    <x v="151"/>
    <s v="emma.harris15@gmail.com"/>
    <x v="0"/>
    <x v="8"/>
    <x v="2"/>
    <x v="14"/>
    <n v="5"/>
    <n v="4.29"/>
    <n v="0.05"/>
    <n v="8.14"/>
    <x v="1"/>
    <s v="Bank Transfer"/>
    <x v="2"/>
    <n v="20.377499999999998"/>
  </r>
  <r>
    <s v="ORD-100980"/>
    <s v="01 Nov 2025"/>
    <x v="79"/>
    <x v="328"/>
    <s v="ethan.clark10@hotmail.com"/>
    <x v="1"/>
    <x v="1"/>
    <x v="4"/>
    <x v="18"/>
    <n v="2"/>
    <n v="28.97"/>
    <n v="0"/>
    <n v="1.8"/>
    <x v="0"/>
    <s v="PayPal"/>
    <x v="3"/>
    <n v="57.94"/>
  </r>
  <r>
    <s v="ORD-101312"/>
    <s v="19 Jan 2024"/>
    <x v="489"/>
    <x v="244"/>
    <s v="ishaan.thomas39@outlook.com"/>
    <x v="2"/>
    <x v="1"/>
    <x v="4"/>
    <x v="6"/>
    <n v="2"/>
    <n v="57.26"/>
    <n v="0"/>
    <n v="12.1"/>
    <x v="3"/>
    <s v="COD"/>
    <x v="2"/>
    <n v="114.52"/>
  </r>
  <r>
    <s v="ORD-101269"/>
    <s v="2024-01-23"/>
    <x v="161"/>
    <x v="22"/>
    <s v="ethan.miller11@gmail.com"/>
    <x v="2"/>
    <x v="2"/>
    <x v="0"/>
    <x v="0"/>
    <n v="10"/>
    <n v="41.02"/>
    <n v="0"/>
    <n v="6.59"/>
    <x v="7"/>
    <s v="Bank Transfer"/>
    <x v="0"/>
    <n v="410.20000000000005"/>
  </r>
  <r>
    <s v="ORD-100514"/>
    <s v="12-05-2025"/>
    <x v="490"/>
    <x v="304"/>
    <s v="daniel.harris80@company.co"/>
    <x v="2"/>
    <x v="2"/>
    <x v="0"/>
    <x v="22"/>
    <n v="10"/>
    <n v="82.94"/>
    <n v="0.1"/>
    <n v="2.06"/>
    <x v="1"/>
    <s v="PayPal"/>
    <x v="2"/>
    <n v="746.46"/>
  </r>
  <r>
    <s v="ORD-100863"/>
    <s v="21 Feb 2024"/>
    <x v="284"/>
    <x v="300"/>
    <s v="daniel.taylor91@company.co"/>
    <x v="4"/>
    <x v="1"/>
    <x v="4"/>
    <x v="8"/>
    <n v="10"/>
    <n v="14.86"/>
    <n v="0"/>
    <n v="5.03"/>
    <x v="5"/>
    <s v="PayPal"/>
    <x v="1"/>
    <n v="148.6"/>
  </r>
  <r>
    <s v="ORD-100888"/>
    <s v="2024-05-09"/>
    <x v="491"/>
    <x v="203"/>
    <s v="ethan.nair36@gmail.com"/>
    <x v="0"/>
    <x v="9"/>
    <x v="2"/>
    <x v="3"/>
    <n v="2"/>
    <n v="7.7"/>
    <n v="0.1"/>
    <m/>
    <x v="6"/>
    <s v="Bank Transfer"/>
    <x v="0"/>
    <n v="13.860000000000001"/>
  </r>
  <r>
    <s v="ORD-100706"/>
    <s v="15-04-2025"/>
    <x v="59"/>
    <x v="343"/>
    <s v="liam.wilson86@company.co"/>
    <x v="3"/>
    <x v="3"/>
    <x v="1"/>
    <x v="20"/>
    <n v="2"/>
    <n v="18.350000000000001"/>
    <n v="0.05"/>
    <n v="5.58"/>
    <x v="3"/>
    <s v="PayPal"/>
    <x v="2"/>
    <n v="34.865000000000002"/>
  </r>
  <r>
    <s v="ORD-100487"/>
    <s v="15 Jun 2025"/>
    <x v="390"/>
    <x v="6"/>
    <s v="ishaan.moore64@outlook.com"/>
    <x v="3"/>
    <x v="3"/>
    <x v="4"/>
    <x v="8"/>
    <n v="4"/>
    <n v="14.8"/>
    <n v="0.1"/>
    <n v="9.6999999999999993"/>
    <x v="5"/>
    <s v="Credit Card"/>
    <x v="2"/>
    <n v="53.28"/>
  </r>
  <r>
    <s v="ORD-100663"/>
    <s v="27-05-2025"/>
    <x v="207"/>
    <x v="126"/>
    <s v="olivia.wilson18@yahoo.com"/>
    <x v="2"/>
    <x v="1"/>
    <x v="3"/>
    <x v="11"/>
    <n v="10"/>
    <n v="242.51"/>
    <n v="0"/>
    <n v="9.51"/>
    <x v="7"/>
    <s v="Credit Card"/>
    <x v="2"/>
    <n v="2425.1"/>
  </r>
  <r>
    <s v="ORD-101098"/>
    <s v="03/16/2025"/>
    <x v="60"/>
    <x v="40"/>
    <s v="advait.davis1@outlook.com"/>
    <x v="1"/>
    <x v="6"/>
    <x v="3"/>
    <x v="21"/>
    <n v="5"/>
    <n v="131.26"/>
    <n v="0.15"/>
    <n v="3.68"/>
    <x v="7"/>
    <s v="Credit Card"/>
    <x v="2"/>
    <n v="557.8549999999999"/>
  </r>
  <r>
    <s v="ORD-100273"/>
    <s v="29 Aug 2024"/>
    <x v="492"/>
    <x v="336"/>
    <s v="arjun.gupta90@yahoo.com"/>
    <x v="0"/>
    <x v="0"/>
    <x v="3"/>
    <x v="9"/>
    <n v="1"/>
    <n v="92.18"/>
    <n v="0"/>
    <n v="12.93"/>
    <x v="4"/>
    <s v="Credit Card"/>
    <x v="2"/>
    <n v="92.18"/>
  </r>
  <r>
    <s v="ORD-100685"/>
    <s v="21 Oct 2024"/>
    <x v="76"/>
    <x v="128"/>
    <s v="lily.kapoor67@yahoo.com"/>
    <x v="2"/>
    <x v="1"/>
    <x v="3"/>
    <x v="5"/>
    <n v="1"/>
    <n v="109.45"/>
    <n v="0.05"/>
    <n v="0"/>
    <x v="6"/>
    <s v="Debit Card"/>
    <x v="2"/>
    <n v="103.97749999999999"/>
  </r>
  <r>
    <s v="ORD-101205"/>
    <s v="09-03-2025"/>
    <x v="98"/>
    <x v="179"/>
    <s v="ishaan.williams53@yahoo.com"/>
    <x v="3"/>
    <x v="4"/>
    <x v="4"/>
    <x v="8"/>
    <n v="1"/>
    <n v="15.27"/>
    <n v="0"/>
    <n v="2.13"/>
    <x v="7"/>
    <s v="Bank Transfer"/>
    <x v="0"/>
    <n v="15.27"/>
  </r>
  <r>
    <s v="ORD-101277"/>
    <s v="06/06/25"/>
    <x v="493"/>
    <x v="344"/>
    <s v="grace.williams12@company.co"/>
    <x v="1"/>
    <x v="1"/>
    <x v="3"/>
    <x v="11"/>
    <n v="2"/>
    <n v="255.2"/>
    <n v="0.1"/>
    <n v="7.67"/>
    <x v="6"/>
    <s v="PayPal"/>
    <x v="2"/>
    <n v="459.36"/>
  </r>
  <r>
    <s v="ORD-101307"/>
    <s v="October 09, 2024"/>
    <x v="494"/>
    <x v="102"/>
    <s v="emma.moore55@yahoo.com"/>
    <x v="1"/>
    <x v="6"/>
    <x v="3"/>
    <x v="9"/>
    <n v="2"/>
    <n v="85.16"/>
    <n v="0.1"/>
    <n v="11.39"/>
    <x v="1"/>
    <s v="Bank Transfer"/>
    <x v="0"/>
    <n v="153.28800000000001"/>
  </r>
  <r>
    <s v="ORD-100448"/>
    <s v="2024-12-07"/>
    <x v="495"/>
    <x v="129"/>
    <s v="chloe.davis79@outlook.com"/>
    <x v="2"/>
    <x v="1"/>
    <x v="3"/>
    <x v="9"/>
    <n v="4"/>
    <n v="86.56"/>
    <n v="0"/>
    <n v="13.8"/>
    <x v="6"/>
    <s v="Bank Transfer"/>
    <x v="2"/>
    <n v="346.24"/>
  </r>
  <r>
    <s v="ORD-100411"/>
    <s v="02/13/25"/>
    <x v="496"/>
    <x v="173"/>
    <s v="zara.johnson63@company.co"/>
    <x v="3"/>
    <x v="4"/>
    <x v="4"/>
    <x v="18"/>
    <n v="3"/>
    <n v="28.5"/>
    <n v="0"/>
    <n v="5.23"/>
    <x v="3"/>
    <s v="COD"/>
    <x v="2"/>
    <n v="85.5"/>
  </r>
  <r>
    <s v="ORD-100458"/>
    <s v="08/08/24"/>
    <x v="360"/>
    <x v="314"/>
    <s v="mia.davis30@gmail.com"/>
    <x v="3"/>
    <x v="4"/>
    <x v="2"/>
    <x v="4"/>
    <n v="5"/>
    <n v="6.56"/>
    <n v="0"/>
    <n v="10.78"/>
    <x v="4"/>
    <s v="Debit Card"/>
    <x v="2"/>
    <n v="32.799999999999997"/>
  </r>
  <r>
    <s v="ORD-100376"/>
    <s v="2024-05-20"/>
    <x v="203"/>
    <x v="201"/>
    <s v="advait.iyer32@hotmail.com"/>
    <x v="1"/>
    <x v="1"/>
    <x v="0"/>
    <x v="17"/>
    <n v="1"/>
    <n v="45.42"/>
    <n v="0"/>
    <n v="8.77"/>
    <x v="4"/>
    <s v="PayPal"/>
    <x v="2"/>
    <n v="45.42"/>
  </r>
  <r>
    <s v="ORD-101267"/>
    <s v="02/16/2024"/>
    <x v="177"/>
    <x v="197"/>
    <s v="daniel.thomas40@yahoo.com"/>
    <x v="0"/>
    <x v="10"/>
    <x v="4"/>
    <x v="8"/>
    <n v="3"/>
    <n v="14.28"/>
    <n v="0"/>
    <n v="13.52"/>
    <x v="2"/>
    <s v="Not Known"/>
    <x v="2"/>
    <n v="42.839999999999996"/>
  </r>
  <r>
    <s v="ORD-100667"/>
    <s v="2024-04-19"/>
    <x v="364"/>
    <x v="262"/>
    <s v="Not Known"/>
    <x v="4"/>
    <x v="5"/>
    <x v="4"/>
    <x v="8"/>
    <n v="1"/>
    <n v="14.94"/>
    <n v="0"/>
    <n v="0"/>
    <x v="6"/>
    <s v="Not Known"/>
    <x v="2"/>
    <n v="14.94"/>
  </r>
  <r>
    <s v="ORD-101200"/>
    <s v="2025-03-13"/>
    <x v="290"/>
    <x v="345"/>
    <s v="chloe.jackson92@hotmail.com"/>
    <x v="4"/>
    <x v="11"/>
    <x v="3"/>
    <x v="5"/>
    <n v="1"/>
    <n v="106.88"/>
    <n v="0.15"/>
    <n v="9.4600000000000009"/>
    <x v="5"/>
    <s v="Debit Card"/>
    <x v="0"/>
    <n v="90.847999999999999"/>
  </r>
  <r>
    <s v="ORD-100149"/>
    <s v="03/23/25"/>
    <x v="329"/>
    <x v="328"/>
    <s v="ethan.clark21@outlook.com"/>
    <x v="4"/>
    <x v="5"/>
    <x v="2"/>
    <x v="4"/>
    <n v="1"/>
    <n v="6.73"/>
    <n v="0.15"/>
    <n v="2.61"/>
    <x v="4"/>
    <s v="Credit Card"/>
    <x v="2"/>
    <n v="5.7205000000000004"/>
  </r>
  <r>
    <s v="ORD-100868"/>
    <s v="February 16, 2024"/>
    <x v="177"/>
    <x v="346"/>
    <s v="kabir.anderson55@gmail.com"/>
    <x v="3"/>
    <x v="7"/>
    <x v="1"/>
    <x v="15"/>
    <n v="1"/>
    <n v="9.68"/>
    <n v="0"/>
    <n v="11.4"/>
    <x v="5"/>
    <s v="Credit Card"/>
    <x v="2"/>
    <n v="9.68"/>
  </r>
  <r>
    <s v="ORD-101159"/>
    <s v="12/18/25"/>
    <x v="324"/>
    <x v="242"/>
    <s v="arjun.nair81@outlook.com"/>
    <x v="3"/>
    <x v="10"/>
    <x v="0"/>
    <x v="22"/>
    <n v="2"/>
    <n v="79.400000000000006"/>
    <n v="0"/>
    <n v="5.22"/>
    <x v="7"/>
    <s v="Credit Card"/>
    <x v="0"/>
    <n v="158.80000000000001"/>
  </r>
  <r>
    <s v="ORD-100733"/>
    <s v="10-04-2025"/>
    <x v="497"/>
    <x v="208"/>
    <s v="Not Known"/>
    <x v="1"/>
    <x v="6"/>
    <x v="2"/>
    <x v="3"/>
    <n v="1"/>
    <n v="7.5"/>
    <n v="0.1"/>
    <n v="6.74"/>
    <x v="0"/>
    <s v="Not Known"/>
    <x v="2"/>
    <n v="6.75"/>
  </r>
  <r>
    <s v="ORD-100218"/>
    <s v="01/24/2024"/>
    <x v="317"/>
    <x v="205"/>
    <s v="rohan.anderson24@company.co"/>
    <x v="0"/>
    <x v="9"/>
    <x v="3"/>
    <x v="9"/>
    <n v="4"/>
    <n v="90.87"/>
    <n v="0.1"/>
    <n v="3.77"/>
    <x v="5"/>
    <s v="Credit Card"/>
    <x v="2"/>
    <n v="327.13200000000001"/>
  </r>
  <r>
    <s v="ORD-100239"/>
    <s v="02/15/2024"/>
    <x v="498"/>
    <x v="314"/>
    <s v="mia.davis57@company.co"/>
    <x v="1"/>
    <x v="6"/>
    <x v="3"/>
    <x v="9"/>
    <n v="1"/>
    <n v="86.25"/>
    <n v="0"/>
    <n v="2.34"/>
    <x v="5"/>
    <s v="Credit Card"/>
    <x v="2"/>
    <n v="86.25"/>
  </r>
  <r>
    <s v="ORD-101046"/>
    <s v="July 21, 2024"/>
    <x v="499"/>
    <x v="347"/>
    <s v="ethan.gupta23@outlook.com"/>
    <x v="2"/>
    <x v="1"/>
    <x v="2"/>
    <x v="10"/>
    <n v="3"/>
    <n v="3.22"/>
    <n v="0.05"/>
    <n v="3.99"/>
    <x v="6"/>
    <s v="Credit Card"/>
    <x v="0"/>
    <n v="9.1769999999999996"/>
  </r>
  <r>
    <s v="ORD-100725"/>
    <s v="March 17, 2024"/>
    <x v="500"/>
    <x v="187"/>
    <s v="noah.iyer53@outlook.com"/>
    <x v="4"/>
    <x v="5"/>
    <x v="4"/>
    <x v="8"/>
    <n v="1"/>
    <n v="14.31"/>
    <n v="0.1"/>
    <n v="0"/>
    <x v="0"/>
    <s v="COD"/>
    <x v="3"/>
    <n v="12.879000000000001"/>
  </r>
  <r>
    <s v="ORD-100192"/>
    <s v="July 20, 2025"/>
    <x v="25"/>
    <x v="107"/>
    <s v="mia.gupta2@outlook.com"/>
    <x v="2"/>
    <x v="1"/>
    <x v="4"/>
    <x v="18"/>
    <n v="4"/>
    <n v="30.09"/>
    <n v="0"/>
    <n v="0.08"/>
    <x v="7"/>
    <s v="Bank Transfer"/>
    <x v="2"/>
    <n v="120.36"/>
  </r>
  <r>
    <s v="ORD-100792"/>
    <s v="08/23/25"/>
    <x v="283"/>
    <x v="89"/>
    <s v="noah.sharma30@outlook.com"/>
    <x v="4"/>
    <x v="5"/>
    <x v="5"/>
    <x v="20"/>
    <n v="3"/>
    <n v="19.579999999999998"/>
    <n v="0"/>
    <n v="0"/>
    <x v="1"/>
    <s v="Credit Card"/>
    <x v="2"/>
    <n v="58.739999999999995"/>
  </r>
  <r>
    <s v="ORD-100191"/>
    <s v="18-04-2024"/>
    <x v="318"/>
    <x v="311"/>
    <s v="lily.williams65@gmail.com"/>
    <x v="2"/>
    <x v="2"/>
    <x v="3"/>
    <x v="21"/>
    <n v="10"/>
    <n v="127.57"/>
    <n v="0"/>
    <n v="9.1"/>
    <x v="0"/>
    <s v="Not Known"/>
    <x v="2"/>
    <n v="1275.6999999999998"/>
  </r>
  <r>
    <s v="ORD-101126"/>
    <s v="25 Jan 2024"/>
    <x v="501"/>
    <x v="248"/>
    <s v="ella.anderson50@yahoo.com"/>
    <x v="0"/>
    <x v="8"/>
    <x v="2"/>
    <x v="14"/>
    <n v="3"/>
    <n v="4.17"/>
    <n v="0"/>
    <n v="11.92"/>
    <x v="3"/>
    <s v="COD"/>
    <x v="3"/>
    <n v="12.51"/>
  </r>
  <r>
    <s v="ORD-100898"/>
    <s v="November 25, 2025"/>
    <x v="266"/>
    <x v="331"/>
    <s v="emma.anderson72@hotmail.com"/>
    <x v="4"/>
    <x v="11"/>
    <x v="1"/>
    <x v="20"/>
    <n v="1"/>
    <n v="18.07"/>
    <n v="0.1"/>
    <n v="10.59"/>
    <x v="3"/>
    <s v="COD"/>
    <x v="1"/>
    <n v="16.263000000000002"/>
  </r>
  <r>
    <s v="ORD-100902"/>
    <s v="16-02-2024"/>
    <x v="177"/>
    <x v="77"/>
    <s v="arjun.white61@outlook.com"/>
    <x v="4"/>
    <x v="5"/>
    <x v="1"/>
    <x v="19"/>
    <n v="4"/>
    <n v="25.71"/>
    <n v="0.05"/>
    <n v="1.0900000000000001"/>
    <x v="2"/>
    <s v="COD"/>
    <x v="2"/>
    <n v="97.697999999999993"/>
  </r>
  <r>
    <s v="ORD-100644"/>
    <s v="16-05-2025"/>
    <x v="502"/>
    <x v="348"/>
    <s v="ava.anderson4@outlook.com"/>
    <x v="4"/>
    <x v="11"/>
    <x v="1"/>
    <x v="7"/>
    <n v="1"/>
    <n v="42.43"/>
    <n v="0.1"/>
    <n v="0"/>
    <x v="1"/>
    <s v="COD"/>
    <x v="3"/>
    <n v="38.186999999999998"/>
  </r>
  <r>
    <s v="ORD-100359"/>
    <s v="February 11, 2024"/>
    <x v="88"/>
    <x v="322"/>
    <s v="zara.brown38@gmail.com"/>
    <x v="3"/>
    <x v="4"/>
    <x v="2"/>
    <x v="3"/>
    <n v="1"/>
    <n v="7.78"/>
    <n v="0"/>
    <n v="4.57"/>
    <x v="4"/>
    <s v="PayPal"/>
    <x v="3"/>
    <n v="7.78"/>
  </r>
  <r>
    <s v="ORD-101022"/>
    <s v="2025-05-22"/>
    <x v="310"/>
    <x v="223"/>
    <s v="aarav.brown35@yahoo.com"/>
    <x v="4"/>
    <x v="1"/>
    <x v="2"/>
    <x v="4"/>
    <n v="4"/>
    <n v="6.76"/>
    <n v="0"/>
    <m/>
    <x v="5"/>
    <s v="Debit Card"/>
    <x v="2"/>
    <n v="27.04"/>
  </r>
  <r>
    <s v="ORD-100236"/>
    <s v="08/20/24"/>
    <x v="503"/>
    <x v="105"/>
    <s v="liam.johnson16@company.co"/>
    <x v="4"/>
    <x v="5"/>
    <x v="0"/>
    <x v="17"/>
    <n v="1"/>
    <n v="45.43"/>
    <n v="0.1"/>
    <n v="13.93"/>
    <x v="7"/>
    <s v="Credit Card"/>
    <x v="3"/>
    <n v="40.887"/>
  </r>
  <r>
    <s v="ORD-100016"/>
    <s v="06 Dec 2024"/>
    <x v="148"/>
    <x v="254"/>
    <s v="Not Known"/>
    <x v="0"/>
    <x v="0"/>
    <x v="2"/>
    <x v="4"/>
    <n v="4"/>
    <n v="6.4"/>
    <n v="0"/>
    <n v="11.03"/>
    <x v="1"/>
    <s v="PayPal"/>
    <x v="2"/>
    <n v="25.6"/>
  </r>
  <r>
    <s v="ORD-100333"/>
    <s v="2024-03-28"/>
    <x v="313"/>
    <x v="50"/>
    <s v="sophia.nair59@hotmail.com"/>
    <x v="0"/>
    <x v="9"/>
    <x v="2"/>
    <x v="3"/>
    <n v="2"/>
    <n v="8.0299999999999994"/>
    <n v="0.1"/>
    <n v="4.8499999999999996"/>
    <x v="7"/>
    <s v="COD"/>
    <x v="2"/>
    <n v="14.453999999999999"/>
  </r>
  <r>
    <s v="ORD-101168"/>
    <s v="09/03/2024"/>
    <x v="504"/>
    <x v="313"/>
    <s v="grace.sharma59@company.co"/>
    <x v="3"/>
    <x v="4"/>
    <x v="1"/>
    <x v="1"/>
    <n v="10"/>
    <n v="34.28"/>
    <n v="0"/>
    <n v="5.57"/>
    <x v="6"/>
    <s v="Credit Card"/>
    <x v="1"/>
    <n v="342.8"/>
  </r>
  <r>
    <s v="ORD-100582"/>
    <s v="15-09-2025"/>
    <x v="396"/>
    <x v="16"/>
    <s v="Not Known"/>
    <x v="1"/>
    <x v="1"/>
    <x v="1"/>
    <x v="13"/>
    <n v="2"/>
    <n v="191.26"/>
    <n v="0.1"/>
    <n v="11.15"/>
    <x v="5"/>
    <s v="Credit Card"/>
    <x v="2"/>
    <n v="344.26799999999997"/>
  </r>
  <r>
    <s v="ORD-101377"/>
    <s v="2024-03-16"/>
    <x v="116"/>
    <x v="156"/>
    <s v="Not Known"/>
    <x v="4"/>
    <x v="5"/>
    <x v="0"/>
    <x v="16"/>
    <n v="2"/>
    <n v="21.81"/>
    <n v="0.05"/>
    <n v="0"/>
    <x v="2"/>
    <s v="Debit Card"/>
    <x v="1"/>
    <n v="41.438999999999993"/>
  </r>
  <r>
    <s v="ORD-101037"/>
    <s v="11/22/24"/>
    <x v="485"/>
    <x v="88"/>
    <s v="noah.clark82@yahoo.com"/>
    <x v="2"/>
    <x v="2"/>
    <x v="2"/>
    <x v="4"/>
    <n v="4"/>
    <n v="6.66"/>
    <n v="0.05"/>
    <n v="0"/>
    <x v="7"/>
    <s v="Credit Card"/>
    <x v="2"/>
    <n v="25.308"/>
  </r>
  <r>
    <s v="ORD-100839"/>
    <s v="05-01-2025"/>
    <x v="52"/>
    <x v="140"/>
    <s v="noah.brown33@yahoo.com"/>
    <x v="1"/>
    <x v="6"/>
    <x v="2"/>
    <x v="10"/>
    <n v="1"/>
    <n v="3.25"/>
    <n v="0.1"/>
    <n v="0"/>
    <x v="7"/>
    <s v="PayPal"/>
    <x v="3"/>
    <n v="2.9250000000000003"/>
  </r>
  <r>
    <s v="ORD-100627"/>
    <s v="28 Jul 2025"/>
    <x v="294"/>
    <x v="252"/>
    <s v="grace.reddy42@gmail.com"/>
    <x v="3"/>
    <x v="4"/>
    <x v="2"/>
    <x v="10"/>
    <n v="2"/>
    <n v="3.04"/>
    <n v="0.1"/>
    <n v="7.46"/>
    <x v="0"/>
    <s v="Not Known"/>
    <x v="2"/>
    <n v="5.4720000000000004"/>
  </r>
  <r>
    <s v="ORD-101347"/>
    <s v="June 01, 2024"/>
    <x v="123"/>
    <x v="349"/>
    <s v="ella.gupta91@yahoo.com"/>
    <x v="4"/>
    <x v="5"/>
    <x v="2"/>
    <x v="10"/>
    <n v="1"/>
    <n v="2.97"/>
    <n v="0"/>
    <n v="12.47"/>
    <x v="1"/>
    <s v="Not Known"/>
    <x v="2"/>
    <n v="2.97"/>
  </r>
  <r>
    <s v="ORD-100323"/>
    <s v="10/11/2025"/>
    <x v="505"/>
    <x v="131"/>
    <s v="sophia.gupta9@company.co"/>
    <x v="0"/>
    <x v="0"/>
    <x v="4"/>
    <x v="12"/>
    <n v="5"/>
    <n v="13.02"/>
    <n v="0"/>
    <n v="12.36"/>
    <x v="2"/>
    <s v="PayPal"/>
    <x v="2"/>
    <n v="65.099999999999994"/>
  </r>
  <r>
    <s v="ORD-100824"/>
    <s v="21-01-2025"/>
    <x v="330"/>
    <x v="61"/>
    <s v="chloe.moore43@hotmail.com"/>
    <x v="3"/>
    <x v="3"/>
    <x v="3"/>
    <x v="5"/>
    <n v="2"/>
    <n v="104.98"/>
    <n v="0"/>
    <n v="6.9"/>
    <x v="7"/>
    <s v="Credit Card"/>
    <x v="3"/>
    <n v="209.96"/>
  </r>
  <r>
    <s v="ORD-101276"/>
    <s v="05 Jan 2025"/>
    <x v="52"/>
    <x v="105"/>
    <s v="liam.johnson86@hotmail.com"/>
    <x v="2"/>
    <x v="1"/>
    <x v="1"/>
    <x v="20"/>
    <n v="1"/>
    <n v="18.53"/>
    <n v="0"/>
    <m/>
    <x v="7"/>
    <s v="Not Known"/>
    <x v="0"/>
    <n v="18.53"/>
  </r>
  <r>
    <s v="ORD-100631"/>
    <s v="2024-08-16"/>
    <x v="506"/>
    <x v="164"/>
    <s v="lily.sharma89@company.co"/>
    <x v="2"/>
    <x v="2"/>
    <x v="4"/>
    <x v="6"/>
    <n v="5"/>
    <n v="58.66"/>
    <n v="0.1"/>
    <n v="2.38"/>
    <x v="3"/>
    <s v="Credit Card"/>
    <x v="2"/>
    <n v="263.96999999999997"/>
  </r>
  <r>
    <s v="ORD-100981"/>
    <s v="04-11-2024"/>
    <x v="507"/>
    <x v="154"/>
    <s v="rohan.iyer98@yahoo.com"/>
    <x v="2"/>
    <x v="2"/>
    <x v="1"/>
    <x v="19"/>
    <n v="5"/>
    <n v="24.17"/>
    <n v="0"/>
    <n v="13.54"/>
    <x v="2"/>
    <s v="PayPal"/>
    <x v="2"/>
    <n v="120.85000000000001"/>
  </r>
  <r>
    <s v="ORD-101139"/>
    <s v="11/23/24"/>
    <x v="508"/>
    <x v="202"/>
    <s v="Not Known"/>
    <x v="1"/>
    <x v="1"/>
    <x v="2"/>
    <x v="10"/>
    <n v="2"/>
    <n v="3.17"/>
    <n v="0"/>
    <n v="0.28999999999999998"/>
    <x v="7"/>
    <s v="Debit Card"/>
    <x v="2"/>
    <n v="6.34"/>
  </r>
  <r>
    <s v="ORD-100778"/>
    <s v="23-12-2024"/>
    <x v="509"/>
    <x v="202"/>
    <s v="aarav.reddy81@yahoo.com"/>
    <x v="1"/>
    <x v="6"/>
    <x v="2"/>
    <x v="3"/>
    <n v="1"/>
    <n v="7.81"/>
    <n v="0.15"/>
    <n v="14.88"/>
    <x v="4"/>
    <s v="Credit Card"/>
    <x v="0"/>
    <n v="6.6384999999999996"/>
  </r>
  <r>
    <s v="ORD-100986"/>
    <s v="August 17, 2024"/>
    <x v="343"/>
    <x v="220"/>
    <s v="kabir.kapoor16@gmail.com"/>
    <x v="4"/>
    <x v="5"/>
    <x v="2"/>
    <x v="14"/>
    <n v="2"/>
    <n v="4.37"/>
    <n v="0"/>
    <n v="4.1100000000000003"/>
    <x v="2"/>
    <s v="Credit Card"/>
    <x v="2"/>
    <n v="8.74"/>
  </r>
  <r>
    <s v="ORD-101326"/>
    <s v="11 Jul 2024"/>
    <x v="371"/>
    <x v="151"/>
    <s v="emma.harris13@outlook.com"/>
    <x v="4"/>
    <x v="1"/>
    <x v="3"/>
    <x v="21"/>
    <n v="5"/>
    <n v="131.65"/>
    <n v="0"/>
    <n v="5.87"/>
    <x v="6"/>
    <s v="Debit Card"/>
    <x v="3"/>
    <n v="658.25"/>
  </r>
  <r>
    <s v="ORD-100437"/>
    <s v="03/04/2025"/>
    <x v="17"/>
    <x v="272"/>
    <s v="grace.johnson92@outlook.com"/>
    <x v="3"/>
    <x v="4"/>
    <x v="2"/>
    <x v="14"/>
    <n v="1"/>
    <n v="4.18"/>
    <n v="0"/>
    <n v="2.73"/>
    <x v="6"/>
    <s v="Credit Card"/>
    <x v="0"/>
    <n v="4.18"/>
  </r>
  <r>
    <s v="ORD-100119"/>
    <s v="02/15/24"/>
    <x v="498"/>
    <x v="284"/>
    <s v="zara.white39@company.co"/>
    <x v="1"/>
    <x v="1"/>
    <x v="3"/>
    <x v="9"/>
    <n v="10"/>
    <n v="87.6"/>
    <n v="0.05"/>
    <n v="0"/>
    <x v="4"/>
    <s v="COD"/>
    <x v="2"/>
    <n v="832.19999999999993"/>
  </r>
  <r>
    <s v="ORD-101024"/>
    <s v="17-07-2025"/>
    <x v="252"/>
    <x v="54"/>
    <s v="daniel.iyer79@outlook.com"/>
    <x v="2"/>
    <x v="1"/>
    <x v="0"/>
    <x v="17"/>
    <n v="1"/>
    <n v="45.18"/>
    <n v="0.1"/>
    <n v="3.28"/>
    <x v="1"/>
    <s v="Credit Card"/>
    <x v="2"/>
    <n v="40.661999999999999"/>
  </r>
  <r>
    <s v="ORD-101127"/>
    <s v="01/14/2024"/>
    <x v="84"/>
    <x v="215"/>
    <s v="kabir.nair44@gmail.com"/>
    <x v="2"/>
    <x v="1"/>
    <x v="3"/>
    <x v="9"/>
    <n v="1"/>
    <n v="89.4"/>
    <n v="0.05"/>
    <n v="0"/>
    <x v="5"/>
    <s v="Debit Card"/>
    <x v="2"/>
    <n v="84.93"/>
  </r>
  <r>
    <s v="ORD-100790"/>
    <s v="December 04, 2024"/>
    <x v="431"/>
    <x v="15"/>
    <s v="noah.wilson18@outlook.com"/>
    <x v="2"/>
    <x v="1"/>
    <x v="0"/>
    <x v="0"/>
    <n v="2"/>
    <n v="41.02"/>
    <n v="0.15"/>
    <n v="11.64"/>
    <x v="7"/>
    <s v="Credit Card"/>
    <x v="0"/>
    <n v="69.734000000000009"/>
  </r>
  <r>
    <s v="ORD-100341"/>
    <s v="15 Dec 2024"/>
    <x v="510"/>
    <x v="350"/>
    <s v="Not Known"/>
    <x v="2"/>
    <x v="2"/>
    <x v="4"/>
    <x v="8"/>
    <n v="1"/>
    <n v="15.09"/>
    <n v="0.1"/>
    <n v="10.29"/>
    <x v="2"/>
    <s v="Debit Card"/>
    <x v="2"/>
    <n v="13.581"/>
  </r>
  <r>
    <s v="ORD-100815"/>
    <s v="2025-05-01"/>
    <x v="293"/>
    <x v="308"/>
    <s v="noah.williams90@yahoo.com"/>
    <x v="4"/>
    <x v="11"/>
    <x v="2"/>
    <x v="3"/>
    <n v="4"/>
    <n v="8.1300000000000008"/>
    <n v="0.1"/>
    <n v="0"/>
    <x v="0"/>
    <s v="Debit Card"/>
    <x v="1"/>
    <n v="29.268000000000004"/>
  </r>
  <r>
    <s v="ORD-100002"/>
    <s v="08/02/24"/>
    <x v="54"/>
    <x v="192"/>
    <s v="emma.reddy46@outlook.com"/>
    <x v="3"/>
    <x v="4"/>
    <x v="1"/>
    <x v="20"/>
    <n v="1"/>
    <n v="19.3"/>
    <n v="0.05"/>
    <n v="10.25"/>
    <x v="5"/>
    <s v="Bank Transfer"/>
    <x v="2"/>
    <n v="18.335000000000001"/>
  </r>
  <r>
    <s v="ORD-100229"/>
    <s v="November 05, 2025"/>
    <x v="96"/>
    <x v="96"/>
    <s v="aarav.nair9@yahoo.com"/>
    <x v="0"/>
    <x v="9"/>
    <x v="4"/>
    <x v="12"/>
    <n v="4"/>
    <n v="13.35"/>
    <n v="0"/>
    <n v="7.86"/>
    <x v="3"/>
    <s v="Not Known"/>
    <x v="2"/>
    <n v="53.4"/>
  </r>
  <r>
    <s v="ORD-101144"/>
    <s v="04 Oct 2024"/>
    <x v="511"/>
    <x v="351"/>
    <s v="zara.wilson57@outlook.com"/>
    <x v="4"/>
    <x v="1"/>
    <x v="5"/>
    <x v="16"/>
    <n v="2"/>
    <n v="22.31"/>
    <n v="0.05"/>
    <n v="10"/>
    <x v="4"/>
    <s v="Credit Card"/>
    <x v="2"/>
    <n v="42.388999999999996"/>
  </r>
  <r>
    <s v="ORD-101397"/>
    <s v="03 Sep 2024"/>
    <x v="504"/>
    <x v="18"/>
    <s v="noah.reddy78@yahoo.com"/>
    <x v="3"/>
    <x v="4"/>
    <x v="0"/>
    <x v="0"/>
    <n v="1"/>
    <n v="40.619999999999997"/>
    <n v="0"/>
    <n v="12.69"/>
    <x v="4"/>
    <s v="Not Known"/>
    <x v="2"/>
    <n v="40.619999999999997"/>
  </r>
  <r>
    <s v="ORD-100076"/>
    <s v="February 03, 2024"/>
    <x v="335"/>
    <x v="66"/>
    <s v="olivia.gupta73@outlook.com"/>
    <x v="1"/>
    <x v="6"/>
    <x v="0"/>
    <x v="0"/>
    <n v="1"/>
    <n v="41.8"/>
    <n v="0.05"/>
    <n v="14.23"/>
    <x v="4"/>
    <s v="Debit Card"/>
    <x v="2"/>
    <n v="39.709999999999994"/>
  </r>
  <r>
    <s v="ORD-101283"/>
    <s v="2025-08-08"/>
    <x v="295"/>
    <x v="341"/>
    <s v="ishaan.harris69@hotmail.com"/>
    <x v="2"/>
    <x v="2"/>
    <x v="0"/>
    <x v="17"/>
    <n v="1"/>
    <n v="44.45"/>
    <n v="0"/>
    <n v="11.48"/>
    <x v="6"/>
    <s v="Credit Card"/>
    <x v="2"/>
    <n v="44.45"/>
  </r>
  <r>
    <s v="ORD-101137"/>
    <s v="09-03-2025"/>
    <x v="98"/>
    <x v="99"/>
    <s v="liam.harris41@company.co"/>
    <x v="2"/>
    <x v="2"/>
    <x v="2"/>
    <x v="4"/>
    <n v="5"/>
    <n v="6.79"/>
    <n v="0"/>
    <n v="6.81"/>
    <x v="6"/>
    <s v="Debit Card"/>
    <x v="2"/>
    <n v="33.950000000000003"/>
  </r>
  <r>
    <s v="ORD-101170"/>
    <s v="05-08-2024"/>
    <x v="512"/>
    <x v="263"/>
    <s v="ella.moore23@yahoo.com"/>
    <x v="0"/>
    <x v="9"/>
    <x v="4"/>
    <x v="6"/>
    <n v="3"/>
    <n v="62.15"/>
    <n v="0"/>
    <n v="0"/>
    <x v="6"/>
    <s v="PayPal"/>
    <x v="2"/>
    <n v="186.45"/>
  </r>
  <r>
    <s v="ORD-100371"/>
    <s v="01/24/24"/>
    <x v="317"/>
    <x v="148"/>
    <s v="kabir.clark87@outlook.com"/>
    <x v="4"/>
    <x v="5"/>
    <x v="0"/>
    <x v="0"/>
    <n v="1"/>
    <n v="38.25"/>
    <n v="0"/>
    <n v="3.79"/>
    <x v="3"/>
    <s v="Credit Card"/>
    <x v="1"/>
    <n v="38.25"/>
  </r>
  <r>
    <s v="ORD-100180"/>
    <s v="2024-12-12"/>
    <x v="227"/>
    <x v="215"/>
    <s v="kabir.nair25@company.co"/>
    <x v="0"/>
    <x v="8"/>
    <x v="2"/>
    <x v="3"/>
    <n v="4"/>
    <n v="7.52"/>
    <n v="0"/>
    <n v="13.9"/>
    <x v="5"/>
    <s v="Not Known"/>
    <x v="2"/>
    <n v="30.08"/>
  </r>
  <r>
    <s v="ORD-101042"/>
    <s v="05/30/2024"/>
    <x v="99"/>
    <x v="139"/>
    <s v="rohan.davis85@company.co"/>
    <x v="2"/>
    <x v="1"/>
    <x v="0"/>
    <x v="22"/>
    <n v="3"/>
    <n v="76.069999999999993"/>
    <n v="0.05"/>
    <n v="14.75"/>
    <x v="1"/>
    <s v="Not Known"/>
    <x v="1"/>
    <n v="216.79949999999997"/>
  </r>
  <r>
    <s v="ORD-100577"/>
    <s v="2025-08-16"/>
    <x v="8"/>
    <x v="8"/>
    <s v="ethan.kapoor34@gmail.com"/>
    <x v="1"/>
    <x v="6"/>
    <x v="1"/>
    <x v="7"/>
    <n v="1"/>
    <n v="43.31"/>
    <n v="0.15"/>
    <n v="6.19"/>
    <x v="4"/>
    <s v="Credit Card"/>
    <x v="2"/>
    <n v="36.813499999999998"/>
  </r>
  <r>
    <s v="ORD-101017"/>
    <s v="May 01, 2025"/>
    <x v="293"/>
    <x v="267"/>
    <s v="grace.gupta65@hotmail.com"/>
    <x v="4"/>
    <x v="1"/>
    <x v="2"/>
    <x v="10"/>
    <n v="4"/>
    <n v="3.01"/>
    <n v="0.05"/>
    <n v="10.08"/>
    <x v="6"/>
    <s v="Not Known"/>
    <x v="3"/>
    <n v="11.437999999999999"/>
  </r>
  <r>
    <s v="ORD-101061"/>
    <s v="06/18/25"/>
    <x v="513"/>
    <x v="111"/>
    <s v="ishaan.taylor43@yahoo.com"/>
    <x v="2"/>
    <x v="1"/>
    <x v="4"/>
    <x v="18"/>
    <n v="2"/>
    <n v="30.51"/>
    <n v="0.1"/>
    <n v="13.5"/>
    <x v="5"/>
    <s v="Credit Card"/>
    <x v="2"/>
    <n v="54.918000000000006"/>
  </r>
  <r>
    <s v="ORD-101077"/>
    <s v="2025-07-06"/>
    <x v="41"/>
    <x v="352"/>
    <s v="kabir.sharma11@hotmail.com"/>
    <x v="1"/>
    <x v="1"/>
    <x v="1"/>
    <x v="1"/>
    <n v="1"/>
    <n v="34.33"/>
    <n v="0"/>
    <n v="5.74"/>
    <x v="2"/>
    <s v="Not Known"/>
    <x v="2"/>
    <n v="34.33"/>
  </r>
  <r>
    <s v="ORD-100186"/>
    <s v="14-03-2025"/>
    <x v="0"/>
    <x v="0"/>
    <s v="ava.williams6@hotmail.com"/>
    <x v="0"/>
    <x v="0"/>
    <x v="0"/>
    <x v="0"/>
    <n v="2"/>
    <n v="41.09"/>
    <n v="0.05"/>
    <n v="2.41"/>
    <x v="0"/>
    <s v="Credit Card"/>
    <x v="0"/>
    <n v="78.070999999999998"/>
  </r>
  <r>
    <s v="ORD-101361"/>
    <s v="17-09-2025"/>
    <x v="196"/>
    <x v="58"/>
    <s v="sophia.anderson40@yahoo.com"/>
    <x v="4"/>
    <x v="1"/>
    <x v="0"/>
    <x v="17"/>
    <n v="1"/>
    <n v="46.99"/>
    <n v="0"/>
    <n v="9.25"/>
    <x v="3"/>
    <s v="Credit Card"/>
    <x v="0"/>
    <n v="46.99"/>
  </r>
  <r>
    <s v="ORD-100970"/>
    <s v="09-01-2024"/>
    <x v="514"/>
    <x v="353"/>
    <s v="olivia.miller28@yahoo.com"/>
    <x v="0"/>
    <x v="0"/>
    <x v="3"/>
    <x v="5"/>
    <n v="3"/>
    <n v="113.61"/>
    <n v="0"/>
    <n v="3.13"/>
    <x v="2"/>
    <s v="Not Known"/>
    <x v="2"/>
    <n v="340.83"/>
  </r>
  <r>
    <s v="ORD-100589"/>
    <s v="23 Aug 2025"/>
    <x v="283"/>
    <x v="166"/>
    <s v="olivia.reddy78@company.co"/>
    <x v="1"/>
    <x v="1"/>
    <x v="2"/>
    <x v="10"/>
    <n v="1"/>
    <n v="3.17"/>
    <n v="0.05"/>
    <n v="9.59"/>
    <x v="0"/>
    <s v="Bank Transfer"/>
    <x v="0"/>
    <n v="3.0114999999999998"/>
  </r>
  <r>
    <s v="ORD-100886"/>
    <s v="04/16/2025"/>
    <x v="515"/>
    <x v="183"/>
    <s v="sophia.miller37@yahoo.com"/>
    <x v="4"/>
    <x v="5"/>
    <x v="3"/>
    <x v="21"/>
    <n v="4"/>
    <n v="131.04"/>
    <n v="0.1"/>
    <n v="5.47"/>
    <x v="1"/>
    <s v="Credit Card"/>
    <x v="2"/>
    <n v="471.74399999999997"/>
  </r>
  <r>
    <s v="ORD-101085"/>
    <s v="10/26/2025"/>
    <x v="516"/>
    <x v="354"/>
    <s v="zara.clark74@yahoo.com"/>
    <x v="4"/>
    <x v="10"/>
    <x v="1"/>
    <x v="19"/>
    <n v="2"/>
    <n v="24.41"/>
    <n v="0.05"/>
    <n v="0"/>
    <x v="7"/>
    <s v="Credit Card"/>
    <x v="2"/>
    <n v="46.378999999999998"/>
  </r>
  <r>
    <s v="ORD-100785"/>
    <s v="2024-09-23"/>
    <x v="517"/>
    <x v="341"/>
    <s v="ishaan.harris22@gmail.com"/>
    <x v="4"/>
    <x v="5"/>
    <x v="2"/>
    <x v="2"/>
    <n v="4"/>
    <n v="14.34"/>
    <n v="0.05"/>
    <n v="4.92"/>
    <x v="4"/>
    <s v="COD"/>
    <x v="2"/>
    <n v="54.491999999999997"/>
  </r>
  <r>
    <s v="ORD-101117"/>
    <s v="02/03/2025"/>
    <x v="259"/>
    <x v="355"/>
    <s v="ella.clark81@hotmail.com"/>
    <x v="4"/>
    <x v="5"/>
    <x v="1"/>
    <x v="7"/>
    <n v="5"/>
    <n v="42.35"/>
    <n v="0"/>
    <n v="3.15"/>
    <x v="0"/>
    <s v="Bank Transfer"/>
    <x v="2"/>
    <n v="211.75"/>
  </r>
  <r>
    <s v="ORD-100311"/>
    <s v="08/10/24"/>
    <x v="2"/>
    <x v="356"/>
    <s v="arjun.williams68@hotmail.com"/>
    <x v="3"/>
    <x v="7"/>
    <x v="2"/>
    <x v="2"/>
    <n v="2"/>
    <n v="14.39"/>
    <n v="0"/>
    <n v="2.58"/>
    <x v="6"/>
    <s v="COD"/>
    <x v="2"/>
    <n v="28.78"/>
  </r>
  <r>
    <s v="ORD-101162"/>
    <s v="07/19/2025"/>
    <x v="36"/>
    <x v="261"/>
    <s v="advait.brown19@yahoo.com"/>
    <x v="1"/>
    <x v="1"/>
    <x v="0"/>
    <x v="0"/>
    <n v="1"/>
    <n v="38.020000000000003"/>
    <n v="0.05"/>
    <n v="2.33"/>
    <x v="6"/>
    <s v="Bank Transfer"/>
    <x v="3"/>
    <n v="36.119"/>
  </r>
  <r>
    <s v="ORD-100301"/>
    <s v="05 Jul 2025"/>
    <x v="113"/>
    <x v="357"/>
    <s v="lily.miller11@outlook.com"/>
    <x v="1"/>
    <x v="1"/>
    <x v="4"/>
    <x v="18"/>
    <n v="3"/>
    <n v="29.83"/>
    <n v="0"/>
    <n v="1.31"/>
    <x v="7"/>
    <s v="Credit Card"/>
    <x v="2"/>
    <n v="89.49"/>
  </r>
  <r>
    <s v="ORD-100722"/>
    <s v="08-10-2025"/>
    <x v="518"/>
    <x v="283"/>
    <s v="noah.taylor97@hotmail.com"/>
    <x v="2"/>
    <x v="2"/>
    <x v="1"/>
    <x v="19"/>
    <n v="1"/>
    <n v="25.76"/>
    <n v="0"/>
    <n v="5.84"/>
    <x v="7"/>
    <s v="Credit Card"/>
    <x v="2"/>
    <n v="25.76"/>
  </r>
  <r>
    <s v="ORD-100689"/>
    <s v="07 May 2024"/>
    <x v="400"/>
    <x v="315"/>
    <s v="Not Known"/>
    <x v="4"/>
    <x v="11"/>
    <x v="2"/>
    <x v="3"/>
    <n v="1"/>
    <n v="7.79"/>
    <n v="0.05"/>
    <n v="5.9"/>
    <x v="5"/>
    <s v="Credit Card"/>
    <x v="3"/>
    <n v="7.4005000000000001"/>
  </r>
  <r>
    <s v="ORD-100812"/>
    <s v="February 13, 2024"/>
    <x v="275"/>
    <x v="302"/>
    <s v="rohan.reddy67@company.co"/>
    <x v="1"/>
    <x v="1"/>
    <x v="1"/>
    <x v="1"/>
    <n v="2"/>
    <n v="36.01"/>
    <n v="0"/>
    <n v="12.19"/>
    <x v="4"/>
    <s v="Debit Card"/>
    <x v="2"/>
    <n v="72.02"/>
  </r>
  <r>
    <s v="ORD-100037"/>
    <s v="28-03-2025"/>
    <x v="20"/>
    <x v="148"/>
    <s v="kabir.clark84@yahoo.com"/>
    <x v="3"/>
    <x v="7"/>
    <x v="3"/>
    <x v="9"/>
    <n v="1"/>
    <n v="84.78"/>
    <n v="0"/>
    <n v="6.54"/>
    <x v="3"/>
    <s v="Credit Card"/>
    <x v="2"/>
    <n v="84.78"/>
  </r>
  <r>
    <s v="ORD-100353"/>
    <s v="10/08/25"/>
    <x v="518"/>
    <x v="272"/>
    <s v="grace.johnson8@yahoo.com"/>
    <x v="4"/>
    <x v="5"/>
    <x v="0"/>
    <x v="17"/>
    <n v="4"/>
    <n v="43.13"/>
    <n v="0"/>
    <n v="7.8"/>
    <x v="0"/>
    <s v="Debit Card"/>
    <x v="1"/>
    <n v="172.52"/>
  </r>
  <r>
    <s v="ORD-101333"/>
    <s v="April 10, 2025"/>
    <x v="497"/>
    <x v="358"/>
    <s v="liam.anderson7@outlook.com"/>
    <x v="3"/>
    <x v="10"/>
    <x v="3"/>
    <x v="5"/>
    <n v="1"/>
    <n v="112.48"/>
    <n v="0"/>
    <n v="13.37"/>
    <x v="4"/>
    <s v="Not Known"/>
    <x v="3"/>
    <n v="112.48"/>
  </r>
  <r>
    <s v="ORD-100714"/>
    <s v="2024-02-20"/>
    <x v="67"/>
    <x v="277"/>
    <s v="ishaan.white9@company.co"/>
    <x v="2"/>
    <x v="2"/>
    <x v="1"/>
    <x v="1"/>
    <n v="10"/>
    <n v="35.58"/>
    <n v="0.1"/>
    <n v="3.78"/>
    <x v="2"/>
    <s v="Not Known"/>
    <x v="2"/>
    <n v="320.21999999999997"/>
  </r>
  <r>
    <s v="ORD-100236"/>
    <s v="08/20/24"/>
    <x v="503"/>
    <x v="105"/>
    <s v="liam.johnson16@company.co"/>
    <x v="4"/>
    <x v="5"/>
    <x v="0"/>
    <x v="17"/>
    <n v="1"/>
    <n v="45.43"/>
    <n v="0.1"/>
    <n v="13.93"/>
    <x v="7"/>
    <s v="Credit Card"/>
    <x v="3"/>
    <n v="40.887"/>
  </r>
  <r>
    <s v="ORD-101210"/>
    <s v="19 Sep 2025"/>
    <x v="519"/>
    <x v="214"/>
    <s v="Not Known"/>
    <x v="2"/>
    <x v="2"/>
    <x v="5"/>
    <x v="7"/>
    <n v="1"/>
    <n v="43.73"/>
    <n v="0"/>
    <n v="9.07"/>
    <x v="0"/>
    <s v="Credit Card"/>
    <x v="2"/>
    <n v="43.73"/>
  </r>
  <r>
    <s v="ORD-100729"/>
    <s v="02/01/2025"/>
    <x v="403"/>
    <x v="316"/>
    <s v="arjun.miller86@company.co"/>
    <x v="4"/>
    <x v="5"/>
    <x v="0"/>
    <x v="0"/>
    <n v="10"/>
    <n v="41.95"/>
    <n v="0.1"/>
    <n v="5.16"/>
    <x v="7"/>
    <s v="Bank Transfer"/>
    <x v="1"/>
    <n v="377.55"/>
  </r>
  <r>
    <s v="ORD-101195"/>
    <s v="01/08/2025"/>
    <x v="520"/>
    <x v="64"/>
    <s v="liam.clark32@yahoo.com"/>
    <x v="0"/>
    <x v="9"/>
    <x v="0"/>
    <x v="0"/>
    <n v="3"/>
    <n v="39.49"/>
    <n v="0"/>
    <n v="8.9"/>
    <x v="2"/>
    <s v="PayPal"/>
    <x v="2"/>
    <n v="118.47"/>
  </r>
  <r>
    <s v="ORD-101053"/>
    <s v="2024-03-03"/>
    <x v="476"/>
    <x v="134"/>
    <s v="ella.reddy24@company.co"/>
    <x v="4"/>
    <x v="5"/>
    <x v="4"/>
    <x v="12"/>
    <n v="4"/>
    <n v="12.68"/>
    <n v="0"/>
    <n v="8.67"/>
    <x v="6"/>
    <s v="Debit Card"/>
    <x v="2"/>
    <n v="50.72"/>
  </r>
  <r>
    <s v="ORD-100499"/>
    <s v="10/17/2025"/>
    <x v="210"/>
    <x v="359"/>
    <s v="ishaan.kapoor87@company.co"/>
    <x v="3"/>
    <x v="4"/>
    <x v="3"/>
    <x v="21"/>
    <n v="10"/>
    <n v="124.12"/>
    <n v="0"/>
    <n v="10.79"/>
    <x v="6"/>
    <s v="Not Known"/>
    <x v="2"/>
    <n v="1241.2"/>
  </r>
  <r>
    <s v="ORD-101197"/>
    <s v="15-10-2025"/>
    <x v="169"/>
    <x v="333"/>
    <s v="ethan.thomas9@yahoo.com"/>
    <x v="1"/>
    <x v="6"/>
    <x v="2"/>
    <x v="14"/>
    <n v="1"/>
    <n v="4.42"/>
    <n v="0.05"/>
    <n v="0.92"/>
    <x v="4"/>
    <s v="Credit Card"/>
    <x v="2"/>
    <n v="4.1989999999999998"/>
  </r>
  <r>
    <s v="ORD-100553"/>
    <s v="07/05/24"/>
    <x v="166"/>
    <x v="360"/>
    <s v="rohan.clark12@company.co"/>
    <x v="3"/>
    <x v="3"/>
    <x v="1"/>
    <x v="7"/>
    <n v="1"/>
    <n v="41.05"/>
    <n v="0.15"/>
    <n v="8.8699999999999992"/>
    <x v="6"/>
    <s v="Not Known"/>
    <x v="2"/>
    <n v="34.892499999999998"/>
  </r>
  <r>
    <s v="ORD-100055"/>
    <s v="2024-03-28"/>
    <x v="313"/>
    <x v="54"/>
    <s v="Not Known"/>
    <x v="4"/>
    <x v="11"/>
    <x v="4"/>
    <x v="6"/>
    <n v="3"/>
    <n v="59.49"/>
    <n v="0.1"/>
    <n v="0"/>
    <x v="4"/>
    <s v="Not Known"/>
    <x v="2"/>
    <n v="160.62299999999999"/>
  </r>
  <r>
    <s v="ORD-100302"/>
    <s v="2025-07-28"/>
    <x v="294"/>
    <x v="236"/>
    <s v="grace.anderson58@outlook.com"/>
    <x v="0"/>
    <x v="0"/>
    <x v="0"/>
    <x v="17"/>
    <n v="4"/>
    <n v="46.84"/>
    <n v="0"/>
    <n v="6.66"/>
    <x v="7"/>
    <s v="Not Known"/>
    <x v="2"/>
    <n v="187.36"/>
  </r>
  <r>
    <s v="ORD-100794"/>
    <s v="06/22/2025"/>
    <x v="521"/>
    <x v="233"/>
    <s v="zara.kapoor9@outlook.com"/>
    <x v="4"/>
    <x v="11"/>
    <x v="4"/>
    <x v="8"/>
    <n v="1"/>
    <n v="15.21"/>
    <n v="0"/>
    <n v="10.61"/>
    <x v="5"/>
    <s v="COD"/>
    <x v="2"/>
    <n v="15.21"/>
  </r>
  <r>
    <s v="ORD-100286"/>
    <s v="22 Dec 2024"/>
    <x v="230"/>
    <x v="163"/>
    <s v="lily.davis39@gmail.com"/>
    <x v="4"/>
    <x v="5"/>
    <x v="3"/>
    <x v="5"/>
    <n v="1"/>
    <n v="109.03"/>
    <n v="0"/>
    <n v="2.88"/>
    <x v="5"/>
    <s v="Bank Transfer"/>
    <x v="0"/>
    <n v="109.03"/>
  </r>
  <r>
    <s v="ORD-101104"/>
    <s v="24 May 2024"/>
    <x v="522"/>
    <x v="295"/>
    <s v="Not Known"/>
    <x v="3"/>
    <x v="3"/>
    <x v="0"/>
    <x v="0"/>
    <n v="5"/>
    <n v="41.87"/>
    <n v="0"/>
    <n v="1.99"/>
    <x v="5"/>
    <s v="Debit Card"/>
    <x v="0"/>
    <n v="209.35"/>
  </r>
  <r>
    <s v="ORD-100219"/>
    <s v="17 Oct 2024"/>
    <x v="162"/>
    <x v="361"/>
    <s v="liam.brown32@company.co"/>
    <x v="2"/>
    <x v="1"/>
    <x v="1"/>
    <x v="13"/>
    <n v="4"/>
    <n v="190.91"/>
    <n v="0"/>
    <n v="7.9"/>
    <x v="2"/>
    <s v="Credit Card"/>
    <x v="2"/>
    <n v="763.64"/>
  </r>
  <r>
    <s v="ORD-100900"/>
    <s v="12/11/2024"/>
    <x v="164"/>
    <x v="191"/>
    <s v="zara.reddy80@yahoo.com"/>
    <x v="0"/>
    <x v="0"/>
    <x v="0"/>
    <x v="0"/>
    <n v="1"/>
    <n v="40.86"/>
    <n v="0"/>
    <n v="13.5"/>
    <x v="1"/>
    <s v="Not Known"/>
    <x v="2"/>
    <n v="40.86"/>
  </r>
  <r>
    <s v="ORD-100957"/>
    <s v="05-08-2024"/>
    <x v="512"/>
    <x v="155"/>
    <s v="daniel.williams85@outlook.com"/>
    <x v="2"/>
    <x v="2"/>
    <x v="2"/>
    <x v="4"/>
    <n v="4"/>
    <n v="6.36"/>
    <n v="0"/>
    <n v="12.18"/>
    <x v="6"/>
    <s v="Credit Card"/>
    <x v="2"/>
    <n v="25.44"/>
  </r>
  <r>
    <s v="ORD-100934"/>
    <s v="05/28/2024"/>
    <x v="387"/>
    <x v="314"/>
    <s v="mia.davis56@yahoo.com"/>
    <x v="0"/>
    <x v="0"/>
    <x v="3"/>
    <x v="21"/>
    <n v="1"/>
    <n v="130.24"/>
    <n v="0.05"/>
    <n v="0.26"/>
    <x v="5"/>
    <s v="Credit Card"/>
    <x v="3"/>
    <n v="123.72800000000001"/>
  </r>
  <r>
    <s v="ORD-100387"/>
    <s v="04-07-2025"/>
    <x v="280"/>
    <x v="296"/>
    <s v="chloe.anderson89@company.co"/>
    <x v="2"/>
    <x v="1"/>
    <x v="3"/>
    <x v="11"/>
    <n v="2"/>
    <n v="250.93"/>
    <n v="0"/>
    <n v="8.51"/>
    <x v="6"/>
    <s v="Credit Card"/>
    <x v="2"/>
    <n v="501.86"/>
  </r>
  <r>
    <s v="ORD-100304"/>
    <s v="04/19/2025"/>
    <x v="247"/>
    <x v="258"/>
    <s v="chloe.johnson72@hotmail.com"/>
    <x v="3"/>
    <x v="4"/>
    <x v="5"/>
    <x v="0"/>
    <n v="2"/>
    <n v="38.79"/>
    <n v="0"/>
    <n v="2.31"/>
    <x v="0"/>
    <s v="COD"/>
    <x v="2"/>
    <n v="77.58"/>
  </r>
  <r>
    <s v="ORD-100390"/>
    <s v="10/09/2024"/>
    <x v="494"/>
    <x v="257"/>
    <s v="lily.clark59@hotmail.com"/>
    <x v="2"/>
    <x v="1"/>
    <x v="2"/>
    <x v="10"/>
    <n v="5"/>
    <n v="3.08"/>
    <n v="0"/>
    <n v="6.69"/>
    <x v="7"/>
    <s v="Bank Transfer"/>
    <x v="2"/>
    <n v="15.4"/>
  </r>
  <r>
    <s v="ORD-100971"/>
    <s v="09/23/24"/>
    <x v="517"/>
    <x v="133"/>
    <s v="ishaan.sharma52@gmail.com"/>
    <x v="1"/>
    <x v="6"/>
    <x v="3"/>
    <x v="5"/>
    <n v="2"/>
    <n v="105.78"/>
    <n v="0.15"/>
    <n v="9.89"/>
    <x v="6"/>
    <s v="Bank Transfer"/>
    <x v="2"/>
    <n v="179.82599999999999"/>
  </r>
  <r>
    <s v="ORD-100352"/>
    <s v="21 May 2024"/>
    <x v="157"/>
    <x v="236"/>
    <s v="grace.anderson30@hotmail.com"/>
    <x v="1"/>
    <x v="6"/>
    <x v="3"/>
    <x v="9"/>
    <n v="2"/>
    <n v="89.04"/>
    <n v="0.15"/>
    <n v="13.47"/>
    <x v="4"/>
    <s v="Credit Card"/>
    <x v="2"/>
    <n v="151.36799999999999"/>
  </r>
  <r>
    <s v="ORD-100193"/>
    <s v="2025-08-03"/>
    <x v="155"/>
    <x v="235"/>
    <s v="ava.davis86@yahoo.com"/>
    <x v="1"/>
    <x v="1"/>
    <x v="3"/>
    <x v="11"/>
    <n v="10"/>
    <n v="246.83"/>
    <n v="0"/>
    <n v="14.85"/>
    <x v="3"/>
    <s v="COD"/>
    <x v="2"/>
    <n v="2468.3000000000002"/>
  </r>
  <r>
    <s v="ORD-100235"/>
    <s v="07 Aug 2025"/>
    <x v="200"/>
    <x v="346"/>
    <s v="kabir.anderson12@outlook.com"/>
    <x v="3"/>
    <x v="4"/>
    <x v="2"/>
    <x v="4"/>
    <n v="1"/>
    <n v="6.2"/>
    <n v="0"/>
    <n v="11.01"/>
    <x v="4"/>
    <s v="Not Known"/>
    <x v="2"/>
    <n v="6.2"/>
  </r>
  <r>
    <s v="ORD-101231"/>
    <s v="2024-08-31"/>
    <x v="488"/>
    <x v="285"/>
    <s v="ethan.moore93@yahoo.com"/>
    <x v="0"/>
    <x v="0"/>
    <x v="3"/>
    <x v="11"/>
    <n v="1"/>
    <n v="237.97"/>
    <n v="0.05"/>
    <n v="7.07"/>
    <x v="4"/>
    <s v="Debit Card"/>
    <x v="1"/>
    <n v="226.07149999999999"/>
  </r>
  <r>
    <s v="ORD-100694"/>
    <s v="10/24/2024"/>
    <x v="523"/>
    <x v="172"/>
    <s v="ava.reddy92@company.co"/>
    <x v="2"/>
    <x v="2"/>
    <x v="4"/>
    <x v="18"/>
    <n v="1"/>
    <n v="29.61"/>
    <n v="0.1"/>
    <n v="7.05"/>
    <x v="6"/>
    <s v="COD"/>
    <x v="2"/>
    <n v="26.649000000000001"/>
  </r>
  <r>
    <s v="ORD-100480"/>
    <s v="28 Aug 2025"/>
    <x v="328"/>
    <x v="76"/>
    <s v="kabir.thomas42@company.co"/>
    <x v="2"/>
    <x v="2"/>
    <x v="2"/>
    <x v="14"/>
    <n v="5"/>
    <n v="4.0599999999999996"/>
    <n v="0"/>
    <n v="4.28"/>
    <x v="6"/>
    <s v="Debit Card"/>
    <x v="3"/>
    <n v="20.299999999999997"/>
  </r>
  <r>
    <s v="ORD-100567"/>
    <s v="07/07/24"/>
    <x v="524"/>
    <x v="362"/>
    <s v="advait.williams3@outlook.com"/>
    <x v="0"/>
    <x v="8"/>
    <x v="2"/>
    <x v="2"/>
    <n v="1"/>
    <n v="14.67"/>
    <n v="0.1"/>
    <n v="11.14"/>
    <x v="5"/>
    <s v="Not Known"/>
    <x v="1"/>
    <n v="13.202999999999999"/>
  </r>
  <r>
    <s v="ORD-100116"/>
    <s v="20 Nov 2025"/>
    <x v="165"/>
    <x v="335"/>
    <s v="ishaan.jackson53@gmail.com"/>
    <x v="3"/>
    <x v="4"/>
    <x v="0"/>
    <x v="0"/>
    <n v="1"/>
    <n v="40.72"/>
    <n v="0.05"/>
    <n v="3.63"/>
    <x v="2"/>
    <s v="COD"/>
    <x v="1"/>
    <n v="38.683999999999997"/>
  </r>
  <r>
    <s v="ORD-101151"/>
    <s v="03/24/2024"/>
    <x v="307"/>
    <x v="195"/>
    <s v="Not Known"/>
    <x v="1"/>
    <x v="6"/>
    <x v="1"/>
    <x v="15"/>
    <n v="1"/>
    <n v="9.36"/>
    <n v="0"/>
    <n v="14.58"/>
    <x v="1"/>
    <s v="Debit Card"/>
    <x v="1"/>
    <n v="9.36"/>
  </r>
  <r>
    <s v="ORD-100653"/>
    <s v="2024-08-10"/>
    <x v="2"/>
    <x v="211"/>
    <s v="zara.sharma24@yahoo.com"/>
    <x v="2"/>
    <x v="1"/>
    <x v="3"/>
    <x v="5"/>
    <n v="1"/>
    <n v="115.39"/>
    <n v="0.1"/>
    <n v="2.25"/>
    <x v="4"/>
    <s v="Credit Card"/>
    <x v="2"/>
    <n v="103.851"/>
  </r>
  <r>
    <s v="ORD-101215"/>
    <s v="July 01, 2025"/>
    <x v="525"/>
    <x v="88"/>
    <s v="noah.clark12@company.co"/>
    <x v="1"/>
    <x v="1"/>
    <x v="4"/>
    <x v="8"/>
    <n v="2"/>
    <n v="14.97"/>
    <n v="0"/>
    <n v="0"/>
    <x v="5"/>
    <s v="Not Known"/>
    <x v="3"/>
    <n v="29.94"/>
  </r>
  <r>
    <s v="ORD-101345"/>
    <s v="05/25/2024"/>
    <x v="450"/>
    <x v="121"/>
    <s v="ishaan.miller64@outlook.com"/>
    <x v="4"/>
    <x v="1"/>
    <x v="4"/>
    <x v="12"/>
    <n v="2"/>
    <n v="12.97"/>
    <n v="0"/>
    <n v="5.97"/>
    <x v="6"/>
    <s v="Debit Card"/>
    <x v="2"/>
    <n v="25.94"/>
  </r>
  <r>
    <s v="ORD-100757"/>
    <s v="20 Dec 2025"/>
    <x v="526"/>
    <x v="278"/>
    <s v="noah.nair82@company.co"/>
    <x v="4"/>
    <x v="1"/>
    <x v="0"/>
    <x v="17"/>
    <n v="1"/>
    <n v="44.26"/>
    <n v="0"/>
    <n v="12.35"/>
    <x v="5"/>
    <s v="COD"/>
    <x v="1"/>
    <n v="44.26"/>
  </r>
  <r>
    <s v="ORD-100444"/>
    <s v="05 Apr 2024"/>
    <x v="85"/>
    <x v="161"/>
    <s v="noah.jackson62@outlook.com"/>
    <x v="2"/>
    <x v="1"/>
    <x v="4"/>
    <x v="18"/>
    <n v="1"/>
    <n v="29.46"/>
    <n v="0.1"/>
    <n v="12.23"/>
    <x v="2"/>
    <s v="Credit Card"/>
    <x v="2"/>
    <n v="26.514000000000003"/>
  </r>
  <r>
    <s v="ORD-101130"/>
    <s v="October 02, 2024"/>
    <x v="527"/>
    <x v="66"/>
    <s v="olivia.gupta29@yahoo.com"/>
    <x v="2"/>
    <x v="1"/>
    <x v="2"/>
    <x v="10"/>
    <n v="2"/>
    <n v="3.18"/>
    <n v="0"/>
    <n v="1.0900000000000001"/>
    <x v="1"/>
    <s v="COD"/>
    <x v="2"/>
    <n v="6.36"/>
  </r>
  <r>
    <s v="ORD-100120"/>
    <s v="09/20/2025"/>
    <x v="50"/>
    <x v="319"/>
    <s v="sophia.reddy95@company.co"/>
    <x v="4"/>
    <x v="5"/>
    <x v="2"/>
    <x v="2"/>
    <n v="4"/>
    <n v="13.52"/>
    <n v="0.05"/>
    <n v="5.83"/>
    <x v="1"/>
    <s v="Credit Card"/>
    <x v="3"/>
    <n v="51.375999999999998"/>
  </r>
  <r>
    <s v="ORD-101196"/>
    <s v="11 Mar 2025"/>
    <x v="321"/>
    <x v="329"/>
    <s v="ella.johnson35@outlook.com"/>
    <x v="2"/>
    <x v="1"/>
    <x v="1"/>
    <x v="13"/>
    <n v="5"/>
    <n v="197.69"/>
    <n v="0.15"/>
    <n v="13.04"/>
    <x v="6"/>
    <s v="Not Known"/>
    <x v="2"/>
    <n v="840.1825"/>
  </r>
  <r>
    <s v="ORD-101245"/>
    <s v="05/28/24"/>
    <x v="387"/>
    <x v="195"/>
    <s v="ethan.wilson24@outlook.com"/>
    <x v="2"/>
    <x v="1"/>
    <x v="1"/>
    <x v="20"/>
    <n v="5"/>
    <n v="18.57"/>
    <n v="0.05"/>
    <n v="9.66"/>
    <x v="3"/>
    <s v="Credit Card"/>
    <x v="1"/>
    <n v="88.207499999999996"/>
  </r>
  <r>
    <s v="ORD-101087"/>
    <s v="23 Sep 2025"/>
    <x v="528"/>
    <x v="80"/>
    <s v="ethan.reddy64@outlook.com"/>
    <x v="1"/>
    <x v="6"/>
    <x v="3"/>
    <x v="9"/>
    <n v="2"/>
    <n v="89.26"/>
    <n v="0.15"/>
    <n v="6.11"/>
    <x v="6"/>
    <s v="Credit Card"/>
    <x v="1"/>
    <n v="151.74200000000002"/>
  </r>
  <r>
    <s v="ORD-100062"/>
    <s v="10/20/25"/>
    <x v="529"/>
    <x v="345"/>
    <s v="chloe.jackson73@company.co"/>
    <x v="4"/>
    <x v="1"/>
    <x v="3"/>
    <x v="11"/>
    <n v="1"/>
    <n v="240.87"/>
    <n v="0"/>
    <n v="14.56"/>
    <x v="4"/>
    <s v="Credit Card"/>
    <x v="2"/>
    <n v="240.87"/>
  </r>
  <r>
    <s v="ORD-100743"/>
    <s v="08/17/25"/>
    <x v="312"/>
    <x v="70"/>
    <s v="sophia.harris84@company.co"/>
    <x v="0"/>
    <x v="0"/>
    <x v="4"/>
    <x v="12"/>
    <n v="1"/>
    <n v="13.48"/>
    <n v="0"/>
    <n v="0.79"/>
    <x v="2"/>
    <s v="Bank Transfer"/>
    <x v="2"/>
    <n v="13.48"/>
  </r>
  <r>
    <s v="ORD-100997"/>
    <s v="07/01/2025"/>
    <x v="525"/>
    <x v="249"/>
    <s v="chloe.gupta53@company.co"/>
    <x v="0"/>
    <x v="8"/>
    <x v="3"/>
    <x v="5"/>
    <n v="2"/>
    <n v="112.41"/>
    <n v="0.1"/>
    <n v="11.35"/>
    <x v="2"/>
    <s v="Not Known"/>
    <x v="2"/>
    <n v="202.33799999999999"/>
  </r>
  <r>
    <s v="ORD-100453"/>
    <s v="04/26/25"/>
    <x v="483"/>
    <x v="125"/>
    <s v="sophia.williams24@company.co"/>
    <x v="1"/>
    <x v="1"/>
    <x v="4"/>
    <x v="18"/>
    <n v="1"/>
    <n v="28.58"/>
    <n v="0"/>
    <n v="10.48"/>
    <x v="0"/>
    <s v="Debit Card"/>
    <x v="1"/>
    <n v="28.58"/>
  </r>
  <r>
    <s v="ORD-101360"/>
    <s v="2024-11-08"/>
    <x v="130"/>
    <x v="34"/>
    <s v="kabir.gupta51@outlook.com"/>
    <x v="0"/>
    <x v="9"/>
    <x v="0"/>
    <x v="16"/>
    <n v="2"/>
    <n v="21.5"/>
    <n v="0"/>
    <n v="2.34"/>
    <x v="4"/>
    <s v="Not Known"/>
    <x v="2"/>
    <n v="43"/>
  </r>
  <r>
    <s v="ORD-100926"/>
    <s v="01/19/2025"/>
    <x v="160"/>
    <x v="139"/>
    <s v="rohan.davis15@outlook.com"/>
    <x v="4"/>
    <x v="1"/>
    <x v="4"/>
    <x v="6"/>
    <n v="2"/>
    <n v="61.48"/>
    <n v="0"/>
    <n v="10.28"/>
    <x v="0"/>
    <s v="Bank Transfer"/>
    <x v="1"/>
    <n v="122.96"/>
  </r>
  <r>
    <s v="ORD-100515"/>
    <s v="2024-03-27"/>
    <x v="47"/>
    <x v="169"/>
    <s v="emma.sharma39@outlook.com"/>
    <x v="4"/>
    <x v="11"/>
    <x v="2"/>
    <x v="4"/>
    <n v="5"/>
    <n v="6.81"/>
    <n v="0.05"/>
    <n v="5.76"/>
    <x v="6"/>
    <s v="Not Known"/>
    <x v="1"/>
    <n v="32.347499999999997"/>
  </r>
  <r>
    <s v="ORD-100570"/>
    <s v="03-02-2025"/>
    <x v="259"/>
    <x v="161"/>
    <s v="noah.jackson87@hotmail.com"/>
    <x v="3"/>
    <x v="7"/>
    <x v="0"/>
    <x v="17"/>
    <n v="3"/>
    <n v="44.29"/>
    <n v="0.05"/>
    <n v="0"/>
    <x v="5"/>
    <s v="COD"/>
    <x v="2"/>
    <n v="126.2265"/>
  </r>
  <r>
    <s v="ORD-100223"/>
    <s v="2024-07-09"/>
    <x v="246"/>
    <x v="260"/>
    <s v="lily.white3@gmail.com"/>
    <x v="1"/>
    <x v="1"/>
    <x v="3"/>
    <x v="21"/>
    <n v="5"/>
    <n v="130.77000000000001"/>
    <n v="0.1"/>
    <n v="10.73"/>
    <x v="6"/>
    <s v="Credit Card"/>
    <x v="2"/>
    <n v="588.46500000000003"/>
  </r>
  <r>
    <s v="ORD-101067"/>
    <s v="2024-06-25"/>
    <x v="338"/>
    <x v="184"/>
    <s v="zara.thomas68@gmail.com"/>
    <x v="3"/>
    <x v="7"/>
    <x v="0"/>
    <x v="16"/>
    <n v="1"/>
    <n v="22.97"/>
    <n v="0"/>
    <n v="12.11"/>
    <x v="1"/>
    <s v="Credit Card"/>
    <x v="0"/>
    <n v="22.97"/>
  </r>
  <r>
    <s v="ORD-100613"/>
    <s v="August 02, 2024"/>
    <x v="54"/>
    <x v="150"/>
    <s v="kabir.jackson21@outlook.com"/>
    <x v="2"/>
    <x v="2"/>
    <x v="3"/>
    <x v="9"/>
    <n v="3"/>
    <n v="91.83"/>
    <n v="0.05"/>
    <n v="9.7200000000000006"/>
    <x v="7"/>
    <s v="Not Known"/>
    <x v="0"/>
    <n v="261.71550000000002"/>
  </r>
  <r>
    <s v="ORD-100843"/>
    <s v="February 24, 2024"/>
    <x v="398"/>
    <x v="294"/>
    <s v="ava.iyer55@outlook.com"/>
    <x v="2"/>
    <x v="2"/>
    <x v="0"/>
    <x v="22"/>
    <n v="4"/>
    <n v="80.099999999999994"/>
    <n v="0.15"/>
    <n v="13.19"/>
    <x v="5"/>
    <s v="Debit Card"/>
    <x v="2"/>
    <n v="272.33999999999997"/>
  </r>
  <r>
    <s v="ORD-100221"/>
    <s v="2024-11-02"/>
    <x v="530"/>
    <x v="87"/>
    <s v="noah.anderson62@company.co"/>
    <x v="2"/>
    <x v="2"/>
    <x v="4"/>
    <x v="8"/>
    <n v="1"/>
    <n v="14.48"/>
    <n v="0"/>
    <n v="4.3899999999999997"/>
    <x v="1"/>
    <s v="Not Known"/>
    <x v="2"/>
    <n v="14.48"/>
  </r>
  <r>
    <s v="ORD-101010"/>
    <s v="08/14/2025"/>
    <x v="461"/>
    <x v="208"/>
    <s v="kabir.davis29@gmail.com"/>
    <x v="2"/>
    <x v="1"/>
    <x v="4"/>
    <x v="12"/>
    <n v="1"/>
    <n v="12.62"/>
    <n v="0"/>
    <n v="4.3899999999999997"/>
    <x v="5"/>
    <s v="Credit Card"/>
    <x v="2"/>
    <n v="12.62"/>
  </r>
  <r>
    <s v="ORD-100516"/>
    <s v="10-12-2024"/>
    <x v="531"/>
    <x v="196"/>
    <s v="olivia.moore78@outlook.com"/>
    <x v="2"/>
    <x v="1"/>
    <x v="2"/>
    <x v="14"/>
    <n v="4"/>
    <n v="4.2"/>
    <n v="0"/>
    <n v="3.25"/>
    <x v="6"/>
    <s v="PayPal"/>
    <x v="1"/>
    <n v="16.8"/>
  </r>
  <r>
    <s v="ORD-100465"/>
    <s v="July 28, 2025"/>
    <x v="294"/>
    <x v="228"/>
    <s v="ella.davis2@hotmail.com"/>
    <x v="1"/>
    <x v="6"/>
    <x v="3"/>
    <x v="11"/>
    <n v="5"/>
    <n v="241.5"/>
    <n v="0.05"/>
    <n v="0"/>
    <x v="2"/>
    <s v="PayPal"/>
    <x v="0"/>
    <n v="1147.125"/>
  </r>
  <r>
    <s v="ORD-100052"/>
    <s v="August 31, 2024"/>
    <x v="488"/>
    <x v="208"/>
    <s v="kabir.davis46@gmail.com"/>
    <x v="0"/>
    <x v="0"/>
    <x v="1"/>
    <x v="7"/>
    <n v="1"/>
    <n v="43.51"/>
    <n v="0"/>
    <n v="0"/>
    <x v="0"/>
    <s v="Credit Card"/>
    <x v="2"/>
    <n v="43.51"/>
  </r>
  <r>
    <s v="ORD-101330"/>
    <s v="09/16/24"/>
    <x v="223"/>
    <x v="251"/>
    <s v="grace.kapoor17@hotmail.com"/>
    <x v="1"/>
    <x v="6"/>
    <x v="1"/>
    <x v="13"/>
    <n v="1"/>
    <n v="193.78"/>
    <n v="0.15"/>
    <n v="0"/>
    <x v="5"/>
    <s v="Debit Card"/>
    <x v="3"/>
    <n v="164.71299999999999"/>
  </r>
  <r>
    <s v="ORD-100485"/>
    <s v="07 Jan 2025"/>
    <x v="337"/>
    <x v="33"/>
    <s v="mia.jackson29@gmail.com"/>
    <x v="4"/>
    <x v="1"/>
    <x v="3"/>
    <x v="11"/>
    <n v="10"/>
    <n v="256.82"/>
    <n v="0.15"/>
    <n v="7.7"/>
    <x v="7"/>
    <s v="Credit Card"/>
    <x v="2"/>
    <n v="2182.9699999999998"/>
  </r>
  <r>
    <s v="ORD-100875"/>
    <s v="10-03-2024"/>
    <x v="532"/>
    <x v="244"/>
    <s v="ishaan.thomas22@hotmail.com"/>
    <x v="1"/>
    <x v="6"/>
    <x v="2"/>
    <x v="14"/>
    <n v="1"/>
    <n v="4.34"/>
    <n v="0"/>
    <n v="7.83"/>
    <x v="3"/>
    <s v="COD"/>
    <x v="2"/>
    <n v="4.34"/>
  </r>
  <r>
    <s v="ORD-101381"/>
    <s v="April 28, 2025"/>
    <x v="282"/>
    <x v="270"/>
    <s v="kabir.taylor85@yahoo.com"/>
    <x v="2"/>
    <x v="1"/>
    <x v="1"/>
    <x v="20"/>
    <n v="3"/>
    <n v="18.420000000000002"/>
    <n v="0.1"/>
    <n v="6.82"/>
    <x v="0"/>
    <s v="Credit Card"/>
    <x v="2"/>
    <n v="49.734000000000009"/>
  </r>
  <r>
    <s v="ORD-100818"/>
    <s v="2024-10-20"/>
    <x v="38"/>
    <x v="122"/>
    <s v="mia.brown63@gmail.com"/>
    <x v="4"/>
    <x v="5"/>
    <x v="4"/>
    <x v="12"/>
    <n v="1"/>
    <n v="13.4"/>
    <n v="0"/>
    <n v="3.99"/>
    <x v="1"/>
    <s v="Not Known"/>
    <x v="2"/>
    <n v="13.4"/>
  </r>
  <r>
    <s v="ORD-100386"/>
    <s v="2024-12-14"/>
    <x v="423"/>
    <x v="293"/>
    <s v="chloe.wilson60@company.co"/>
    <x v="2"/>
    <x v="1"/>
    <x v="4"/>
    <x v="18"/>
    <n v="2"/>
    <n v="31.09"/>
    <n v="0.05"/>
    <n v="6.43"/>
    <x v="7"/>
    <s v="Credit Card"/>
    <x v="2"/>
    <n v="59.070999999999998"/>
  </r>
  <r>
    <s v="ORD-100155"/>
    <s v="08/26/2025"/>
    <x v="533"/>
    <x v="140"/>
    <s v="noah.brown53@outlook.com"/>
    <x v="2"/>
    <x v="2"/>
    <x v="4"/>
    <x v="6"/>
    <n v="1"/>
    <n v="58.57"/>
    <n v="0"/>
    <n v="0"/>
    <x v="7"/>
    <s v="Not Known"/>
    <x v="2"/>
    <n v="58.57"/>
  </r>
  <r>
    <s v="ORD-101182"/>
    <s v="01 Feb 2024"/>
    <x v="278"/>
    <x v="114"/>
    <s v="advait.gupta86@gmail.com"/>
    <x v="3"/>
    <x v="4"/>
    <x v="4"/>
    <x v="6"/>
    <n v="3"/>
    <n v="59.05"/>
    <n v="0.05"/>
    <n v="10.5"/>
    <x v="7"/>
    <s v="PayPal"/>
    <x v="2"/>
    <n v="168.29249999999996"/>
  </r>
  <r>
    <s v="ORD-100600"/>
    <s v="12/23/2024"/>
    <x v="509"/>
    <x v="134"/>
    <s v="ella.reddy2@yahoo.com"/>
    <x v="1"/>
    <x v="6"/>
    <x v="1"/>
    <x v="13"/>
    <n v="4"/>
    <n v="181.14"/>
    <n v="0"/>
    <n v="0.99"/>
    <x v="3"/>
    <s v="Debit Card"/>
    <x v="1"/>
    <n v="724.56"/>
  </r>
  <r>
    <s v="ORD-101157"/>
    <s v="12/09/2024"/>
    <x v="534"/>
    <x v="140"/>
    <s v="noah.brown11@gmail.com"/>
    <x v="0"/>
    <x v="8"/>
    <x v="4"/>
    <x v="12"/>
    <n v="1"/>
    <n v="13.36"/>
    <n v="0.05"/>
    <n v="0"/>
    <x v="7"/>
    <s v="COD"/>
    <x v="2"/>
    <n v="12.691999999999998"/>
  </r>
  <r>
    <s v="ORD-100248"/>
    <s v="07-11-2024"/>
    <x v="300"/>
    <x v="8"/>
    <s v="ethan.kapoor51@yahoo.com"/>
    <x v="2"/>
    <x v="1"/>
    <x v="2"/>
    <x v="2"/>
    <n v="1"/>
    <n v="14.05"/>
    <n v="0"/>
    <n v="4.42"/>
    <x v="6"/>
    <s v="COD"/>
    <x v="2"/>
    <n v="14.05"/>
  </r>
  <r>
    <s v="ORD-100761"/>
    <s v="23 Feb 2024"/>
    <x v="229"/>
    <x v="113"/>
    <s v="ishaan.brown46@outlook.com"/>
    <x v="2"/>
    <x v="1"/>
    <x v="1"/>
    <x v="13"/>
    <n v="1"/>
    <n v="183.42"/>
    <n v="0.15"/>
    <n v="6.54"/>
    <x v="5"/>
    <s v="Debit Card"/>
    <x v="2"/>
    <n v="155.90699999999998"/>
  </r>
  <r>
    <s v="ORD-100870"/>
    <s v="11/27/2025"/>
    <x v="535"/>
    <x v="339"/>
    <s v="kabir.johnson89@company.co"/>
    <x v="1"/>
    <x v="6"/>
    <x v="0"/>
    <x v="17"/>
    <n v="5"/>
    <n v="43.08"/>
    <n v="0.05"/>
    <n v="3.27"/>
    <x v="1"/>
    <s v="Bank Transfer"/>
    <x v="3"/>
    <n v="204.62999999999997"/>
  </r>
  <r>
    <s v="ORD-100855"/>
    <s v="17 Mar 2024"/>
    <x v="500"/>
    <x v="69"/>
    <s v="grace.iyer76@company.co"/>
    <x v="1"/>
    <x v="1"/>
    <x v="3"/>
    <x v="21"/>
    <n v="4"/>
    <n v="130.4"/>
    <n v="0"/>
    <n v="13.22"/>
    <x v="0"/>
    <s v="COD"/>
    <x v="0"/>
    <n v="521.6"/>
  </r>
  <r>
    <s v="ORD-101125"/>
    <s v="08/01/24"/>
    <x v="536"/>
    <x v="3"/>
    <s v="rohan.wilson96@company.co"/>
    <x v="0"/>
    <x v="9"/>
    <x v="3"/>
    <x v="5"/>
    <n v="1"/>
    <n v="112.27"/>
    <n v="0"/>
    <n v="12.45"/>
    <x v="4"/>
    <s v="Bank Transfer"/>
    <x v="0"/>
    <n v="112.27"/>
  </r>
  <r>
    <s v="ORD-100441"/>
    <s v="February 14, 2025"/>
    <x v="239"/>
    <x v="362"/>
    <s v="advait.williams50@company.co"/>
    <x v="0"/>
    <x v="0"/>
    <x v="1"/>
    <x v="1"/>
    <n v="5"/>
    <n v="33.909999999999997"/>
    <n v="0"/>
    <n v="0.05"/>
    <x v="1"/>
    <s v="Bank Transfer"/>
    <x v="2"/>
    <n v="169.54999999999998"/>
  </r>
  <r>
    <s v="ORD-101319"/>
    <s v="22 Aug 2025"/>
    <x v="152"/>
    <x v="208"/>
    <s v="kabir.davis14@company.co"/>
    <x v="2"/>
    <x v="1"/>
    <x v="1"/>
    <x v="15"/>
    <n v="1"/>
    <n v="9.66"/>
    <n v="0"/>
    <n v="8.51"/>
    <x v="2"/>
    <s v="Not Known"/>
    <x v="0"/>
    <n v="9.66"/>
  </r>
  <r>
    <s v="ORD-101334"/>
    <s v="June 02, 2024"/>
    <x v="408"/>
    <x v="33"/>
    <s v="mia.jackson60@outlook.com"/>
    <x v="2"/>
    <x v="1"/>
    <x v="1"/>
    <x v="20"/>
    <n v="5"/>
    <n v="18.14"/>
    <n v="0.1"/>
    <n v="2.2799999999999998"/>
    <x v="7"/>
    <s v="COD"/>
    <x v="2"/>
    <n v="81.63000000000001"/>
  </r>
  <r>
    <s v="ORD-100542"/>
    <s v="07/22/25"/>
    <x v="537"/>
    <x v="193"/>
    <s v="chloe.taylor66@company.co"/>
    <x v="3"/>
    <x v="7"/>
    <x v="1"/>
    <x v="7"/>
    <n v="5"/>
    <n v="42.8"/>
    <n v="0"/>
    <n v="0"/>
    <x v="5"/>
    <s v="Debit Card"/>
    <x v="2"/>
    <n v="214"/>
  </r>
  <r>
    <s v="ORD-100793"/>
    <s v="June 16, 2025"/>
    <x v="109"/>
    <x v="244"/>
    <s v="ishaan.thomas37@gmail.com"/>
    <x v="0"/>
    <x v="8"/>
    <x v="2"/>
    <x v="4"/>
    <n v="1"/>
    <n v="6.39"/>
    <n v="0"/>
    <n v="8.8000000000000007"/>
    <x v="3"/>
    <s v="Credit Card"/>
    <x v="2"/>
    <n v="6.39"/>
  </r>
  <r>
    <s v="ORD-100951"/>
    <s v="07 Sep 2025"/>
    <x v="538"/>
    <x v="152"/>
    <s v="chloe.reddy29@outlook.com"/>
    <x v="0"/>
    <x v="8"/>
    <x v="3"/>
    <x v="5"/>
    <n v="5"/>
    <n v="113.22"/>
    <n v="0.1"/>
    <n v="12.72"/>
    <x v="1"/>
    <s v="Bank Transfer"/>
    <x v="2"/>
    <n v="509.49"/>
  </r>
  <r>
    <s v="ORD-100701"/>
    <s v="02/09/2025"/>
    <x v="539"/>
    <x v="161"/>
    <s v="noah.jackson39@yahoo.com"/>
    <x v="0"/>
    <x v="8"/>
    <x v="5"/>
    <x v="5"/>
    <n v="2"/>
    <n v="106.69"/>
    <n v="0.1"/>
    <n v="0"/>
    <x v="1"/>
    <s v="Debit Card"/>
    <x v="3"/>
    <n v="192.042"/>
  </r>
  <r>
    <s v="ORD-100117"/>
    <s v="04/21/2024"/>
    <x v="214"/>
    <x v="329"/>
    <s v="ella.johnson11@hotmail.com"/>
    <x v="2"/>
    <x v="2"/>
    <x v="0"/>
    <x v="16"/>
    <n v="10"/>
    <n v="22.69"/>
    <n v="0.1"/>
    <n v="2.5"/>
    <x v="6"/>
    <s v="Bank Transfer"/>
    <x v="1"/>
    <n v="204.21"/>
  </r>
  <r>
    <s v="ORD-101056"/>
    <s v="September 21, 2024"/>
    <x v="235"/>
    <x v="42"/>
    <s v="Not Known"/>
    <x v="0"/>
    <x v="0"/>
    <x v="4"/>
    <x v="6"/>
    <n v="1"/>
    <n v="57.15"/>
    <n v="0"/>
    <n v="14.99"/>
    <x v="1"/>
    <s v="Bank Transfer"/>
    <x v="2"/>
    <n v="57.15"/>
  </r>
  <r>
    <s v="ORD-100628"/>
    <s v="11-07-2024"/>
    <x v="371"/>
    <x v="265"/>
    <s v="ava.taylor50@gmail.com"/>
    <x v="3"/>
    <x v="3"/>
    <x v="1"/>
    <x v="7"/>
    <n v="1"/>
    <n v="43.65"/>
    <n v="0"/>
    <n v="0"/>
    <x v="7"/>
    <s v="COD"/>
    <x v="2"/>
    <n v="43.65"/>
  </r>
  <r>
    <s v="ORD-100150"/>
    <s v="16 Apr 2024"/>
    <x v="117"/>
    <x v="127"/>
    <s v="arjun.johnson73@hotmail.com"/>
    <x v="2"/>
    <x v="2"/>
    <x v="2"/>
    <x v="14"/>
    <n v="1"/>
    <n v="4.3499999999999996"/>
    <n v="0.1"/>
    <n v="1.17"/>
    <x v="4"/>
    <s v="PayPal"/>
    <x v="2"/>
    <n v="3.9149999999999996"/>
  </r>
  <r>
    <s v="ORD-100206"/>
    <s v="02/23/2024"/>
    <x v="229"/>
    <x v="273"/>
    <s v="advait.reddy91@hotmail.com"/>
    <x v="2"/>
    <x v="1"/>
    <x v="2"/>
    <x v="3"/>
    <n v="1"/>
    <n v="8.02"/>
    <n v="0.05"/>
    <n v="0.08"/>
    <x v="5"/>
    <s v="Not Known"/>
    <x v="2"/>
    <n v="7.6189999999999989"/>
  </r>
  <r>
    <s v="ORD-100291"/>
    <s v="04 Feb 2024"/>
    <x v="540"/>
    <x v="272"/>
    <s v="grace.johnson65@company.co"/>
    <x v="4"/>
    <x v="11"/>
    <x v="4"/>
    <x v="18"/>
    <n v="1"/>
    <n v="31.17"/>
    <n v="0"/>
    <n v="12.15"/>
    <x v="5"/>
    <s v="Debit Card"/>
    <x v="2"/>
    <n v="31.17"/>
  </r>
  <r>
    <s v="ORD-101271"/>
    <s v="11/21/2025"/>
    <x v="373"/>
    <x v="309"/>
    <s v="lily.reddy10@yahoo.com"/>
    <x v="4"/>
    <x v="11"/>
    <x v="3"/>
    <x v="11"/>
    <n v="4"/>
    <n v="252.21"/>
    <n v="0"/>
    <n v="6.6"/>
    <x v="7"/>
    <s v="Credit Card"/>
    <x v="2"/>
    <n v="1008.84"/>
  </r>
  <r>
    <s v="ORD-100381"/>
    <s v="July 12, 2024"/>
    <x v="457"/>
    <x v="318"/>
    <s v="lily.thomas76@gmail.com"/>
    <x v="1"/>
    <x v="1"/>
    <x v="2"/>
    <x v="14"/>
    <n v="3"/>
    <n v="4.26"/>
    <n v="0.15"/>
    <n v="4.92"/>
    <x v="6"/>
    <s v="COD"/>
    <x v="3"/>
    <n v="10.863"/>
  </r>
  <r>
    <s v="ORD-100819"/>
    <s v="11/07/2025"/>
    <x v="31"/>
    <x v="363"/>
    <s v="lily.jackson56@outlook.com"/>
    <x v="0"/>
    <x v="8"/>
    <x v="2"/>
    <x v="2"/>
    <n v="2"/>
    <n v="14.24"/>
    <n v="0"/>
    <n v="0.76"/>
    <x v="3"/>
    <s v="Not Known"/>
    <x v="2"/>
    <n v="28.48"/>
  </r>
  <r>
    <s v="ORD-100686"/>
    <s v="07 Jun 2025"/>
    <x v="451"/>
    <x v="73"/>
    <s v="daniel.moore61@outlook.com"/>
    <x v="3"/>
    <x v="4"/>
    <x v="2"/>
    <x v="4"/>
    <n v="2"/>
    <n v="6.42"/>
    <n v="0.05"/>
    <n v="12.59"/>
    <x v="2"/>
    <s v="Debit Card"/>
    <x v="0"/>
    <n v="12.197999999999999"/>
  </r>
  <r>
    <s v="ORD-101109"/>
    <s v="2025-06-23"/>
    <x v="541"/>
    <x v="82"/>
    <s v="ella.iyer35@outlook.com"/>
    <x v="3"/>
    <x v="4"/>
    <x v="4"/>
    <x v="6"/>
    <n v="3"/>
    <n v="57.8"/>
    <n v="0"/>
    <n v="0.63"/>
    <x v="1"/>
    <s v="PayPal"/>
    <x v="1"/>
    <n v="173.39999999999998"/>
  </r>
  <r>
    <s v="ORD-100200"/>
    <s v="06/14/24"/>
    <x v="139"/>
    <x v="41"/>
    <s v="grace.taylor76@company.co"/>
    <x v="0"/>
    <x v="8"/>
    <x v="2"/>
    <x v="14"/>
    <n v="1"/>
    <n v="4.1900000000000004"/>
    <n v="0.05"/>
    <n v="3.66"/>
    <x v="2"/>
    <s v="Bank Transfer"/>
    <x v="2"/>
    <n v="3.9805000000000001"/>
  </r>
  <r>
    <s v="ORD-100596"/>
    <s v="04/05/2024"/>
    <x v="85"/>
    <x v="157"/>
    <s v="olivia.jackson16@company.co"/>
    <x v="1"/>
    <x v="6"/>
    <x v="1"/>
    <x v="13"/>
    <n v="2"/>
    <n v="180.97"/>
    <n v="0.1"/>
    <n v="10.87"/>
    <x v="5"/>
    <s v="Credit Card"/>
    <x v="2"/>
    <n v="325.74599999999998"/>
  </r>
  <r>
    <s v="ORD-100897"/>
    <s v="06/07/2025"/>
    <x v="451"/>
    <x v="280"/>
    <s v="olivia.white6@hotmail.com"/>
    <x v="4"/>
    <x v="1"/>
    <x v="5"/>
    <x v="14"/>
    <n v="10"/>
    <n v="4.22"/>
    <n v="0.15"/>
    <n v="11.82"/>
    <x v="5"/>
    <s v="Not Known"/>
    <x v="2"/>
    <n v="35.869999999999997"/>
  </r>
  <r>
    <s v="ORD-101224"/>
    <s v="05/15/24"/>
    <x v="176"/>
    <x v="283"/>
    <s v="Not Known"/>
    <x v="0"/>
    <x v="0"/>
    <x v="5"/>
    <x v="15"/>
    <n v="1"/>
    <n v="9.56"/>
    <n v="0.1"/>
    <n v="4.5"/>
    <x v="4"/>
    <s v="Credit Card"/>
    <x v="2"/>
    <n v="8.604000000000001"/>
  </r>
  <r>
    <s v="ORD-100854"/>
    <s v="04/02/24"/>
    <x v="34"/>
    <x v="247"/>
    <s v="advait.taylor91@company.co"/>
    <x v="3"/>
    <x v="4"/>
    <x v="3"/>
    <x v="11"/>
    <n v="3"/>
    <n v="259.97000000000003"/>
    <n v="0.15"/>
    <n v="4.45"/>
    <x v="2"/>
    <s v="Not Known"/>
    <x v="2"/>
    <n v="662.9235000000001"/>
  </r>
  <r>
    <s v="ORD-100824"/>
    <s v="21-01-2025"/>
    <x v="330"/>
    <x v="61"/>
    <s v="chloe.moore43@hotmail.com"/>
    <x v="3"/>
    <x v="3"/>
    <x v="3"/>
    <x v="5"/>
    <n v="2"/>
    <n v="104.98"/>
    <n v="0"/>
    <n v="6.9"/>
    <x v="7"/>
    <s v="Credit Card"/>
    <x v="3"/>
    <n v="209.96"/>
  </r>
  <r>
    <s v="ORD-101262"/>
    <s v="03-12-2024"/>
    <x v="217"/>
    <x v="364"/>
    <s v="mia.wilson71@hotmail.com"/>
    <x v="2"/>
    <x v="2"/>
    <x v="1"/>
    <x v="19"/>
    <n v="2"/>
    <n v="24.84"/>
    <n v="0"/>
    <n v="3.06"/>
    <x v="6"/>
    <s v="Bank Transfer"/>
    <x v="0"/>
    <n v="49.68"/>
  </r>
  <r>
    <m/>
    <m/>
    <x v="218"/>
    <x v="190"/>
    <s v="Not Known"/>
    <x v="5"/>
    <x v="10"/>
    <x v="5"/>
    <x v="23"/>
    <m/>
    <m/>
    <n v="0"/>
    <m/>
    <x v="3"/>
    <s v="Not Known"/>
    <x v="4"/>
    <m/>
  </r>
  <r>
    <s v="ORD-100891"/>
    <s v="16 Jul 2025"/>
    <x v="542"/>
    <x v="365"/>
    <s v="Not Known"/>
    <x v="4"/>
    <x v="10"/>
    <x v="1"/>
    <x v="20"/>
    <n v="1"/>
    <n v="19.05"/>
    <n v="0.05"/>
    <n v="8.35"/>
    <x v="4"/>
    <s v="Credit Card"/>
    <x v="2"/>
    <n v="18.0975"/>
  </r>
  <r>
    <s v="ORD-100856"/>
    <s v="2025-05-23"/>
    <x v="125"/>
    <x v="197"/>
    <s v="daniel.thomas47@hotmail.com"/>
    <x v="0"/>
    <x v="8"/>
    <x v="0"/>
    <x v="22"/>
    <n v="5"/>
    <n v="81.44"/>
    <n v="0"/>
    <n v="14.07"/>
    <x v="6"/>
    <s v="Credit Card"/>
    <x v="1"/>
    <n v="407.2"/>
  </r>
  <r>
    <s v="ORD-100615"/>
    <s v="03/18/2024"/>
    <x v="410"/>
    <x v="288"/>
    <s v="advait.harris90@yahoo.com"/>
    <x v="2"/>
    <x v="1"/>
    <x v="2"/>
    <x v="10"/>
    <n v="1"/>
    <n v="2.95"/>
    <n v="0.1"/>
    <n v="0"/>
    <x v="7"/>
    <s v="Not Known"/>
    <x v="3"/>
    <n v="2.6550000000000002"/>
  </r>
  <r>
    <s v="ORD-100154"/>
    <s v="04/03/24"/>
    <x v="40"/>
    <x v="72"/>
    <s v="chloe.brown34@company.co"/>
    <x v="0"/>
    <x v="9"/>
    <x v="2"/>
    <x v="4"/>
    <n v="2"/>
    <n v="6.19"/>
    <n v="0"/>
    <m/>
    <x v="7"/>
    <s v="PayPal"/>
    <x v="2"/>
    <n v="12.38"/>
  </r>
  <r>
    <s v="ORD-100315"/>
    <s v="2024-05-17"/>
    <x v="221"/>
    <x v="135"/>
    <s v="rohan.brown81@company.co"/>
    <x v="0"/>
    <x v="0"/>
    <x v="0"/>
    <x v="16"/>
    <n v="2"/>
    <n v="23.6"/>
    <n v="0"/>
    <n v="12.45"/>
    <x v="3"/>
    <s v="COD"/>
    <x v="2"/>
    <n v="47.2"/>
  </r>
  <r>
    <s v="ORD-100322"/>
    <s v="10/04/25"/>
    <x v="543"/>
    <x v="252"/>
    <s v="grace.reddy3@hotmail.com"/>
    <x v="0"/>
    <x v="0"/>
    <x v="3"/>
    <x v="9"/>
    <n v="3"/>
    <n v="88.4"/>
    <n v="0.05"/>
    <m/>
    <x v="1"/>
    <s v="COD"/>
    <x v="2"/>
    <n v="251.94000000000003"/>
  </r>
  <r>
    <s v="ORD-101116"/>
    <s v="11/17/2024"/>
    <x v="61"/>
    <x v="360"/>
    <s v="rohan.clark41@company.co"/>
    <x v="0"/>
    <x v="0"/>
    <x v="0"/>
    <x v="16"/>
    <n v="2"/>
    <n v="21.5"/>
    <n v="0.05"/>
    <n v="14.83"/>
    <x v="6"/>
    <s v="Not Known"/>
    <x v="2"/>
    <n v="40.85"/>
  </r>
  <r>
    <s v="ORD-100082"/>
    <s v="03/02/2024"/>
    <x v="544"/>
    <x v="293"/>
    <s v="chloe.wilson89@outlook.com"/>
    <x v="3"/>
    <x v="4"/>
    <x v="1"/>
    <x v="13"/>
    <n v="2"/>
    <n v="197.38"/>
    <n v="0.1"/>
    <n v="6.97"/>
    <x v="4"/>
    <s v="Bank Transfer"/>
    <x v="2"/>
    <n v="355.28399999999999"/>
  </r>
  <r>
    <s v="ORD-100512"/>
    <s v="2025-08-04"/>
    <x v="288"/>
    <x v="64"/>
    <s v="liam.clark69@company.co"/>
    <x v="1"/>
    <x v="6"/>
    <x v="3"/>
    <x v="11"/>
    <n v="2"/>
    <n v="245.09"/>
    <n v="0.05"/>
    <n v="0"/>
    <x v="1"/>
    <s v="Not Known"/>
    <x v="2"/>
    <n v="465.67099999999999"/>
  </r>
  <r>
    <s v="ORD-101309"/>
    <s v="12/20/2024"/>
    <x v="545"/>
    <x v="221"/>
    <s v="lily.johnson15@yahoo.com"/>
    <x v="2"/>
    <x v="2"/>
    <x v="4"/>
    <x v="18"/>
    <n v="1"/>
    <n v="31.34"/>
    <n v="0.1"/>
    <m/>
    <x v="6"/>
    <s v="COD"/>
    <x v="2"/>
    <n v="28.206"/>
  </r>
  <r>
    <s v="ORD-100929"/>
    <s v="2025-07-09"/>
    <x v="132"/>
    <x v="336"/>
    <s v="arjun.gupta45@gmail.com"/>
    <x v="0"/>
    <x v="9"/>
    <x v="4"/>
    <x v="6"/>
    <n v="1"/>
    <n v="58.9"/>
    <n v="0.15"/>
    <n v="2.0099999999999998"/>
    <x v="4"/>
    <s v="Bank Transfer"/>
    <x v="2"/>
    <n v="50.064999999999998"/>
  </r>
  <r>
    <s v="ORD-101180"/>
    <s v="June 04, 2024"/>
    <x v="332"/>
    <x v="79"/>
    <s v="mia.kapoor37@company.co"/>
    <x v="1"/>
    <x v="6"/>
    <x v="0"/>
    <x v="0"/>
    <n v="4"/>
    <n v="38.28"/>
    <n v="0"/>
    <n v="0.6"/>
    <x v="1"/>
    <s v="Debit Card"/>
    <x v="0"/>
    <n v="153.12"/>
  </r>
  <r>
    <s v="ORD-100010"/>
    <s v="2025-01-23"/>
    <x v="385"/>
    <x v="254"/>
    <s v="sophia.davis22@company.co"/>
    <x v="4"/>
    <x v="11"/>
    <x v="0"/>
    <x v="17"/>
    <n v="1"/>
    <n v="42.98"/>
    <n v="0"/>
    <m/>
    <x v="3"/>
    <s v="PayPal"/>
    <x v="1"/>
    <n v="42.98"/>
  </r>
  <r>
    <s v="ORD-100831"/>
    <s v="05/18/24"/>
    <x v="327"/>
    <x v="67"/>
    <s v="daniel.clark79@gmail.com"/>
    <x v="3"/>
    <x v="7"/>
    <x v="3"/>
    <x v="5"/>
    <n v="1"/>
    <n v="110.74"/>
    <n v="0.15"/>
    <n v="0.88"/>
    <x v="3"/>
    <s v="PayPal"/>
    <x v="2"/>
    <n v="94.128999999999991"/>
  </r>
  <r>
    <s v="ORD-100032"/>
    <s v="06/30/2025"/>
    <x v="546"/>
    <x v="165"/>
    <s v="Not Known"/>
    <x v="3"/>
    <x v="3"/>
    <x v="2"/>
    <x v="3"/>
    <n v="10"/>
    <n v="7.63"/>
    <n v="0.1"/>
    <n v="0"/>
    <x v="6"/>
    <s v="Bank Transfer"/>
    <x v="3"/>
    <n v="68.67"/>
  </r>
  <r>
    <s v="ORD-100413"/>
    <s v="10/10/25"/>
    <x v="309"/>
    <x v="90"/>
    <s v="sophia.iyer69@gmail.com"/>
    <x v="1"/>
    <x v="6"/>
    <x v="1"/>
    <x v="15"/>
    <n v="4"/>
    <n v="9.91"/>
    <n v="0.1"/>
    <n v="0"/>
    <x v="4"/>
    <s v="Not Known"/>
    <x v="2"/>
    <n v="35.676000000000002"/>
  </r>
  <r>
    <s v="ORD-100580"/>
    <s v="05/08/2025"/>
    <x v="547"/>
    <x v="366"/>
    <s v="arjun.kapoor68@company.co"/>
    <x v="0"/>
    <x v="0"/>
    <x v="0"/>
    <x v="16"/>
    <n v="3"/>
    <n v="22.45"/>
    <n v="0"/>
    <n v="0.21"/>
    <x v="5"/>
    <s v="PayPal"/>
    <x v="2"/>
    <n v="67.349999999999994"/>
  </r>
  <r>
    <s v="ORD-101118"/>
    <s v="November 14, 2025"/>
    <x v="11"/>
    <x v="56"/>
    <s v="liam.gupta81@gmail.com"/>
    <x v="2"/>
    <x v="1"/>
    <x v="0"/>
    <x v="17"/>
    <n v="5"/>
    <n v="46.63"/>
    <n v="0.1"/>
    <n v="5.01"/>
    <x v="5"/>
    <s v="Bank Transfer"/>
    <x v="2"/>
    <n v="209.83500000000001"/>
  </r>
  <r>
    <s v="ORD-101374"/>
    <s v="09-02-2024"/>
    <x v="548"/>
    <x v="342"/>
    <s v="aarav.davis37@gmail.com"/>
    <x v="3"/>
    <x v="3"/>
    <x v="2"/>
    <x v="10"/>
    <n v="4"/>
    <n v="2.99"/>
    <n v="0"/>
    <n v="6.77"/>
    <x v="5"/>
    <s v="Credit Card"/>
    <x v="0"/>
    <n v="11.96"/>
  </r>
  <r>
    <s v="ORD-100614"/>
    <s v="10/16/2025"/>
    <x v="74"/>
    <x v="122"/>
    <s v="mia.brown64@company.co"/>
    <x v="4"/>
    <x v="1"/>
    <x v="3"/>
    <x v="9"/>
    <n v="2"/>
    <n v="90.04"/>
    <n v="0.15"/>
    <n v="3.97"/>
    <x v="3"/>
    <s v="PayPal"/>
    <x v="0"/>
    <n v="153.06800000000001"/>
  </r>
  <r>
    <s v="ORD-101045"/>
    <s v="19 Dec 2024"/>
    <x v="367"/>
    <x v="367"/>
    <s v="rohan.moore35@company.co"/>
    <x v="4"/>
    <x v="5"/>
    <x v="2"/>
    <x v="4"/>
    <n v="10"/>
    <n v="6.75"/>
    <n v="0.05"/>
    <n v="2.95"/>
    <x v="7"/>
    <s v="Bank Transfer"/>
    <x v="3"/>
    <n v="64.125"/>
  </r>
  <r>
    <s v="ORD-101014"/>
    <s v="04/16/2025"/>
    <x v="515"/>
    <x v="276"/>
    <s v="grace.jackson4@gmail.com"/>
    <x v="2"/>
    <x v="1"/>
    <x v="3"/>
    <x v="9"/>
    <n v="3"/>
    <n v="88.42"/>
    <n v="0.1"/>
    <n v="6.96"/>
    <x v="4"/>
    <s v="Debit Card"/>
    <x v="3"/>
    <n v="238.73400000000001"/>
  </r>
  <r>
    <s v="ORD-100089"/>
    <s v="11/28/25"/>
    <x v="549"/>
    <x v="199"/>
    <s v="daniel.davis99@hotmail.com"/>
    <x v="4"/>
    <x v="1"/>
    <x v="0"/>
    <x v="22"/>
    <n v="10"/>
    <n v="83.97"/>
    <n v="0.1"/>
    <n v="9.15"/>
    <x v="1"/>
    <s v="Credit Card"/>
    <x v="3"/>
    <n v="755.73"/>
  </r>
  <r>
    <s v="ORD-101226"/>
    <s v="07/06/24"/>
    <x v="355"/>
    <x v="323"/>
    <s v="ava.jackson49@company.co"/>
    <x v="1"/>
    <x v="1"/>
    <x v="3"/>
    <x v="21"/>
    <n v="4"/>
    <n v="126.09"/>
    <n v="0.15"/>
    <n v="0.77"/>
    <x v="4"/>
    <s v="Debit Card"/>
    <x v="2"/>
    <n v="428.70600000000002"/>
  </r>
  <r>
    <s v="ORD-100601"/>
    <s v="08/07/2025"/>
    <x v="200"/>
    <x v="304"/>
    <s v="daniel.harris96@gmail.com"/>
    <x v="3"/>
    <x v="3"/>
    <x v="0"/>
    <x v="17"/>
    <n v="2"/>
    <n v="44.15"/>
    <n v="0"/>
    <n v="1.95"/>
    <x v="2"/>
    <s v="Credit Card"/>
    <x v="2"/>
    <n v="88.3"/>
  </r>
  <r>
    <s v="ORD-100133"/>
    <s v="2025-06-24"/>
    <x v="550"/>
    <x v="152"/>
    <s v="chloe.reddy10@company.co"/>
    <x v="0"/>
    <x v="0"/>
    <x v="0"/>
    <x v="0"/>
    <n v="1"/>
    <n v="40.98"/>
    <n v="0.05"/>
    <n v="1.98"/>
    <x v="7"/>
    <s v="PayPal"/>
    <x v="2"/>
    <n v="38.930999999999997"/>
  </r>
  <r>
    <s v="ORD-100555"/>
    <s v="08/05/2025"/>
    <x v="95"/>
    <x v="139"/>
    <s v="rohan.davis69@hotmail.com"/>
    <x v="0"/>
    <x v="9"/>
    <x v="1"/>
    <x v="13"/>
    <n v="3"/>
    <n v="187.24"/>
    <n v="0"/>
    <n v="9.69"/>
    <x v="0"/>
    <s v="Credit Card"/>
    <x v="0"/>
    <n v="561.72"/>
  </r>
  <r>
    <s v="ORD-101031"/>
    <s v="08/23/2025"/>
    <x v="283"/>
    <x v="168"/>
    <s v="lily.iyer13@company.co"/>
    <x v="2"/>
    <x v="2"/>
    <x v="3"/>
    <x v="11"/>
    <n v="4"/>
    <n v="238.18"/>
    <n v="0"/>
    <n v="1.1399999999999999"/>
    <x v="1"/>
    <s v="Credit Card"/>
    <x v="2"/>
    <n v="952.72"/>
  </r>
  <r>
    <s v="ORD-101131"/>
    <s v="03-05-2024"/>
    <x v="459"/>
    <x v="345"/>
    <s v="chloe.jackson52@outlook.com"/>
    <x v="2"/>
    <x v="1"/>
    <x v="4"/>
    <x v="6"/>
    <n v="1"/>
    <n v="59.14"/>
    <n v="0"/>
    <n v="0"/>
    <x v="2"/>
    <s v="Credit Card"/>
    <x v="2"/>
    <n v="59.14"/>
  </r>
  <r>
    <s v="ORD-100320"/>
    <s v="29-07-2024"/>
    <x v="551"/>
    <x v="67"/>
    <s v="daniel.clark87@company.co"/>
    <x v="2"/>
    <x v="1"/>
    <x v="4"/>
    <x v="12"/>
    <n v="1"/>
    <n v="13.62"/>
    <n v="0.1"/>
    <n v="11.47"/>
    <x v="4"/>
    <s v="Credit Card"/>
    <x v="3"/>
    <n v="12.257999999999999"/>
  </r>
  <r>
    <s v="ORD-101274"/>
    <s v="2024-03-31"/>
    <x v="262"/>
    <x v="276"/>
    <s v="grace.jackson39@company.co"/>
    <x v="2"/>
    <x v="2"/>
    <x v="3"/>
    <x v="21"/>
    <n v="1"/>
    <n v="125.97"/>
    <n v="0.05"/>
    <n v="11.5"/>
    <x v="1"/>
    <s v="Credit Card"/>
    <x v="2"/>
    <n v="119.67149999999999"/>
  </r>
  <r>
    <s v="ORD-101253"/>
    <s v="22-07-2025"/>
    <x v="537"/>
    <x v="195"/>
    <s v="ethan.wilson27@outlook.com"/>
    <x v="2"/>
    <x v="1"/>
    <x v="2"/>
    <x v="14"/>
    <n v="1"/>
    <n v="4.21"/>
    <n v="0"/>
    <n v="4.71"/>
    <x v="1"/>
    <s v="Not Known"/>
    <x v="2"/>
    <n v="4.21"/>
  </r>
  <r>
    <s v="ORD-100634"/>
    <s v="2025-03-25"/>
    <x v="13"/>
    <x v="12"/>
    <s v="noah.moore93@yahoo.com"/>
    <x v="0"/>
    <x v="9"/>
    <x v="4"/>
    <x v="18"/>
    <n v="4"/>
    <n v="31.19"/>
    <n v="0.1"/>
    <n v="12.65"/>
    <x v="0"/>
    <s v="Bank Transfer"/>
    <x v="2"/>
    <n v="112.28400000000001"/>
  </r>
  <r>
    <s v="ORD-100552"/>
    <s v="05/28/2025"/>
    <x v="377"/>
    <x v="333"/>
    <s v="ethan.thomas98@gmail.com"/>
    <x v="0"/>
    <x v="0"/>
    <x v="2"/>
    <x v="2"/>
    <n v="10"/>
    <n v="14.31"/>
    <n v="0"/>
    <n v="2.59"/>
    <x v="6"/>
    <s v="PayPal"/>
    <x v="2"/>
    <n v="143.1"/>
  </r>
  <r>
    <s v="ORD-101055"/>
    <s v="30-11-2024"/>
    <x v="121"/>
    <x v="241"/>
    <s v="arjun.harris31@gmail.com"/>
    <x v="0"/>
    <x v="9"/>
    <x v="2"/>
    <x v="3"/>
    <n v="1"/>
    <n v="7.87"/>
    <n v="0.05"/>
    <n v="9.02"/>
    <x v="6"/>
    <s v="Credit Card"/>
    <x v="3"/>
    <n v="7.4764999999999997"/>
  </r>
  <r>
    <s v="ORD-101124"/>
    <s v="19-09-2025"/>
    <x v="519"/>
    <x v="1"/>
    <s v="grace.thomas18@gmail.com"/>
    <x v="3"/>
    <x v="7"/>
    <x v="4"/>
    <x v="6"/>
    <n v="1"/>
    <n v="60.44"/>
    <n v="0.05"/>
    <n v="7.48"/>
    <x v="1"/>
    <s v="Not Known"/>
    <x v="2"/>
    <n v="57.417999999999992"/>
  </r>
  <r>
    <s v="ORD-100796"/>
    <s v="05/10/2025"/>
    <x v="552"/>
    <x v="345"/>
    <s v="chloe.jackson35@outlook.com"/>
    <x v="3"/>
    <x v="7"/>
    <x v="4"/>
    <x v="12"/>
    <n v="1"/>
    <n v="13.2"/>
    <n v="0.15"/>
    <n v="8.57"/>
    <x v="6"/>
    <s v="PayPal"/>
    <x v="2"/>
    <n v="11.219999999999999"/>
  </r>
  <r>
    <s v="ORD-101202"/>
    <s v="22-01-2024"/>
    <x v="553"/>
    <x v="356"/>
    <s v="arjun.williams59@hotmail.com"/>
    <x v="0"/>
    <x v="9"/>
    <x v="0"/>
    <x v="0"/>
    <n v="1"/>
    <n v="41.82"/>
    <n v="0"/>
    <n v="10.08"/>
    <x v="7"/>
    <s v="Credit Card"/>
    <x v="2"/>
    <n v="41.82"/>
  </r>
  <r>
    <s v="ORD-100174"/>
    <s v="05-04-2024"/>
    <x v="85"/>
    <x v="97"/>
    <s v="noah.davis94@hotmail.com"/>
    <x v="0"/>
    <x v="0"/>
    <x v="3"/>
    <x v="5"/>
    <n v="1"/>
    <n v="112.62"/>
    <n v="0"/>
    <n v="1.71"/>
    <x v="7"/>
    <s v="Debit Card"/>
    <x v="3"/>
    <n v="112.62"/>
  </r>
  <r>
    <s v="ORD-100766"/>
    <s v="11/29/24"/>
    <x v="554"/>
    <x v="57"/>
    <s v="ava.miller29@yahoo.com"/>
    <x v="3"/>
    <x v="3"/>
    <x v="4"/>
    <x v="12"/>
    <n v="1"/>
    <n v="12.93"/>
    <n v="0.05"/>
    <n v="5.43"/>
    <x v="1"/>
    <s v="Bank Transfer"/>
    <x v="2"/>
    <n v="12.283499999999998"/>
  </r>
  <r>
    <s v="ORD-100245"/>
    <s v="23-09-2025"/>
    <x v="528"/>
    <x v="113"/>
    <s v="ishaan.brown79@gmail.com"/>
    <x v="4"/>
    <x v="11"/>
    <x v="4"/>
    <x v="6"/>
    <n v="2"/>
    <n v="58.81"/>
    <n v="0"/>
    <n v="3.46"/>
    <x v="1"/>
    <s v="Credit Card"/>
    <x v="2"/>
    <n v="117.62"/>
  </r>
  <r>
    <s v="ORD-101252"/>
    <s v="November 26, 2024"/>
    <x v="245"/>
    <x v="368"/>
    <s v="daniel.brown24@hotmail.com"/>
    <x v="1"/>
    <x v="6"/>
    <x v="3"/>
    <x v="11"/>
    <n v="1"/>
    <n v="251.58"/>
    <n v="0.15"/>
    <n v="12.65"/>
    <x v="0"/>
    <s v="Not Known"/>
    <x v="2"/>
    <n v="213.84300000000002"/>
  </r>
  <r>
    <s v="ORD-100145"/>
    <s v="2025-05-05"/>
    <x v="151"/>
    <x v="78"/>
    <s v="lily.nair71@company.co"/>
    <x v="2"/>
    <x v="2"/>
    <x v="2"/>
    <x v="14"/>
    <n v="1"/>
    <n v="4.1500000000000004"/>
    <n v="0"/>
    <n v="2.06"/>
    <x v="1"/>
    <s v="COD"/>
    <x v="2"/>
    <n v="4.1500000000000004"/>
  </r>
  <r>
    <s v="ORD-100090"/>
    <s v="November 23, 2025"/>
    <x v="555"/>
    <x v="296"/>
    <s v="chloe.anderson74@outlook.com"/>
    <x v="3"/>
    <x v="3"/>
    <x v="3"/>
    <x v="9"/>
    <n v="5"/>
    <n v="90.82"/>
    <n v="0.15"/>
    <n v="5.92"/>
    <x v="4"/>
    <s v="Not Known"/>
    <x v="2"/>
    <n v="385.98499999999996"/>
  </r>
  <r>
    <s v="ORD-100682"/>
    <s v="2025-07-27"/>
    <x v="438"/>
    <x v="147"/>
    <s v="kabir.white15@yahoo.com"/>
    <x v="4"/>
    <x v="5"/>
    <x v="2"/>
    <x v="14"/>
    <n v="3"/>
    <n v="4.2300000000000004"/>
    <n v="0"/>
    <n v="4.51"/>
    <x v="7"/>
    <s v="Credit Card"/>
    <x v="0"/>
    <n v="12.690000000000001"/>
  </r>
  <r>
    <s v="ORD-100310"/>
    <s v="07/08/24"/>
    <x v="241"/>
    <x v="223"/>
    <s v="aarav.brown26@yahoo.com"/>
    <x v="1"/>
    <x v="1"/>
    <x v="4"/>
    <x v="12"/>
    <n v="1"/>
    <n v="13.52"/>
    <n v="0.1"/>
    <n v="0"/>
    <x v="2"/>
    <s v="Not Known"/>
    <x v="3"/>
    <n v="12.167999999999999"/>
  </r>
  <r>
    <s v="ORD-100093"/>
    <s v="18 Oct 2024"/>
    <x v="556"/>
    <x v="369"/>
    <s v="ava.moore43@hotmail.com"/>
    <x v="3"/>
    <x v="3"/>
    <x v="4"/>
    <x v="18"/>
    <n v="4"/>
    <n v="31.29"/>
    <n v="0.05"/>
    <n v="7.41"/>
    <x v="2"/>
    <s v="Not Known"/>
    <x v="2"/>
    <n v="118.90199999999999"/>
  </r>
  <r>
    <s v="ORD-101133"/>
    <s v="2024-11-27"/>
    <x v="138"/>
    <x v="266"/>
    <s v="kabir.williams71@yahoo.com"/>
    <x v="3"/>
    <x v="7"/>
    <x v="0"/>
    <x v="0"/>
    <n v="5"/>
    <n v="40.549999999999997"/>
    <n v="0.1"/>
    <n v="5.0199999999999996"/>
    <x v="5"/>
    <s v="COD"/>
    <x v="2"/>
    <n v="182.47499999999999"/>
  </r>
  <r>
    <s v="ORD-100924"/>
    <s v="27 Jun 2025"/>
    <x v="557"/>
    <x v="245"/>
    <s v="ava.brown16@gmail.com"/>
    <x v="3"/>
    <x v="3"/>
    <x v="4"/>
    <x v="18"/>
    <n v="1"/>
    <n v="30.37"/>
    <n v="0"/>
    <n v="0"/>
    <x v="4"/>
    <s v="COD"/>
    <x v="2"/>
    <n v="30.37"/>
  </r>
  <r>
    <s v="ORD-100675"/>
    <s v="2024-01-25"/>
    <x v="501"/>
    <x v="285"/>
    <s v="ethan.moore25@gmail.com"/>
    <x v="1"/>
    <x v="1"/>
    <x v="4"/>
    <x v="18"/>
    <n v="2"/>
    <n v="31.24"/>
    <n v="0.05"/>
    <n v="3.11"/>
    <x v="5"/>
    <s v="Credit Card"/>
    <x v="3"/>
    <n v="59.355999999999995"/>
  </r>
  <r>
    <s v="ORD-101035"/>
    <s v="08/28/2024"/>
    <x v="150"/>
    <x v="216"/>
    <s v="olivia.thomas27@hotmail.com"/>
    <x v="3"/>
    <x v="4"/>
    <x v="2"/>
    <x v="4"/>
    <n v="5"/>
    <n v="6.37"/>
    <n v="0.05"/>
    <n v="8.3699999999999992"/>
    <x v="4"/>
    <s v="Credit Card"/>
    <x v="0"/>
    <n v="30.2575"/>
  </r>
  <r>
    <s v="ORD-100243"/>
    <s v="06/17/25"/>
    <x v="236"/>
    <x v="131"/>
    <s v="sophia.gupta49@yahoo.com"/>
    <x v="0"/>
    <x v="0"/>
    <x v="3"/>
    <x v="5"/>
    <n v="10"/>
    <n v="114.29"/>
    <n v="0.1"/>
    <n v="10.3"/>
    <x v="7"/>
    <s v="Credit Card"/>
    <x v="2"/>
    <n v="1028.6100000000001"/>
  </r>
  <r>
    <s v="ORD-100214"/>
    <s v="16-01-2025"/>
    <x v="270"/>
    <x v="301"/>
    <s v="lily.taylor97@yahoo.com"/>
    <x v="0"/>
    <x v="0"/>
    <x v="3"/>
    <x v="11"/>
    <n v="2"/>
    <n v="250.21"/>
    <n v="0.05"/>
    <n v="6.76"/>
    <x v="2"/>
    <s v="Bank Transfer"/>
    <x v="2"/>
    <n v="475.399"/>
  </r>
  <r>
    <s v="ORD-100998"/>
    <s v="28 Mar 2025"/>
    <x v="20"/>
    <x v="347"/>
    <s v="ethan.gupta80@gmail.com"/>
    <x v="4"/>
    <x v="11"/>
    <x v="1"/>
    <x v="19"/>
    <n v="4"/>
    <n v="24.73"/>
    <n v="0.15"/>
    <n v="7.66"/>
    <x v="0"/>
    <s v="Not Known"/>
    <x v="3"/>
    <n v="84.081999999999994"/>
  </r>
  <r>
    <s v="ORD-100853"/>
    <s v="June 18, 2025"/>
    <x v="513"/>
    <x v="225"/>
    <s v="noah.thomas81@outlook.com"/>
    <x v="3"/>
    <x v="7"/>
    <x v="1"/>
    <x v="1"/>
    <n v="1"/>
    <n v="35.32"/>
    <n v="0"/>
    <n v="2.8"/>
    <x v="6"/>
    <s v="PayPal"/>
    <x v="2"/>
    <n v="35.32"/>
  </r>
  <r>
    <s v="ORD-100425"/>
    <s v="December 01, 2025"/>
    <x v="558"/>
    <x v="43"/>
    <s v="ethan.sharma15@outlook.com"/>
    <x v="4"/>
    <x v="5"/>
    <x v="0"/>
    <x v="0"/>
    <n v="3"/>
    <n v="39.67"/>
    <n v="0.1"/>
    <n v="0"/>
    <x v="5"/>
    <s v="PayPal"/>
    <x v="0"/>
    <n v="107.10900000000001"/>
  </r>
  <r>
    <s v="ORD-101270"/>
    <s v="09 Aug 2024"/>
    <x v="559"/>
    <x v="345"/>
    <s v="Not Known"/>
    <x v="1"/>
    <x v="1"/>
    <x v="1"/>
    <x v="7"/>
    <n v="3"/>
    <n v="42.6"/>
    <n v="0"/>
    <n v="0.77"/>
    <x v="1"/>
    <s v="COD"/>
    <x v="1"/>
    <n v="127.80000000000001"/>
  </r>
  <r>
    <s v="ORD-100226"/>
    <s v="2024-01-10"/>
    <x v="350"/>
    <x v="24"/>
    <s v="daniel.sharma32@gmail.com"/>
    <x v="0"/>
    <x v="9"/>
    <x v="1"/>
    <x v="1"/>
    <n v="2"/>
    <n v="34"/>
    <n v="0.1"/>
    <n v="7.13"/>
    <x v="2"/>
    <s v="PayPal"/>
    <x v="2"/>
    <n v="61.2"/>
  </r>
  <r>
    <s v="ORD-101178"/>
    <s v="June 12, 2024"/>
    <x v="560"/>
    <x v="279"/>
    <s v="ava.white74@gmail.com"/>
    <x v="1"/>
    <x v="6"/>
    <x v="4"/>
    <x v="6"/>
    <n v="1"/>
    <n v="61.26"/>
    <n v="0.15"/>
    <n v="9.7200000000000006"/>
    <x v="3"/>
    <s v="Bank Transfer"/>
    <x v="2"/>
    <n v="52.070999999999998"/>
  </r>
  <r>
    <s v="ORD-100000"/>
    <s v="2025-09-08"/>
    <x v="170"/>
    <x v="49"/>
    <s v="arjun.thomas65@gmail.com"/>
    <x v="1"/>
    <x v="6"/>
    <x v="2"/>
    <x v="14"/>
    <n v="10"/>
    <n v="4.0999999999999996"/>
    <n v="0"/>
    <m/>
    <x v="7"/>
    <s v="Credit Card"/>
    <x v="2"/>
    <n v="41"/>
  </r>
  <r>
    <s v="ORD-100401"/>
    <s v="August 29, 2024"/>
    <x v="492"/>
    <x v="10"/>
    <s v="noah.miller27@yahoo.com"/>
    <x v="4"/>
    <x v="5"/>
    <x v="1"/>
    <x v="20"/>
    <n v="2"/>
    <n v="19.690000000000001"/>
    <n v="0"/>
    <n v="7.01"/>
    <x v="2"/>
    <s v="COD"/>
    <x v="2"/>
    <n v="39.380000000000003"/>
  </r>
  <r>
    <s v="ORD-100084"/>
    <s v="August 08, 2024"/>
    <x v="360"/>
    <x v="63"/>
    <s v="chloe.sharma31@company.co"/>
    <x v="3"/>
    <x v="3"/>
    <x v="2"/>
    <x v="3"/>
    <n v="5"/>
    <n v="8.19"/>
    <n v="0.1"/>
    <n v="0"/>
    <x v="0"/>
    <s v="Debit Card"/>
    <x v="2"/>
    <n v="36.854999999999997"/>
  </r>
  <r>
    <s v="ORD-100162"/>
    <s v="2025-06-09"/>
    <x v="144"/>
    <x v="316"/>
    <s v="arjun.miller53@yahoo.com"/>
    <x v="0"/>
    <x v="8"/>
    <x v="3"/>
    <x v="21"/>
    <n v="1"/>
    <n v="126.23"/>
    <n v="0"/>
    <n v="11.51"/>
    <x v="6"/>
    <s v="Debit Card"/>
    <x v="2"/>
    <n v="126.23"/>
  </r>
  <r>
    <s v="ORD-100114"/>
    <s v="2025-04-13"/>
    <x v="561"/>
    <x v="358"/>
    <s v="liam.anderson26@company.co"/>
    <x v="0"/>
    <x v="8"/>
    <x v="1"/>
    <x v="15"/>
    <n v="2"/>
    <n v="9.44"/>
    <n v="0.05"/>
    <n v="14.23"/>
    <x v="4"/>
    <s v="Not Known"/>
    <x v="1"/>
    <n v="17.936"/>
  </r>
  <r>
    <s v="ORD-100670"/>
    <s v="27-12-2025"/>
    <x v="189"/>
    <x v="14"/>
    <s v="ava.sharma36@gmail.com"/>
    <x v="4"/>
    <x v="11"/>
    <x v="4"/>
    <x v="12"/>
    <n v="5"/>
    <n v="12.39"/>
    <n v="0.1"/>
    <n v="12.03"/>
    <x v="6"/>
    <s v="COD"/>
    <x v="3"/>
    <n v="55.755000000000003"/>
  </r>
  <r>
    <s v="ORD-101102"/>
    <s v="28 Jul 2024"/>
    <x v="443"/>
    <x v="170"/>
    <s v="chloe.williams17@hotmail.com"/>
    <x v="0"/>
    <x v="9"/>
    <x v="2"/>
    <x v="14"/>
    <n v="5"/>
    <n v="4.18"/>
    <n v="0"/>
    <n v="9.73"/>
    <x v="6"/>
    <s v="PayPal"/>
    <x v="2"/>
    <n v="20.9"/>
  </r>
  <r>
    <s v="ORD-100889"/>
    <s v="14 Jan 2024"/>
    <x v="84"/>
    <x v="162"/>
    <s v="daniel.anderson31@company.co"/>
    <x v="3"/>
    <x v="4"/>
    <x v="1"/>
    <x v="7"/>
    <n v="1"/>
    <n v="40.68"/>
    <n v="0"/>
    <n v="2.0499999999999998"/>
    <x v="4"/>
    <s v="Not Known"/>
    <x v="2"/>
    <n v="40.68"/>
  </r>
  <r>
    <s v="ORD-100625"/>
    <s v="June 07, 2024"/>
    <x v="145"/>
    <x v="110"/>
    <s v="zara.davis78@gmail.com"/>
    <x v="1"/>
    <x v="1"/>
    <x v="0"/>
    <x v="17"/>
    <n v="2"/>
    <n v="46.38"/>
    <n v="0"/>
    <n v="13.93"/>
    <x v="7"/>
    <s v="Not Known"/>
    <x v="2"/>
    <n v="92.76"/>
  </r>
  <r>
    <s v="ORD-101275"/>
    <s v="11/01/25"/>
    <x v="79"/>
    <x v="109"/>
    <s v="sophia.moore43@hotmail.com"/>
    <x v="1"/>
    <x v="6"/>
    <x v="1"/>
    <x v="13"/>
    <n v="10"/>
    <n v="187.57"/>
    <n v="0"/>
    <n v="5.13"/>
    <x v="2"/>
    <s v="Credit Card"/>
    <x v="2"/>
    <n v="1875.6999999999998"/>
  </r>
  <r>
    <s v="ORD-100952"/>
    <s v="12 Sep 2024"/>
    <x v="562"/>
    <x v="91"/>
    <s v="Not Known"/>
    <x v="0"/>
    <x v="9"/>
    <x v="1"/>
    <x v="15"/>
    <n v="3"/>
    <n v="9.3000000000000007"/>
    <n v="0.05"/>
    <n v="14.2"/>
    <x v="5"/>
    <s v="COD"/>
    <x v="2"/>
    <n v="26.505000000000003"/>
  </r>
  <r>
    <s v="ORD-100807"/>
    <s v="2025-11-01"/>
    <x v="79"/>
    <x v="222"/>
    <s v="zara.anderson95@gmail.com"/>
    <x v="3"/>
    <x v="3"/>
    <x v="2"/>
    <x v="2"/>
    <n v="1"/>
    <n v="13.7"/>
    <n v="0.05"/>
    <n v="10.74"/>
    <x v="4"/>
    <s v="Credit Card"/>
    <x v="2"/>
    <n v="13.014999999999999"/>
  </r>
  <r>
    <s v="ORD-100258"/>
    <s v="15 Jan 2025"/>
    <x v="563"/>
    <x v="218"/>
    <s v="mia.taylor31@gmail.com"/>
    <x v="0"/>
    <x v="9"/>
    <x v="4"/>
    <x v="18"/>
    <n v="1"/>
    <n v="30.2"/>
    <n v="0"/>
    <n v="3.24"/>
    <x v="0"/>
    <s v="Credit Card"/>
    <x v="2"/>
    <n v="30.2"/>
  </r>
  <r>
    <s v="ORD-100624"/>
    <s v="30 Jun 2024"/>
    <x v="564"/>
    <x v="370"/>
    <s v="ava.harris74@yahoo.com"/>
    <x v="2"/>
    <x v="1"/>
    <x v="0"/>
    <x v="22"/>
    <n v="2"/>
    <n v="82.86"/>
    <n v="0.05"/>
    <n v="11.58"/>
    <x v="2"/>
    <s v="Not Known"/>
    <x v="2"/>
    <n v="157.434"/>
  </r>
  <r>
    <s v="ORD-100826"/>
    <s v="21 Sep 2024"/>
    <x v="235"/>
    <x v="239"/>
    <s v="ethan.harris18@gmail.com"/>
    <x v="2"/>
    <x v="1"/>
    <x v="1"/>
    <x v="19"/>
    <n v="2"/>
    <n v="26.17"/>
    <n v="0"/>
    <n v="14.81"/>
    <x v="3"/>
    <s v="Bank Transfer"/>
    <x v="2"/>
    <n v="52.34"/>
  </r>
  <r>
    <s v="ORD-100234"/>
    <s v="2024-11-18"/>
    <x v="249"/>
    <x v="114"/>
    <s v="advait.gupta28@outlook.com"/>
    <x v="0"/>
    <x v="9"/>
    <x v="4"/>
    <x v="6"/>
    <n v="2"/>
    <n v="56.99"/>
    <n v="0"/>
    <n v="10.35"/>
    <x v="0"/>
    <s v="Bank Transfer"/>
    <x v="2"/>
    <n v="113.98"/>
  </r>
  <r>
    <s v="ORD-100135"/>
    <s v="28 Apr 2024"/>
    <x v="565"/>
    <x v="35"/>
    <s v="mia.thomas56@gmail.com"/>
    <x v="0"/>
    <x v="0"/>
    <x v="2"/>
    <x v="14"/>
    <n v="1"/>
    <n v="4.2699999999999996"/>
    <n v="0"/>
    <m/>
    <x v="2"/>
    <s v="Credit Card"/>
    <x v="2"/>
    <n v="4.2699999999999996"/>
  </r>
  <r>
    <s v="ORD-100616"/>
    <s v="September 08, 2024"/>
    <x v="481"/>
    <x v="257"/>
    <s v="lily.clark6@yahoo.com"/>
    <x v="4"/>
    <x v="5"/>
    <x v="3"/>
    <x v="5"/>
    <n v="1"/>
    <n v="105.96"/>
    <n v="0.1"/>
    <n v="4.1100000000000003"/>
    <x v="3"/>
    <s v="Credit Card"/>
    <x v="2"/>
    <n v="95.36399999999999"/>
  </r>
  <r>
    <s v="ORD-100836"/>
    <s v="2024-01-29"/>
    <x v="406"/>
    <x v="61"/>
    <s v="Not Known"/>
    <x v="1"/>
    <x v="1"/>
    <x v="3"/>
    <x v="11"/>
    <n v="4"/>
    <n v="260.54000000000002"/>
    <n v="0.05"/>
    <n v="10.64"/>
    <x v="5"/>
    <s v="Credit Card"/>
    <x v="0"/>
    <n v="990.05200000000002"/>
  </r>
  <r>
    <s v="ORD-100842"/>
    <s v="2024-01-13"/>
    <x v="566"/>
    <x v="114"/>
    <s v="advait.gupta40@outlook.com"/>
    <x v="0"/>
    <x v="10"/>
    <x v="2"/>
    <x v="4"/>
    <n v="3"/>
    <n v="6.43"/>
    <n v="0"/>
    <n v="10.5"/>
    <x v="5"/>
    <s v="Bank Transfer"/>
    <x v="2"/>
    <n v="19.29"/>
  </r>
  <r>
    <s v="ORD-100959"/>
    <s v="August 21, 2024"/>
    <x v="374"/>
    <x v="46"/>
    <s v="olivia.brown62@hotmail.com"/>
    <x v="2"/>
    <x v="2"/>
    <x v="3"/>
    <x v="21"/>
    <n v="1"/>
    <n v="130.41"/>
    <n v="0"/>
    <n v="3.51"/>
    <x v="4"/>
    <s v="Credit Card"/>
    <x v="2"/>
    <n v="130.41"/>
  </r>
  <r>
    <s v="ORD-100592"/>
    <s v="October 16, 2024"/>
    <x v="365"/>
    <x v="49"/>
    <s v="arjun.thomas63@outlook.com"/>
    <x v="2"/>
    <x v="2"/>
    <x v="1"/>
    <x v="19"/>
    <n v="3"/>
    <n v="23.9"/>
    <n v="0"/>
    <n v="11.02"/>
    <x v="5"/>
    <s v="Bank Transfer"/>
    <x v="2"/>
    <n v="71.699999999999989"/>
  </r>
  <r>
    <s v="ORD-100343"/>
    <s v="November 17, 2024"/>
    <x v="61"/>
    <x v="172"/>
    <s v="ava.reddy39@company.co"/>
    <x v="0"/>
    <x v="0"/>
    <x v="1"/>
    <x v="19"/>
    <n v="5"/>
    <n v="23.79"/>
    <n v="0"/>
    <n v="10.050000000000001"/>
    <x v="0"/>
    <s v="PayPal"/>
    <x v="2"/>
    <n v="118.94999999999999"/>
  </r>
  <r>
    <s v="ORD-101393"/>
    <s v="02/18/24"/>
    <x v="198"/>
    <x v="128"/>
    <s v="lily.kapoor1@gmail.com"/>
    <x v="2"/>
    <x v="2"/>
    <x v="1"/>
    <x v="19"/>
    <n v="2"/>
    <n v="24.9"/>
    <n v="0.1"/>
    <n v="2.1"/>
    <x v="1"/>
    <s v="Bank Transfer"/>
    <x v="3"/>
    <n v="44.82"/>
  </r>
  <r>
    <s v="ORD-100293"/>
    <s v="2025-12-02"/>
    <x v="183"/>
    <x v="171"/>
    <s v="advait.johnson27@hotmail.com"/>
    <x v="2"/>
    <x v="2"/>
    <x v="4"/>
    <x v="12"/>
    <n v="4"/>
    <n v="13.46"/>
    <n v="0.15"/>
    <n v="11.04"/>
    <x v="6"/>
    <s v="Bank Transfer"/>
    <x v="0"/>
    <n v="45.764000000000003"/>
  </r>
  <r>
    <s v="ORD-100364"/>
    <s v="2025-01-19"/>
    <x v="160"/>
    <x v="196"/>
    <s v="olivia.moore34@company.co"/>
    <x v="4"/>
    <x v="11"/>
    <x v="2"/>
    <x v="4"/>
    <n v="1"/>
    <n v="6.57"/>
    <n v="0"/>
    <n v="11.28"/>
    <x v="1"/>
    <s v="Debit Card"/>
    <x v="2"/>
    <n v="6.57"/>
  </r>
  <r>
    <s v="ORD-100178"/>
    <s v="2025-07-16"/>
    <x v="542"/>
    <x v="25"/>
    <s v="emma.white72@company.co"/>
    <x v="1"/>
    <x v="6"/>
    <x v="5"/>
    <x v="16"/>
    <n v="5"/>
    <n v="21.57"/>
    <n v="0.15"/>
    <n v="0"/>
    <x v="0"/>
    <s v="Bank Transfer"/>
    <x v="2"/>
    <n v="91.672499999999999"/>
  </r>
  <r>
    <s v="ORD-100659"/>
    <s v="21 Oct 2025"/>
    <x v="567"/>
    <x v="132"/>
    <s v="Not Known"/>
    <x v="4"/>
    <x v="5"/>
    <x v="3"/>
    <x v="11"/>
    <n v="1"/>
    <n v="256.24"/>
    <n v="0.1"/>
    <n v="11.64"/>
    <x v="2"/>
    <s v="Debit Card"/>
    <x v="1"/>
    <n v="230.61600000000001"/>
  </r>
  <r>
    <s v="ORD-100996"/>
    <s v="26 Mar 2025"/>
    <x v="159"/>
    <x v="282"/>
    <s v="mia.reddy19@outlook.com"/>
    <x v="3"/>
    <x v="3"/>
    <x v="4"/>
    <x v="6"/>
    <n v="2"/>
    <n v="59.6"/>
    <n v="0.1"/>
    <n v="4.5"/>
    <x v="6"/>
    <s v="Credit Card"/>
    <x v="2"/>
    <n v="107.28"/>
  </r>
  <r>
    <s v="ORD-100014"/>
    <s v="01 Jun 2025"/>
    <x v="568"/>
    <x v="119"/>
    <s v="kabir.moore34@yahoo.com"/>
    <x v="0"/>
    <x v="8"/>
    <x v="3"/>
    <x v="21"/>
    <n v="10"/>
    <n v="134.03"/>
    <n v="0"/>
    <n v="12.69"/>
    <x v="5"/>
    <s v="COD"/>
    <x v="1"/>
    <n v="1340.3"/>
  </r>
  <r>
    <s v="ORD-101110"/>
    <s v="04 Nov 2025"/>
    <x v="128"/>
    <x v="115"/>
    <s v="Not Known"/>
    <x v="2"/>
    <x v="1"/>
    <x v="0"/>
    <x v="22"/>
    <n v="2"/>
    <n v="79.98"/>
    <n v="0.1"/>
    <n v="9.25"/>
    <x v="0"/>
    <s v="Credit Card"/>
    <x v="2"/>
    <n v="143.964"/>
  </r>
  <r>
    <s v="ORD-100165"/>
    <s v="November 04, 2025"/>
    <x v="128"/>
    <x v="70"/>
    <s v="sophia.harris22@outlook.com"/>
    <x v="2"/>
    <x v="2"/>
    <x v="1"/>
    <x v="19"/>
    <n v="2"/>
    <n v="25.52"/>
    <n v="0.15"/>
    <n v="7.06"/>
    <x v="0"/>
    <s v="COD"/>
    <x v="2"/>
    <n v="43.384"/>
  </r>
  <r>
    <s v="ORD-100059"/>
    <s v="2024-12-01"/>
    <x v="97"/>
    <x v="371"/>
    <s v="aarav.miller38@yahoo.com"/>
    <x v="1"/>
    <x v="6"/>
    <x v="0"/>
    <x v="22"/>
    <n v="1"/>
    <n v="76.349999999999994"/>
    <n v="0"/>
    <n v="6.46"/>
    <x v="2"/>
    <s v="Debit Card"/>
    <x v="2"/>
    <n v="76.349999999999994"/>
  </r>
  <r>
    <s v="ORD-100709"/>
    <s v="February 09, 2025"/>
    <x v="539"/>
    <x v="115"/>
    <s v="aarav.taylor63@yahoo.com"/>
    <x v="1"/>
    <x v="1"/>
    <x v="4"/>
    <x v="6"/>
    <n v="4"/>
    <n v="61.88"/>
    <n v="0.05"/>
    <n v="12.74"/>
    <x v="0"/>
    <s v="Credit Card"/>
    <x v="2"/>
    <n v="235.14400000000001"/>
  </r>
  <r>
    <s v="ORD-100676"/>
    <s v="September 21, 2025"/>
    <x v="10"/>
    <x v="160"/>
    <s v="ethan.anderson82@hotmail.com"/>
    <x v="2"/>
    <x v="2"/>
    <x v="3"/>
    <x v="5"/>
    <n v="2"/>
    <n v="104.62"/>
    <n v="0.15"/>
    <n v="14.66"/>
    <x v="3"/>
    <s v="PayPal"/>
    <x v="0"/>
    <n v="177.85400000000001"/>
  </r>
  <r>
    <s v="ORD-100780"/>
    <s v="09/04/25"/>
    <x v="63"/>
    <x v="75"/>
    <s v="olivia.nair93@hotmail.com"/>
    <x v="3"/>
    <x v="10"/>
    <x v="3"/>
    <x v="21"/>
    <n v="1"/>
    <n v="134.84"/>
    <n v="0.15"/>
    <n v="14.54"/>
    <x v="2"/>
    <s v="PayPal"/>
    <x v="0"/>
    <n v="114.614"/>
  </r>
  <r>
    <s v="ORD-100424"/>
    <s v="09/17/24"/>
    <x v="163"/>
    <x v="99"/>
    <s v="liam.harris11@yahoo.com"/>
    <x v="4"/>
    <x v="5"/>
    <x v="0"/>
    <x v="0"/>
    <n v="1"/>
    <n v="40.36"/>
    <n v="0.1"/>
    <n v="2.15"/>
    <x v="1"/>
    <s v="Credit Card"/>
    <x v="3"/>
    <n v="36.323999999999998"/>
  </r>
  <r>
    <s v="ORD-100292"/>
    <s v="21 Dec 2025"/>
    <x v="242"/>
    <x v="364"/>
    <s v="mia.wilson21@company.co"/>
    <x v="4"/>
    <x v="5"/>
    <x v="1"/>
    <x v="1"/>
    <n v="1"/>
    <n v="35.799999999999997"/>
    <n v="0.15"/>
    <n v="8.75"/>
    <x v="3"/>
    <s v="Debit Card"/>
    <x v="2"/>
    <n v="30.429999999999996"/>
  </r>
  <r>
    <s v="ORD-101065"/>
    <s v="09/19/2024"/>
    <x v="569"/>
    <x v="77"/>
    <s v="arjun.white7@yahoo.com"/>
    <x v="3"/>
    <x v="4"/>
    <x v="4"/>
    <x v="8"/>
    <n v="3"/>
    <n v="15.13"/>
    <n v="0.1"/>
    <n v="2.77"/>
    <x v="7"/>
    <s v="Bank Transfer"/>
    <x v="2"/>
    <n v="40.850999999999999"/>
  </r>
  <r>
    <s v="ORD-101291"/>
    <s v="2025-07-19"/>
    <x v="36"/>
    <x v="273"/>
    <s v="Not Known"/>
    <x v="1"/>
    <x v="6"/>
    <x v="2"/>
    <x v="4"/>
    <n v="1"/>
    <n v="6.39"/>
    <n v="0"/>
    <n v="12.48"/>
    <x v="0"/>
    <s v="Credit Card"/>
    <x v="1"/>
    <n v="6.39"/>
  </r>
  <r>
    <s v="ORD-100329"/>
    <s v="30 Nov 2024"/>
    <x v="121"/>
    <x v="294"/>
    <s v="ava.iyer71@hotmail.com"/>
    <x v="0"/>
    <x v="9"/>
    <x v="5"/>
    <x v="6"/>
    <n v="4"/>
    <n v="62.55"/>
    <n v="0"/>
    <n v="0"/>
    <x v="6"/>
    <s v="COD"/>
    <x v="2"/>
    <n v="250.2"/>
  </r>
  <r>
    <s v="ORD-100429"/>
    <s v="January 15, 2024"/>
    <x v="306"/>
    <x v="114"/>
    <s v="advait.gupta52@hotmail.com"/>
    <x v="1"/>
    <x v="1"/>
    <x v="1"/>
    <x v="1"/>
    <n v="1"/>
    <n v="34.24"/>
    <n v="0.1"/>
    <n v="11.19"/>
    <x v="7"/>
    <s v="COD"/>
    <x v="2"/>
    <n v="30.816000000000003"/>
  </r>
  <r>
    <s v="ORD-101012"/>
    <s v="2025-03-10"/>
    <x v="110"/>
    <x v="59"/>
    <s v="chloe.thomas75@company.co"/>
    <x v="4"/>
    <x v="5"/>
    <x v="5"/>
    <x v="20"/>
    <n v="1"/>
    <n v="18.05"/>
    <n v="0.1"/>
    <n v="8.2799999999999994"/>
    <x v="4"/>
    <s v="COD"/>
    <x v="2"/>
    <n v="16.245000000000001"/>
  </r>
  <r>
    <s v="ORD-100079"/>
    <s v="February 23, 2025"/>
    <x v="570"/>
    <x v="37"/>
    <s v="liam.moore99@company.co"/>
    <x v="4"/>
    <x v="1"/>
    <x v="3"/>
    <x v="9"/>
    <n v="1"/>
    <n v="88.71"/>
    <n v="0"/>
    <n v="4.76"/>
    <x v="5"/>
    <s v="Debit Card"/>
    <x v="2"/>
    <n v="88.71"/>
  </r>
  <r>
    <s v="ORD-101052"/>
    <s v="11/18/24"/>
    <x v="249"/>
    <x v="372"/>
    <s v="advait.nair4@company.co"/>
    <x v="3"/>
    <x v="7"/>
    <x v="4"/>
    <x v="18"/>
    <n v="2"/>
    <n v="30.21"/>
    <n v="0"/>
    <n v="12.66"/>
    <x v="0"/>
    <s v="Bank Transfer"/>
    <x v="2"/>
    <n v="60.42"/>
  </r>
  <r>
    <s v="ORD-100937"/>
    <s v="March 03, 2025"/>
    <x v="133"/>
    <x v="175"/>
    <s v="advait.wilson21@outlook.com"/>
    <x v="4"/>
    <x v="1"/>
    <x v="3"/>
    <x v="21"/>
    <n v="2"/>
    <n v="126.76"/>
    <n v="0.05"/>
    <n v="8.4700000000000006"/>
    <x v="6"/>
    <s v="Credit Card"/>
    <x v="2"/>
    <n v="240.84399999999999"/>
  </r>
  <r>
    <s v="ORD-100834"/>
    <s v="11/22/2024"/>
    <x v="485"/>
    <x v="284"/>
    <s v="zara.white40@gmail.com"/>
    <x v="2"/>
    <x v="2"/>
    <x v="4"/>
    <x v="8"/>
    <n v="3"/>
    <n v="14.49"/>
    <n v="0.1"/>
    <n v="12.08"/>
    <x v="6"/>
    <s v="Debit Card"/>
    <x v="2"/>
    <n v="39.122999999999998"/>
  </r>
  <r>
    <s v="ORD-100749"/>
    <s v="February 24, 2025"/>
    <x v="106"/>
    <x v="255"/>
    <s v="olivia.harris31@gmail.com"/>
    <x v="0"/>
    <x v="0"/>
    <x v="1"/>
    <x v="7"/>
    <n v="1"/>
    <n v="41.2"/>
    <n v="0.1"/>
    <m/>
    <x v="4"/>
    <s v="Not Known"/>
    <x v="2"/>
    <n v="37.080000000000005"/>
  </r>
  <r>
    <s v="ORD-100890"/>
    <s v="20-11-2024"/>
    <x v="571"/>
    <x v="316"/>
    <s v="arjun.miller39@company.co"/>
    <x v="0"/>
    <x v="9"/>
    <x v="1"/>
    <x v="7"/>
    <n v="2"/>
    <n v="40.119999999999997"/>
    <n v="0"/>
    <n v="0.84"/>
    <x v="7"/>
    <s v="Credit Card"/>
    <x v="2"/>
    <n v="80.239999999999995"/>
  </r>
  <r>
    <s v="ORD-100254"/>
    <s v="September 22, 2024"/>
    <x v="219"/>
    <x v="373"/>
    <s v="chloe.nair41@outlook.com"/>
    <x v="4"/>
    <x v="1"/>
    <x v="1"/>
    <x v="19"/>
    <n v="10"/>
    <n v="25.57"/>
    <n v="0"/>
    <n v="5.31"/>
    <x v="2"/>
    <s v="Bank Transfer"/>
    <x v="2"/>
    <n v="255.7"/>
  </r>
  <r>
    <s v="ORD-100409"/>
    <s v="29 Sep 2024"/>
    <x v="188"/>
    <x v="165"/>
    <s v="emma.miller98@hotmail.com"/>
    <x v="2"/>
    <x v="1"/>
    <x v="1"/>
    <x v="20"/>
    <n v="1"/>
    <n v="18.55"/>
    <n v="0"/>
    <n v="9.07"/>
    <x v="4"/>
    <s v="PayPal"/>
    <x v="0"/>
    <n v="18.55"/>
  </r>
  <r>
    <s v="ORD-101108"/>
    <s v="10/02/24"/>
    <x v="527"/>
    <x v="101"/>
    <s v="lily.harris28@outlook.com"/>
    <x v="3"/>
    <x v="3"/>
    <x v="2"/>
    <x v="4"/>
    <n v="1"/>
    <n v="6.69"/>
    <n v="0"/>
    <n v="0"/>
    <x v="7"/>
    <s v="COD"/>
    <x v="2"/>
    <n v="6.69"/>
  </r>
  <r>
    <s v="ORD-100136"/>
    <s v="09 Dec 2024"/>
    <x v="534"/>
    <x v="200"/>
    <s v="zara.gupta4@gmail.com"/>
    <x v="4"/>
    <x v="1"/>
    <x v="4"/>
    <x v="8"/>
    <n v="2"/>
    <n v="15.03"/>
    <n v="0"/>
    <n v="3.94"/>
    <x v="5"/>
    <s v="Debit Card"/>
    <x v="2"/>
    <n v="30.06"/>
  </r>
  <r>
    <s v="ORD-101135"/>
    <s v="2025-12-05"/>
    <x v="472"/>
    <x v="374"/>
    <s v="Not Known"/>
    <x v="0"/>
    <x v="8"/>
    <x v="2"/>
    <x v="10"/>
    <n v="1"/>
    <n v="2.97"/>
    <n v="0.05"/>
    <n v="0"/>
    <x v="4"/>
    <s v="PayPal"/>
    <x v="2"/>
    <n v="2.8214999999999999"/>
  </r>
  <r>
    <s v="ORD-100852"/>
    <s v="2025-01-07"/>
    <x v="337"/>
    <x v="375"/>
    <s v="arjun.brown10@company.co"/>
    <x v="3"/>
    <x v="3"/>
    <x v="0"/>
    <x v="0"/>
    <n v="10"/>
    <n v="40.15"/>
    <n v="0"/>
    <n v="6.43"/>
    <x v="4"/>
    <s v="Debit Card"/>
    <x v="2"/>
    <n v="401.5"/>
  </r>
  <r>
    <s v="ORD-100723"/>
    <s v="07 Feb 2024"/>
    <x v="21"/>
    <x v="246"/>
    <s v="chloe.harris6@outlook.com"/>
    <x v="2"/>
    <x v="1"/>
    <x v="2"/>
    <x v="2"/>
    <n v="1"/>
    <n v="14.19"/>
    <n v="0.05"/>
    <n v="0"/>
    <x v="4"/>
    <s v="Credit Card"/>
    <x v="0"/>
    <n v="13.480499999999999"/>
  </r>
  <r>
    <s v="ORD-100859"/>
    <s v="03 Feb 2024"/>
    <x v="335"/>
    <x v="156"/>
    <s v="sophia.jackson6@hotmail.com"/>
    <x v="2"/>
    <x v="1"/>
    <x v="3"/>
    <x v="11"/>
    <n v="1"/>
    <n v="247.19"/>
    <n v="0.15"/>
    <n v="8.9"/>
    <x v="6"/>
    <s v="Credit Card"/>
    <x v="2"/>
    <n v="210.11150000000001"/>
  </r>
  <r>
    <s v="ORD-100969"/>
    <s v="2025-02-26"/>
    <x v="572"/>
    <x v="362"/>
    <s v="advait.williams88@gmail.com"/>
    <x v="3"/>
    <x v="7"/>
    <x v="4"/>
    <x v="6"/>
    <n v="2"/>
    <n v="57.02"/>
    <n v="0"/>
    <n v="9.35"/>
    <x v="3"/>
    <s v="PayPal"/>
    <x v="2"/>
    <n v="114.04"/>
  </r>
  <r>
    <s v="ORD-100496"/>
    <s v="28-03-2024"/>
    <x v="313"/>
    <x v="142"/>
    <s v="ishaan.iyer40@hotmail.com"/>
    <x v="1"/>
    <x v="6"/>
    <x v="0"/>
    <x v="22"/>
    <n v="3"/>
    <n v="77.38"/>
    <n v="0"/>
    <m/>
    <x v="2"/>
    <s v="Debit Card"/>
    <x v="1"/>
    <n v="232.14"/>
  </r>
  <r>
    <s v="ORD-100950"/>
    <s v="20-05-2024"/>
    <x v="203"/>
    <x v="140"/>
    <s v="noah.brown62@hotmail.com"/>
    <x v="0"/>
    <x v="0"/>
    <x v="4"/>
    <x v="8"/>
    <n v="4"/>
    <n v="14.5"/>
    <n v="0"/>
    <n v="2.76"/>
    <x v="2"/>
    <s v="Credit Card"/>
    <x v="2"/>
    <n v="58"/>
  </r>
  <r>
    <s v="ORD-100805"/>
    <s v="09/29/25"/>
    <x v="287"/>
    <x v="283"/>
    <s v="noah.taylor26@company.co"/>
    <x v="2"/>
    <x v="1"/>
    <x v="2"/>
    <x v="14"/>
    <n v="1"/>
    <n v="4.0599999999999996"/>
    <n v="0.05"/>
    <m/>
    <x v="1"/>
    <s v="Debit Card"/>
    <x v="1"/>
    <n v="3.8569999999999993"/>
  </r>
  <r>
    <s v="ORD-100129"/>
    <s v="11-06-2024"/>
    <x v="573"/>
    <x v="85"/>
    <s v="aarav.thomas39@yahoo.com"/>
    <x v="1"/>
    <x v="1"/>
    <x v="4"/>
    <x v="12"/>
    <n v="5"/>
    <n v="12.5"/>
    <n v="0.05"/>
    <n v="3.76"/>
    <x v="4"/>
    <s v="COD"/>
    <x v="2"/>
    <n v="59.375"/>
  </r>
  <r>
    <s v="ORD-100337"/>
    <s v="27-07-2024"/>
    <x v="181"/>
    <x v="303"/>
    <s v="rohan.white12@yahoo.com"/>
    <x v="2"/>
    <x v="2"/>
    <x v="1"/>
    <x v="13"/>
    <n v="10"/>
    <n v="187.26"/>
    <n v="0.05"/>
    <n v="11.25"/>
    <x v="0"/>
    <s v="Bank Transfer"/>
    <x v="2"/>
    <n v="1778.9699999999998"/>
  </r>
  <r>
    <s v="ORD-100137"/>
    <s v="07 Jan 2025"/>
    <x v="337"/>
    <x v="206"/>
    <s v="sophia.kapoor61@gmail.com"/>
    <x v="3"/>
    <x v="3"/>
    <x v="4"/>
    <x v="18"/>
    <n v="1"/>
    <n v="29.59"/>
    <n v="0"/>
    <n v="14.41"/>
    <x v="6"/>
    <s v="Bank Transfer"/>
    <x v="1"/>
    <n v="29.59"/>
  </r>
  <r>
    <s v="ORD-100608"/>
    <s v="2025-10-14"/>
    <x v="426"/>
    <x v="335"/>
    <s v="ishaan.jackson2@outlook.com"/>
    <x v="1"/>
    <x v="6"/>
    <x v="2"/>
    <x v="3"/>
    <n v="1"/>
    <n v="7.51"/>
    <n v="0"/>
    <n v="1.54"/>
    <x v="3"/>
    <s v="Credit Card"/>
    <x v="2"/>
    <n v="7.51"/>
  </r>
  <r>
    <s v="ORD-101148"/>
    <s v="July 20, 2024"/>
    <x v="574"/>
    <x v="316"/>
    <s v="arjun.miller51@gmail.com"/>
    <x v="3"/>
    <x v="7"/>
    <x v="4"/>
    <x v="12"/>
    <n v="4"/>
    <n v="13.06"/>
    <n v="0.1"/>
    <n v="11.6"/>
    <x v="7"/>
    <s v="Credit Card"/>
    <x v="0"/>
    <n v="47.016000000000005"/>
  </r>
  <r>
    <s v="ORD-100195"/>
    <s v="08 Nov 2024"/>
    <x v="130"/>
    <x v="200"/>
    <s v="zara.gupta46@company.co"/>
    <x v="0"/>
    <x v="8"/>
    <x v="1"/>
    <x v="7"/>
    <n v="4"/>
    <n v="40.93"/>
    <n v="0.1"/>
    <n v="9.68"/>
    <x v="5"/>
    <s v="Not Known"/>
    <x v="3"/>
    <n v="147.34800000000001"/>
  </r>
  <r>
    <s v="ORD-100909"/>
    <s v="October 12, 2025"/>
    <x v="339"/>
    <x v="148"/>
    <s v="kabir.clark15@company.co"/>
    <x v="2"/>
    <x v="2"/>
    <x v="3"/>
    <x v="11"/>
    <n v="1"/>
    <n v="248.26"/>
    <n v="0.1"/>
    <n v="8.5399999999999991"/>
    <x v="7"/>
    <s v="Credit Card"/>
    <x v="0"/>
    <n v="223.434"/>
  </r>
  <r>
    <s v="ORD-100584"/>
    <s v="04 Oct 2024"/>
    <x v="511"/>
    <x v="242"/>
    <s v="arjun.nair77@outlook.com"/>
    <x v="0"/>
    <x v="8"/>
    <x v="0"/>
    <x v="16"/>
    <n v="5"/>
    <n v="23.31"/>
    <n v="0.05"/>
    <n v="7.61"/>
    <x v="0"/>
    <s v="COD"/>
    <x v="3"/>
    <n v="110.7225"/>
  </r>
  <r>
    <s v="ORD-100103"/>
    <s v="April 04, 2024"/>
    <x v="64"/>
    <x v="18"/>
    <s v="noah.reddy48@gmail.com"/>
    <x v="0"/>
    <x v="9"/>
    <x v="1"/>
    <x v="19"/>
    <n v="10"/>
    <n v="24.78"/>
    <n v="0"/>
    <n v="0.77"/>
    <x v="7"/>
    <s v="COD"/>
    <x v="2"/>
    <n v="247.8"/>
  </r>
  <r>
    <s v="ORD-101335"/>
    <s v="20 Mar 2025"/>
    <x v="575"/>
    <x v="7"/>
    <s v="Not Known"/>
    <x v="0"/>
    <x v="9"/>
    <x v="3"/>
    <x v="21"/>
    <n v="1"/>
    <n v="132.33000000000001"/>
    <n v="0"/>
    <n v="8.9600000000000009"/>
    <x v="7"/>
    <s v="Credit Card"/>
    <x v="2"/>
    <n v="132.33000000000001"/>
  </r>
  <r>
    <s v="ORD-101198"/>
    <s v="16 Oct 2025"/>
    <x v="74"/>
    <x v="146"/>
    <s v="aarav.harris2@yahoo.com"/>
    <x v="0"/>
    <x v="9"/>
    <x v="1"/>
    <x v="15"/>
    <n v="5"/>
    <n v="9.0299999999999994"/>
    <n v="0.05"/>
    <n v="8.33"/>
    <x v="2"/>
    <s v="Debit Card"/>
    <x v="2"/>
    <n v="42.892499999999998"/>
  </r>
  <r>
    <s v="ORD-100719"/>
    <s v="February 02, 2025"/>
    <x v="112"/>
    <x v="103"/>
    <s v="chloe.clark31@outlook.com"/>
    <x v="3"/>
    <x v="7"/>
    <x v="1"/>
    <x v="19"/>
    <n v="2"/>
    <n v="25.92"/>
    <n v="0"/>
    <n v="8.18"/>
    <x v="1"/>
    <s v="Credit Card"/>
    <x v="1"/>
    <n v="51.84"/>
  </r>
  <r>
    <s v="ORD-100884"/>
    <s v="07/13/2024"/>
    <x v="576"/>
    <x v="94"/>
    <s v="sophia.clark59@hotmail.com"/>
    <x v="0"/>
    <x v="9"/>
    <x v="4"/>
    <x v="6"/>
    <n v="2"/>
    <n v="62.87"/>
    <n v="0.05"/>
    <n v="2.02"/>
    <x v="5"/>
    <s v="Credit Card"/>
    <x v="3"/>
    <n v="119.45299999999999"/>
  </r>
  <r>
    <s v="ORD-100776"/>
    <s v="June 24, 2024"/>
    <x v="577"/>
    <x v="241"/>
    <s v="arjun.harris54@yahoo.com"/>
    <x v="3"/>
    <x v="3"/>
    <x v="1"/>
    <x v="20"/>
    <n v="1"/>
    <n v="19.62"/>
    <n v="0.05"/>
    <n v="12.45"/>
    <x v="3"/>
    <s v="Credit Card"/>
    <x v="1"/>
    <n v="18.638999999999999"/>
  </r>
  <r>
    <s v="ORD-100849"/>
    <s v="02/17/2025"/>
    <x v="137"/>
    <x v="321"/>
    <s v="emma.johnson97@gmail.com"/>
    <x v="0"/>
    <x v="0"/>
    <x v="2"/>
    <x v="14"/>
    <n v="1"/>
    <n v="4.17"/>
    <n v="0.15"/>
    <n v="12.23"/>
    <x v="4"/>
    <s v="COD"/>
    <x v="1"/>
    <n v="3.5444999999999998"/>
  </r>
  <r>
    <s v="ORD-100894"/>
    <s v="10-09-2025"/>
    <x v="222"/>
    <x v="308"/>
    <s v="noah.williams4@yahoo.com"/>
    <x v="0"/>
    <x v="0"/>
    <x v="1"/>
    <x v="20"/>
    <n v="5"/>
    <n v="18.09"/>
    <n v="0"/>
    <n v="10.38"/>
    <x v="5"/>
    <s v="Not Known"/>
    <x v="2"/>
    <n v="90.45"/>
  </r>
  <r>
    <s v="ORD-100227"/>
    <s v="07/25/25"/>
    <x v="456"/>
    <x v="200"/>
    <s v="zara.gupta41@yahoo.com"/>
    <x v="4"/>
    <x v="11"/>
    <x v="1"/>
    <x v="1"/>
    <n v="1"/>
    <n v="35.409999999999997"/>
    <n v="0"/>
    <n v="13.38"/>
    <x v="1"/>
    <s v="Credit Card"/>
    <x v="1"/>
    <n v="35.409999999999997"/>
  </r>
  <r>
    <s v="ORD-101359"/>
    <s v="09/11/2024"/>
    <x v="49"/>
    <x v="55"/>
    <s v="sophia.wilson17@gmail.com"/>
    <x v="0"/>
    <x v="0"/>
    <x v="0"/>
    <x v="22"/>
    <n v="1"/>
    <n v="77.52"/>
    <n v="0"/>
    <n v="0"/>
    <x v="6"/>
    <s v="Debit Card"/>
    <x v="2"/>
    <n v="77.52"/>
  </r>
  <r>
    <s v="ORD-100126"/>
    <s v="04/07/2024"/>
    <x v="48"/>
    <x v="73"/>
    <s v="daniel.moore87@hotmail.com"/>
    <x v="4"/>
    <x v="1"/>
    <x v="0"/>
    <x v="22"/>
    <n v="10"/>
    <n v="80.25"/>
    <n v="0"/>
    <n v="13.78"/>
    <x v="0"/>
    <s v="Not Known"/>
    <x v="2"/>
    <n v="802.5"/>
  </r>
  <r>
    <s v="ORD-100405"/>
    <s v="31-05-2024"/>
    <x v="465"/>
    <x v="258"/>
    <s v="chloe.johnson83@gmail.com"/>
    <x v="3"/>
    <x v="4"/>
    <x v="3"/>
    <x v="21"/>
    <n v="2"/>
    <n v="130.94999999999999"/>
    <n v="0.05"/>
    <n v="10.220000000000001"/>
    <x v="0"/>
    <s v="Credit Card"/>
    <x v="2"/>
    <n v="248.80499999999998"/>
  </r>
  <r>
    <s v="ORD-100775"/>
    <s v="2024-09-13"/>
    <x v="334"/>
    <x v="376"/>
    <s v="emma.thomas88@yahoo.com"/>
    <x v="4"/>
    <x v="11"/>
    <x v="1"/>
    <x v="15"/>
    <n v="10"/>
    <n v="9.85"/>
    <n v="0"/>
    <n v="1.62"/>
    <x v="2"/>
    <s v="Debit Card"/>
    <x v="2"/>
    <n v="98.5"/>
  </r>
  <r>
    <s v="ORD-100821"/>
    <s v="07-04-2025"/>
    <x v="251"/>
    <x v="134"/>
    <s v="ella.reddy16@yahoo.com"/>
    <x v="1"/>
    <x v="1"/>
    <x v="0"/>
    <x v="22"/>
    <n v="1"/>
    <n v="83.41"/>
    <n v="0"/>
    <n v="13.91"/>
    <x v="3"/>
    <s v="Bank Transfer"/>
    <x v="0"/>
    <n v="83.41"/>
  </r>
  <r>
    <s v="ORD-100711"/>
    <s v="23 Jun 2024"/>
    <x v="257"/>
    <x v="297"/>
    <s v="olivia.clark25@gmail.com"/>
    <x v="0"/>
    <x v="10"/>
    <x v="3"/>
    <x v="21"/>
    <n v="3"/>
    <n v="123.07"/>
    <n v="0"/>
    <n v="1.61"/>
    <x v="0"/>
    <s v="Bank Transfer"/>
    <x v="2"/>
    <n v="369.21"/>
  </r>
  <r>
    <s v="ORD-101363"/>
    <s v="September 13, 2025"/>
    <x v="291"/>
    <x v="176"/>
    <s v="Not Known"/>
    <x v="0"/>
    <x v="10"/>
    <x v="3"/>
    <x v="11"/>
    <n v="5"/>
    <n v="236.78"/>
    <n v="0.1"/>
    <n v="12.13"/>
    <x v="7"/>
    <s v="Bank Transfer"/>
    <x v="2"/>
    <n v="1065.5100000000002"/>
  </r>
  <r>
    <s v="ORD-101060"/>
    <s v="January 16, 2024"/>
    <x v="357"/>
    <x v="309"/>
    <s v="lily.reddy17@company.co"/>
    <x v="2"/>
    <x v="1"/>
    <x v="1"/>
    <x v="13"/>
    <n v="1"/>
    <n v="190.75"/>
    <n v="0"/>
    <n v="12.61"/>
    <x v="1"/>
    <s v="Bank Transfer"/>
    <x v="2"/>
    <n v="190.75"/>
  </r>
  <r>
    <s v="ORD-101163"/>
    <s v="04/28/2024"/>
    <x v="565"/>
    <x v="209"/>
    <s v="olivia.sharma78@hotmail.com"/>
    <x v="2"/>
    <x v="1"/>
    <x v="0"/>
    <x v="0"/>
    <n v="1"/>
    <n v="39.42"/>
    <n v="0.1"/>
    <n v="1.53"/>
    <x v="5"/>
    <s v="Credit Card"/>
    <x v="0"/>
    <n v="35.478000000000002"/>
  </r>
  <r>
    <s v="ORD-100303"/>
    <s v="27 Aug 2025"/>
    <x v="234"/>
    <x v="10"/>
    <s v="noah.miller9@hotmail.com"/>
    <x v="0"/>
    <x v="0"/>
    <x v="4"/>
    <x v="6"/>
    <n v="1"/>
    <n v="57.83"/>
    <n v="0"/>
    <n v="0"/>
    <x v="0"/>
    <s v="Debit Card"/>
    <x v="2"/>
    <n v="57.83"/>
  </r>
  <r>
    <s v="ORD-100267"/>
    <s v="January 09, 2024"/>
    <x v="514"/>
    <x v="81"/>
    <s v="arjun.moore75@outlook.com"/>
    <x v="2"/>
    <x v="2"/>
    <x v="4"/>
    <x v="6"/>
    <n v="3"/>
    <n v="58.16"/>
    <n v="0.1"/>
    <n v="1.91"/>
    <x v="0"/>
    <s v="Credit Card"/>
    <x v="0"/>
    <n v="157.03199999999998"/>
  </r>
  <r>
    <s v="ORD-100545"/>
    <s v="April 24, 2025"/>
    <x v="167"/>
    <x v="121"/>
    <s v="ishaan.miller80@outlook.com"/>
    <x v="2"/>
    <x v="2"/>
    <x v="4"/>
    <x v="18"/>
    <n v="1"/>
    <n v="28.94"/>
    <n v="0.1"/>
    <n v="0"/>
    <x v="1"/>
    <s v="PayPal"/>
    <x v="2"/>
    <n v="26.046000000000003"/>
  </r>
  <r>
    <s v="ORD-100212"/>
    <s v="08 Oct 2024"/>
    <x v="417"/>
    <x v="329"/>
    <s v="ella.johnson74@outlook.com"/>
    <x v="3"/>
    <x v="3"/>
    <x v="1"/>
    <x v="20"/>
    <n v="5"/>
    <n v="19.79"/>
    <n v="0"/>
    <n v="13.74"/>
    <x v="0"/>
    <s v="Debit Card"/>
    <x v="2"/>
    <n v="98.949999999999989"/>
  </r>
  <r>
    <s v="ORD-100896"/>
    <s v="July 13, 2024"/>
    <x v="576"/>
    <x v="97"/>
    <s v="noah.davis79@company.co"/>
    <x v="0"/>
    <x v="0"/>
    <x v="3"/>
    <x v="9"/>
    <n v="2"/>
    <n v="91.91"/>
    <n v="0.05"/>
    <n v="0.02"/>
    <x v="4"/>
    <s v="Not Known"/>
    <x v="2"/>
    <n v="174.62899999999999"/>
  </r>
  <r>
    <s v="ORD-100916"/>
    <s v="2024-05-18"/>
    <x v="327"/>
    <x v="353"/>
    <s v="olivia.miller86@company.co"/>
    <x v="2"/>
    <x v="1"/>
    <x v="1"/>
    <x v="20"/>
    <n v="10"/>
    <n v="18.46"/>
    <n v="0.15"/>
    <n v="4.6500000000000004"/>
    <x v="0"/>
    <s v="Credit Card"/>
    <x v="3"/>
    <n v="156.91000000000003"/>
  </r>
  <r>
    <s v="ORD-100675"/>
    <s v="2024-01-25"/>
    <x v="501"/>
    <x v="285"/>
    <s v="ethan.moore25@gmail.com"/>
    <x v="1"/>
    <x v="1"/>
    <x v="4"/>
    <x v="18"/>
    <n v="2"/>
    <n v="31.24"/>
    <n v="0.05"/>
    <n v="3.11"/>
    <x v="5"/>
    <s v="Credit Card"/>
    <x v="3"/>
    <n v="59.355999999999995"/>
  </r>
  <r>
    <s v="ORD-100814"/>
    <s v="March 15, 2025"/>
    <x v="33"/>
    <x v="348"/>
    <s v="ava.anderson91@outlook.com"/>
    <x v="4"/>
    <x v="1"/>
    <x v="1"/>
    <x v="1"/>
    <n v="1"/>
    <n v="33.93"/>
    <n v="0.1"/>
    <n v="3.07"/>
    <x v="6"/>
    <s v="PayPal"/>
    <x v="2"/>
    <n v="30.536999999999999"/>
  </r>
  <r>
    <s v="ORD-100342"/>
    <s v="2024-03-19"/>
    <x v="416"/>
    <x v="12"/>
    <s v="noah.moore71@outlook.com"/>
    <x v="3"/>
    <x v="7"/>
    <x v="4"/>
    <x v="6"/>
    <n v="2"/>
    <n v="57.47"/>
    <n v="0"/>
    <n v="6.37"/>
    <x v="5"/>
    <s v="Debit Card"/>
    <x v="3"/>
    <n v="114.94"/>
  </r>
  <r>
    <s v="ORD-100549"/>
    <s v="01/11/2024"/>
    <x v="378"/>
    <x v="213"/>
    <s v="grace.miller23@yahoo.com"/>
    <x v="1"/>
    <x v="6"/>
    <x v="3"/>
    <x v="11"/>
    <n v="5"/>
    <n v="237.18"/>
    <n v="0.15"/>
    <n v="2.92"/>
    <x v="0"/>
    <s v="PayPal"/>
    <x v="2"/>
    <n v="1008.0150000000001"/>
  </r>
  <r>
    <s v="ORD-100966"/>
    <s v="27 Jun 2025"/>
    <x v="557"/>
    <x v="292"/>
    <s v="mia.miller90@gmail.com"/>
    <x v="0"/>
    <x v="10"/>
    <x v="0"/>
    <x v="17"/>
    <n v="1"/>
    <n v="42.94"/>
    <n v="0"/>
    <n v="6.03"/>
    <x v="3"/>
    <s v="Credit Card"/>
    <x v="2"/>
    <n v="42.94"/>
  </r>
  <r>
    <s v="ORD-100295"/>
    <s v="29-06-2025"/>
    <x v="397"/>
    <x v="303"/>
    <s v="rohan.white87@company.co"/>
    <x v="0"/>
    <x v="9"/>
    <x v="0"/>
    <x v="16"/>
    <n v="3"/>
    <n v="22"/>
    <n v="0.15"/>
    <n v="12"/>
    <x v="5"/>
    <s v="Credit Card"/>
    <x v="2"/>
    <n v="56.1"/>
  </r>
  <r>
    <s v="ORD-100695"/>
    <s v="10-01-2025"/>
    <x v="261"/>
    <x v="27"/>
    <s v="rohan.thomas35@outlook.com"/>
    <x v="1"/>
    <x v="1"/>
    <x v="5"/>
    <x v="8"/>
    <n v="5"/>
    <n v="14.79"/>
    <n v="0.1"/>
    <n v="3.29"/>
    <x v="1"/>
    <s v="Not Known"/>
    <x v="2"/>
    <n v="66.554999999999993"/>
  </r>
  <r>
    <s v="ORD-100073"/>
    <s v="2024-07-25"/>
    <x v="18"/>
    <x v="129"/>
    <s v="Not Known"/>
    <x v="3"/>
    <x v="3"/>
    <x v="1"/>
    <x v="7"/>
    <n v="1"/>
    <n v="42.19"/>
    <n v="0.05"/>
    <n v="0.63"/>
    <x v="0"/>
    <s v="Bank Transfer"/>
    <x v="1"/>
    <n v="40.080499999999994"/>
  </r>
  <r>
    <s v="ORD-100605"/>
    <s v="December 28, 2024"/>
    <x v="578"/>
    <x v="8"/>
    <s v="ethan.kapoor26@yahoo.com"/>
    <x v="0"/>
    <x v="9"/>
    <x v="3"/>
    <x v="5"/>
    <n v="10"/>
    <n v="109.3"/>
    <n v="0"/>
    <n v="8.44"/>
    <x v="6"/>
    <s v="Not Known"/>
    <x v="2"/>
    <n v="1093"/>
  </r>
  <r>
    <s v="ORD-100104"/>
    <s v="09/10/25"/>
    <x v="222"/>
    <x v="121"/>
    <s v="ishaan.miller90@company.co"/>
    <x v="1"/>
    <x v="1"/>
    <x v="4"/>
    <x v="18"/>
    <n v="2"/>
    <n v="31.1"/>
    <n v="0"/>
    <n v="3.59"/>
    <x v="4"/>
    <s v="Not Known"/>
    <x v="3"/>
    <n v="62.2"/>
  </r>
  <r>
    <s v="ORD-100645"/>
    <s v="2025-08-10"/>
    <x v="153"/>
    <x v="304"/>
    <s v="Not Known"/>
    <x v="0"/>
    <x v="9"/>
    <x v="3"/>
    <x v="21"/>
    <n v="5"/>
    <n v="126.07"/>
    <n v="0"/>
    <n v="13.57"/>
    <x v="7"/>
    <s v="Debit Card"/>
    <x v="2"/>
    <n v="630.34999999999991"/>
  </r>
  <r>
    <s v="ORD-100432"/>
    <s v="06 May 2024"/>
    <x v="30"/>
    <x v="29"/>
    <s v="chloe.miller53@hotmail.com"/>
    <x v="0"/>
    <x v="8"/>
    <x v="3"/>
    <x v="11"/>
    <n v="1"/>
    <n v="246.56"/>
    <n v="0.1"/>
    <n v="9.85"/>
    <x v="1"/>
    <s v="Debit Card"/>
    <x v="1"/>
    <n v="221.904"/>
  </r>
  <r>
    <s v="ORD-101040"/>
    <s v="01/14/2025"/>
    <x v="263"/>
    <x v="50"/>
    <s v="sophia.nair32@gmail.com"/>
    <x v="3"/>
    <x v="7"/>
    <x v="2"/>
    <x v="14"/>
    <n v="1"/>
    <n v="4.07"/>
    <n v="0"/>
    <n v="2.02"/>
    <x v="0"/>
    <s v="Not Known"/>
    <x v="2"/>
    <n v="4.07"/>
  </r>
  <r>
    <s v="ORD-100439"/>
    <s v="2024-04-11"/>
    <x v="296"/>
    <x v="297"/>
    <s v="olivia.clark58@yahoo.com"/>
    <x v="4"/>
    <x v="11"/>
    <x v="1"/>
    <x v="20"/>
    <n v="1"/>
    <n v="18.29"/>
    <n v="0"/>
    <n v="4.5199999999999996"/>
    <x v="3"/>
    <s v="Not Known"/>
    <x v="2"/>
    <n v="18.29"/>
  </r>
  <r>
    <s v="ORD-101019"/>
    <s v="18-12-2024"/>
    <x v="175"/>
    <x v="274"/>
    <s v="rohan.johnson44@company.co"/>
    <x v="2"/>
    <x v="1"/>
    <x v="3"/>
    <x v="11"/>
    <n v="3"/>
    <n v="253.53"/>
    <n v="0.1"/>
    <m/>
    <x v="6"/>
    <s v="Credit Card"/>
    <x v="2"/>
    <n v="684.53100000000006"/>
  </r>
  <r>
    <s v="ORD-100091"/>
    <s v="April 21, 2024"/>
    <x v="214"/>
    <x v="121"/>
    <s v="ishaan.miller18@hotmail.com"/>
    <x v="0"/>
    <x v="9"/>
    <x v="1"/>
    <x v="7"/>
    <n v="2"/>
    <n v="43.78"/>
    <n v="0.05"/>
    <n v="3.64"/>
    <x v="1"/>
    <s v="COD"/>
    <x v="2"/>
    <n v="83.182000000000002"/>
  </r>
  <r>
    <s v="ORD-101112"/>
    <s v="October 18, 2025"/>
    <x v="579"/>
    <x v="133"/>
    <s v="ishaan.sharma41@yahoo.com"/>
    <x v="1"/>
    <x v="1"/>
    <x v="0"/>
    <x v="16"/>
    <n v="10"/>
    <n v="23.04"/>
    <n v="0"/>
    <n v="7.71"/>
    <x v="0"/>
    <s v="Credit Card"/>
    <x v="1"/>
    <n v="230.39999999999998"/>
  </r>
  <r>
    <s v="ORD-101266"/>
    <s v="26-10-2024"/>
    <x v="154"/>
    <x v="108"/>
    <s v="ella.kapoor85@gmail.com"/>
    <x v="2"/>
    <x v="2"/>
    <x v="4"/>
    <x v="6"/>
    <n v="3"/>
    <n v="61.36"/>
    <n v="0"/>
    <n v="10.25"/>
    <x v="1"/>
    <s v="PayPal"/>
    <x v="2"/>
    <n v="184.07999999999998"/>
  </r>
  <r>
    <s v="ORD-100908"/>
    <s v="29-01-2025"/>
    <x v="428"/>
    <x v="178"/>
    <s v="arjun.jackson26@gmail.com"/>
    <x v="2"/>
    <x v="2"/>
    <x v="0"/>
    <x v="16"/>
    <n v="1"/>
    <n v="22.49"/>
    <n v="0.05"/>
    <n v="0.51"/>
    <x v="4"/>
    <s v="Credit Card"/>
    <x v="2"/>
    <n v="21.365499999999997"/>
  </r>
  <r>
    <s v="ORD-100102"/>
    <s v="14 Dec 2025"/>
    <x v="213"/>
    <x v="377"/>
    <s v="grace.harris41@company.co"/>
    <x v="4"/>
    <x v="1"/>
    <x v="4"/>
    <x v="8"/>
    <n v="1"/>
    <n v="14.66"/>
    <n v="0"/>
    <n v="5.65"/>
    <x v="3"/>
    <s v="Credit Card"/>
    <x v="2"/>
    <n v="14.66"/>
  </r>
  <r>
    <s v="ORD-100238"/>
    <s v="06/20/2025"/>
    <x v="580"/>
    <x v="246"/>
    <s v="chloe.harris79@hotmail.com"/>
    <x v="3"/>
    <x v="7"/>
    <x v="1"/>
    <x v="13"/>
    <n v="1"/>
    <n v="190.02"/>
    <n v="0"/>
    <n v="0"/>
    <x v="7"/>
    <s v="PayPal"/>
    <x v="2"/>
    <n v="190.02"/>
  </r>
  <r>
    <s v="ORD-101230"/>
    <s v="04/12/2024"/>
    <x v="264"/>
    <x v="306"/>
    <s v="noah.gupta87@company.co"/>
    <x v="1"/>
    <x v="6"/>
    <x v="1"/>
    <x v="7"/>
    <n v="3"/>
    <n v="41.31"/>
    <n v="0"/>
    <n v="11.72"/>
    <x v="6"/>
    <s v="PayPal"/>
    <x v="2"/>
    <n v="123.93"/>
  </r>
  <r>
    <s v="ORD-100942"/>
    <s v="June 03, 2025"/>
    <x v="323"/>
    <x v="375"/>
    <s v="arjun.brown79@company.co"/>
    <x v="4"/>
    <x v="11"/>
    <x v="3"/>
    <x v="5"/>
    <n v="1"/>
    <n v="110.37"/>
    <n v="0.15"/>
    <n v="2.44"/>
    <x v="4"/>
    <s v="Credit Card"/>
    <x v="3"/>
    <n v="93.814499999999995"/>
  </r>
  <r>
    <s v="ORD-100938"/>
    <s v="07 Aug 2024"/>
    <x v="581"/>
    <x v="217"/>
    <s v="ella.miller27@company.co"/>
    <x v="2"/>
    <x v="2"/>
    <x v="2"/>
    <x v="3"/>
    <n v="2"/>
    <n v="8"/>
    <n v="0"/>
    <n v="1.25"/>
    <x v="4"/>
    <s v="COD"/>
    <x v="2"/>
    <n v="16"/>
  </r>
  <r>
    <s v="ORD-101181"/>
    <s v="09/19/2025"/>
    <x v="519"/>
    <x v="187"/>
    <s v="noah.iyer49@hotmail.com"/>
    <x v="4"/>
    <x v="5"/>
    <x v="0"/>
    <x v="0"/>
    <n v="1"/>
    <n v="41.48"/>
    <n v="0.05"/>
    <n v="11.32"/>
    <x v="0"/>
    <s v="Credit Card"/>
    <x v="2"/>
    <n v="39.405999999999992"/>
  </r>
  <r>
    <s v="ORD-100005"/>
    <s v="September 26, 2024"/>
    <x v="582"/>
    <x v="270"/>
    <s v="kabir.taylor1@company.co"/>
    <x v="2"/>
    <x v="2"/>
    <x v="0"/>
    <x v="22"/>
    <n v="1"/>
    <n v="83.76"/>
    <n v="0"/>
    <n v="13.69"/>
    <x v="0"/>
    <s v="Not Known"/>
    <x v="2"/>
    <n v="83.76"/>
  </r>
  <r>
    <s v="ORD-101311"/>
    <s v="10-01-2025"/>
    <x v="261"/>
    <x v="137"/>
    <s v="rohan.miller69@yahoo.com"/>
    <x v="0"/>
    <x v="0"/>
    <x v="4"/>
    <x v="8"/>
    <n v="3"/>
    <n v="14.39"/>
    <n v="0.15"/>
    <n v="12.51"/>
    <x v="4"/>
    <s v="Debit Card"/>
    <x v="3"/>
    <n v="36.694499999999998"/>
  </r>
  <r>
    <s v="ORD-100965"/>
    <s v="2024-12-23"/>
    <x v="509"/>
    <x v="349"/>
    <s v="ella.gupta41@outlook.com"/>
    <x v="1"/>
    <x v="1"/>
    <x v="0"/>
    <x v="0"/>
    <n v="1"/>
    <n v="41.14"/>
    <n v="0.05"/>
    <n v="0.63"/>
    <x v="6"/>
    <s v="COD"/>
    <x v="2"/>
    <n v="39.082999999999998"/>
  </r>
  <r>
    <s v="ORD-100018"/>
    <s v="26 Dec 2025"/>
    <x v="583"/>
    <x v="136"/>
    <s v="grace.nair6@hotmail.com"/>
    <x v="0"/>
    <x v="0"/>
    <x v="3"/>
    <x v="21"/>
    <n v="3"/>
    <n v="123.95"/>
    <n v="0.15"/>
    <n v="12.1"/>
    <x v="1"/>
    <s v="PayPal"/>
    <x v="1"/>
    <n v="316.07249999999999"/>
  </r>
  <r>
    <s v="ORD-100121"/>
    <s v="2025-08-24"/>
    <x v="584"/>
    <x v="147"/>
    <s v="kabir.white51@hotmail.com"/>
    <x v="1"/>
    <x v="1"/>
    <x v="0"/>
    <x v="0"/>
    <n v="5"/>
    <n v="39.450000000000003"/>
    <n v="0"/>
    <n v="6.87"/>
    <x v="2"/>
    <s v="Not Known"/>
    <x v="3"/>
    <n v="197.25"/>
  </r>
  <r>
    <s v="ORD-100661"/>
    <s v="12/31/2025"/>
    <x v="585"/>
    <x v="218"/>
    <s v="Not Known"/>
    <x v="3"/>
    <x v="4"/>
    <x v="4"/>
    <x v="8"/>
    <n v="1"/>
    <n v="14.84"/>
    <n v="0"/>
    <n v="0"/>
    <x v="5"/>
    <s v="Credit Card"/>
    <x v="2"/>
    <n v="14.84"/>
  </r>
  <r>
    <s v="ORD-101218"/>
    <s v="19-05-2024"/>
    <x v="586"/>
    <x v="209"/>
    <s v="Not Known"/>
    <x v="4"/>
    <x v="5"/>
    <x v="2"/>
    <x v="4"/>
    <n v="4"/>
    <n v="6.59"/>
    <n v="0"/>
    <n v="5.77"/>
    <x v="7"/>
    <s v="Credit Card"/>
    <x v="3"/>
    <n v="26.36"/>
  </r>
  <r>
    <s v="ORD-100274"/>
    <s v="02/23/2024"/>
    <x v="229"/>
    <x v="21"/>
    <s v="arjun.anderson15@outlook.com"/>
    <x v="3"/>
    <x v="7"/>
    <x v="4"/>
    <x v="6"/>
    <n v="1"/>
    <n v="58.42"/>
    <n v="0.05"/>
    <n v="4.5199999999999996"/>
    <x v="1"/>
    <s v="Debit Card"/>
    <x v="1"/>
    <n v="55.499000000000002"/>
  </r>
  <r>
    <s v="ORD-100433"/>
    <s v="12/27/2025"/>
    <x v="189"/>
    <x v="139"/>
    <s v="Not Known"/>
    <x v="0"/>
    <x v="9"/>
    <x v="4"/>
    <x v="18"/>
    <n v="1"/>
    <n v="30.1"/>
    <n v="0.05"/>
    <n v="0.6"/>
    <x v="7"/>
    <s v="Debit Card"/>
    <x v="0"/>
    <n v="28.594999999999999"/>
  </r>
  <r>
    <s v="ORD-100811"/>
    <s v="2024-04-23"/>
    <x v="587"/>
    <x v="72"/>
    <s v="chloe.brown1@outlook.com"/>
    <x v="0"/>
    <x v="0"/>
    <x v="3"/>
    <x v="9"/>
    <n v="2"/>
    <n v="87.09"/>
    <n v="0.1"/>
    <n v="0"/>
    <x v="5"/>
    <s v="Not Known"/>
    <x v="2"/>
    <n v="156.762"/>
  </r>
  <r>
    <s v="ORD-101350"/>
    <s v="15 Jun 2025"/>
    <x v="390"/>
    <x v="292"/>
    <s v="mia.miller60@outlook.com"/>
    <x v="2"/>
    <x v="2"/>
    <x v="4"/>
    <x v="6"/>
    <n v="2"/>
    <n v="58.02"/>
    <n v="0.05"/>
    <n v="13.01"/>
    <x v="4"/>
    <s v="Debit Card"/>
    <x v="2"/>
    <n v="110.238"/>
  </r>
  <r>
    <s v="ORD-101364"/>
    <s v="18 Oct 2024"/>
    <x v="556"/>
    <x v="297"/>
    <s v="Not Known"/>
    <x v="2"/>
    <x v="2"/>
    <x v="2"/>
    <x v="14"/>
    <n v="1"/>
    <n v="4.33"/>
    <n v="0"/>
    <n v="0"/>
    <x v="6"/>
    <s v="COD"/>
    <x v="2"/>
    <n v="4.33"/>
  </r>
  <r>
    <s v="ORD-100181"/>
    <s v="2024-05-11"/>
    <x v="105"/>
    <x v="77"/>
    <s v="arjun.white23@yahoo.com"/>
    <x v="2"/>
    <x v="1"/>
    <x v="4"/>
    <x v="12"/>
    <n v="10"/>
    <n v="13.03"/>
    <n v="0.1"/>
    <n v="9.09"/>
    <x v="4"/>
    <s v="Bank Transfer"/>
    <x v="1"/>
    <n v="117.26999999999998"/>
  </r>
  <r>
    <s v="ORD-100184"/>
    <s v="10/29/2024"/>
    <x v="588"/>
    <x v="208"/>
    <s v="kabir.davis89@yahoo.com"/>
    <x v="1"/>
    <x v="1"/>
    <x v="1"/>
    <x v="13"/>
    <n v="1"/>
    <n v="183.25"/>
    <n v="0.05"/>
    <n v="5.38"/>
    <x v="3"/>
    <s v="Credit Card"/>
    <x v="2"/>
    <n v="174.08750000000001"/>
  </r>
  <r>
    <s v="ORD-100406"/>
    <s v="05 Nov 2025"/>
    <x v="96"/>
    <x v="305"/>
    <s v="grace.davis69@outlook.com"/>
    <x v="1"/>
    <x v="1"/>
    <x v="4"/>
    <x v="6"/>
    <n v="10"/>
    <n v="61.23"/>
    <n v="0.05"/>
    <n v="6.17"/>
    <x v="5"/>
    <s v="Credit Card"/>
    <x v="0"/>
    <n v="581.68499999999995"/>
  </r>
  <r>
    <s v="ORD-100865"/>
    <s v="18-11-2024"/>
    <x v="249"/>
    <x v="378"/>
    <s v="olivia.davis30@hotmail.com"/>
    <x v="2"/>
    <x v="1"/>
    <x v="2"/>
    <x v="10"/>
    <n v="5"/>
    <n v="3.19"/>
    <n v="0.1"/>
    <n v="10.24"/>
    <x v="6"/>
    <s v="Credit Card"/>
    <x v="2"/>
    <n v="14.355"/>
  </r>
  <r>
    <s v="ORD-100520"/>
    <s v="09/06/2025"/>
    <x v="473"/>
    <x v="212"/>
    <s v="kabir.iyer6@outlook.com"/>
    <x v="1"/>
    <x v="6"/>
    <x v="0"/>
    <x v="22"/>
    <n v="2"/>
    <n v="76.33"/>
    <n v="0"/>
    <n v="7.6"/>
    <x v="5"/>
    <s v="Bank Transfer"/>
    <x v="2"/>
    <n v="152.66"/>
  </r>
  <r>
    <s v="ORD-101003"/>
    <s v="2024-07-25"/>
    <x v="18"/>
    <x v="310"/>
    <s v="emma.kapoor90@yahoo.com"/>
    <x v="1"/>
    <x v="1"/>
    <x v="3"/>
    <x v="5"/>
    <n v="5"/>
    <n v="104.55"/>
    <n v="0"/>
    <n v="12.42"/>
    <x v="6"/>
    <s v="Credit Card"/>
    <x v="2"/>
    <n v="522.75"/>
  </r>
  <r>
    <s v="ORD-100380"/>
    <s v="04/12/2025"/>
    <x v="240"/>
    <x v="18"/>
    <s v="noah.reddy40@outlook.com"/>
    <x v="0"/>
    <x v="8"/>
    <x v="2"/>
    <x v="14"/>
    <n v="1"/>
    <n v="4.05"/>
    <n v="0"/>
    <n v="9.91"/>
    <x v="7"/>
    <s v="COD"/>
    <x v="2"/>
    <n v="4.05"/>
  </r>
  <r>
    <s v="ORD-100427"/>
    <s v="06/08/24"/>
    <x v="589"/>
    <x v="309"/>
    <s v="lily.reddy92@gmail.com"/>
    <x v="1"/>
    <x v="6"/>
    <x v="4"/>
    <x v="18"/>
    <n v="10"/>
    <n v="29.53"/>
    <n v="0"/>
    <n v="8.51"/>
    <x v="0"/>
    <s v="Credit Card"/>
    <x v="0"/>
    <n v="295.3"/>
  </r>
  <r>
    <s v="ORD-100078"/>
    <s v="10/15/2025"/>
    <x v="169"/>
    <x v="99"/>
    <s v="liam.harris90@yahoo.com"/>
    <x v="4"/>
    <x v="11"/>
    <x v="2"/>
    <x v="3"/>
    <n v="3"/>
    <n v="8.19"/>
    <n v="0.15"/>
    <n v="3.36"/>
    <x v="1"/>
    <s v="Not Known"/>
    <x v="2"/>
    <n v="20.884499999999999"/>
  </r>
  <r>
    <s v="ORD-101009"/>
    <s v="01-04-2024"/>
    <x v="590"/>
    <x v="136"/>
    <s v="grace.nair19@outlook.com"/>
    <x v="2"/>
    <x v="2"/>
    <x v="4"/>
    <x v="12"/>
    <n v="3"/>
    <n v="12.85"/>
    <n v="0"/>
    <n v="12.58"/>
    <x v="0"/>
    <s v="Not Known"/>
    <x v="2"/>
    <n v="38.549999999999997"/>
  </r>
  <r>
    <s v="ORD-101215"/>
    <s v="July 01, 2025"/>
    <x v="525"/>
    <x v="88"/>
    <s v="noah.clark12@company.co"/>
    <x v="1"/>
    <x v="10"/>
    <x v="4"/>
    <x v="8"/>
    <n v="2"/>
    <n v="14.97"/>
    <n v="0"/>
    <n v="0"/>
    <x v="5"/>
    <s v="Not Known"/>
    <x v="3"/>
    <n v="29.94"/>
  </r>
  <r>
    <s v="ORD-100607"/>
    <s v="05 Sep 2024"/>
    <x v="135"/>
    <x v="216"/>
    <s v="olivia.thomas98@company.co"/>
    <x v="0"/>
    <x v="8"/>
    <x v="3"/>
    <x v="9"/>
    <n v="1"/>
    <n v="86.41"/>
    <n v="0"/>
    <n v="6.29"/>
    <x v="1"/>
    <s v="Credit Card"/>
    <x v="0"/>
    <n v="86.41"/>
  </r>
  <r>
    <s v="ORD-101285"/>
    <s v="11/24/2024"/>
    <x v="591"/>
    <x v="176"/>
    <s v="liam.taylor9@yahoo.com"/>
    <x v="4"/>
    <x v="1"/>
    <x v="1"/>
    <x v="7"/>
    <n v="2"/>
    <n v="42.94"/>
    <n v="0.05"/>
    <n v="12.13"/>
    <x v="0"/>
    <s v="Credit Card"/>
    <x v="2"/>
    <n v="81.585999999999999"/>
  </r>
  <r>
    <s v="ORD-101051"/>
    <s v="08 Jun 2025"/>
    <x v="87"/>
    <x v="83"/>
    <s v="grace.white99@gmail.com"/>
    <x v="1"/>
    <x v="6"/>
    <x v="1"/>
    <x v="19"/>
    <n v="1"/>
    <n v="26.08"/>
    <n v="0.1"/>
    <n v="6.46"/>
    <x v="1"/>
    <s v="Bank Transfer"/>
    <x v="0"/>
    <n v="23.471999999999998"/>
  </r>
  <r>
    <s v="ORD-101317"/>
    <s v="03/05/24"/>
    <x v="592"/>
    <x v="195"/>
    <s v="ethan.wilson99@hotmail.com"/>
    <x v="3"/>
    <x v="7"/>
    <x v="2"/>
    <x v="3"/>
    <n v="2"/>
    <n v="7.91"/>
    <n v="0.1"/>
    <n v="0.34"/>
    <x v="6"/>
    <s v="COD"/>
    <x v="2"/>
    <n v="14.238000000000001"/>
  </r>
  <r>
    <s v="ORD-101057"/>
    <s v="11/10/2025"/>
    <x v="119"/>
    <x v="47"/>
    <s v="chloe.kapoor35@company.co"/>
    <x v="0"/>
    <x v="8"/>
    <x v="2"/>
    <x v="4"/>
    <n v="1"/>
    <n v="6.48"/>
    <n v="0.1"/>
    <n v="13.25"/>
    <x v="6"/>
    <s v="Credit Card"/>
    <x v="1"/>
    <n v="5.8320000000000007"/>
  </r>
  <r>
    <s v="ORD-101091"/>
    <s v="08-01-2024"/>
    <x v="16"/>
    <x v="44"/>
    <s v="daniel.nair71@hotmail.com"/>
    <x v="3"/>
    <x v="7"/>
    <x v="3"/>
    <x v="5"/>
    <n v="2"/>
    <n v="114.24"/>
    <n v="0.05"/>
    <n v="11.58"/>
    <x v="1"/>
    <s v="COD"/>
    <x v="2"/>
    <n v="217.05599999999998"/>
  </r>
  <r>
    <s v="ORD-101101"/>
    <s v="03/23/25"/>
    <x v="329"/>
    <x v="315"/>
    <s v="ella.taylor58@gmail.com"/>
    <x v="4"/>
    <x v="1"/>
    <x v="0"/>
    <x v="17"/>
    <n v="3"/>
    <n v="45.72"/>
    <n v="0.1"/>
    <n v="13.14"/>
    <x v="2"/>
    <s v="Credit Card"/>
    <x v="2"/>
    <n v="123.444"/>
  </r>
  <r>
    <s v="ORD-101129"/>
    <s v="01 Mar 2025"/>
    <x v="134"/>
    <x v="60"/>
    <s v="arjun.clark25@gmail.com"/>
    <x v="0"/>
    <x v="8"/>
    <x v="1"/>
    <x v="15"/>
    <n v="3"/>
    <n v="9.43"/>
    <n v="0"/>
    <n v="9"/>
    <x v="7"/>
    <s v="Debit Card"/>
    <x v="1"/>
    <n v="28.29"/>
  </r>
  <r>
    <s v="ORD-101235"/>
    <s v="07-10-2024"/>
    <x v="172"/>
    <x v="78"/>
    <s v="Not Known"/>
    <x v="0"/>
    <x v="0"/>
    <x v="0"/>
    <x v="16"/>
    <n v="2"/>
    <n v="22.47"/>
    <n v="0.15"/>
    <m/>
    <x v="2"/>
    <s v="Credit Card"/>
    <x v="2"/>
    <n v="38.198999999999998"/>
  </r>
  <r>
    <s v="ORD-101272"/>
    <s v="March 31, 2025"/>
    <x v="362"/>
    <x v="305"/>
    <s v="grace.davis51@company.co"/>
    <x v="1"/>
    <x v="1"/>
    <x v="1"/>
    <x v="13"/>
    <n v="5"/>
    <n v="186.22"/>
    <n v="0.05"/>
    <n v="7.64"/>
    <x v="3"/>
    <s v="Not Known"/>
    <x v="2"/>
    <n v="884.54499999999996"/>
  </r>
  <r>
    <s v="ORD-100958"/>
    <s v="2025-08-25"/>
    <x v="9"/>
    <x v="379"/>
    <s v="liam.white51@yahoo.com"/>
    <x v="3"/>
    <x v="7"/>
    <x v="4"/>
    <x v="6"/>
    <n v="4"/>
    <n v="58.12"/>
    <n v="0.05"/>
    <n v="12.2"/>
    <x v="2"/>
    <s v="Bank Transfer"/>
    <x v="3"/>
    <n v="220.85599999999997"/>
  </r>
  <r>
    <s v="ORD-100559"/>
    <s v="25-06-2024"/>
    <x v="338"/>
    <x v="87"/>
    <s v="noah.anderson26@gmail.com"/>
    <x v="4"/>
    <x v="1"/>
    <x v="2"/>
    <x v="10"/>
    <n v="1"/>
    <n v="3.19"/>
    <n v="0.1"/>
    <n v="0"/>
    <x v="1"/>
    <s v="Not Known"/>
    <x v="2"/>
    <n v="2.871"/>
  </r>
  <r>
    <s v="ORD-100846"/>
    <s v="November 06, 2025"/>
    <x v="186"/>
    <x v="175"/>
    <s v="advait.wilson83@yahoo.com"/>
    <x v="4"/>
    <x v="1"/>
    <x v="2"/>
    <x v="2"/>
    <n v="5"/>
    <n v="14.21"/>
    <n v="0"/>
    <n v="0"/>
    <x v="2"/>
    <s v="Bank Transfer"/>
    <x v="2"/>
    <n v="71.050000000000011"/>
  </r>
  <r>
    <s v="ORD-100690"/>
    <s v="2025-01-05"/>
    <x v="52"/>
    <x v="264"/>
    <s v="lily.brown16@gmail.com"/>
    <x v="2"/>
    <x v="2"/>
    <x v="0"/>
    <x v="16"/>
    <n v="4"/>
    <n v="21.82"/>
    <n v="0.05"/>
    <n v="4.16"/>
    <x v="0"/>
    <s v="Credit Card"/>
    <x v="2"/>
    <n v="82.915999999999997"/>
  </r>
  <r>
    <s v="ORD-100547"/>
    <s v="May 20, 2024"/>
    <x v="203"/>
    <x v="97"/>
    <s v="noah.davis7@gmail.com"/>
    <x v="3"/>
    <x v="3"/>
    <x v="2"/>
    <x v="4"/>
    <n v="1"/>
    <n v="6.68"/>
    <n v="0"/>
    <n v="9.9700000000000006"/>
    <x v="4"/>
    <s v="PayPal"/>
    <x v="2"/>
    <n v="6.68"/>
  </r>
  <r>
    <s v="ORD-101348"/>
    <s v="2025-03-30"/>
    <x v="254"/>
    <x v="368"/>
    <s v="daniel.brown83@yahoo.com"/>
    <x v="3"/>
    <x v="4"/>
    <x v="2"/>
    <x v="2"/>
    <n v="10"/>
    <n v="14.57"/>
    <n v="0.15"/>
    <n v="14.6"/>
    <x v="3"/>
    <s v="PayPal"/>
    <x v="2"/>
    <n v="123.84499999999998"/>
  </r>
  <r>
    <s v="ORD-100436"/>
    <s v="29 May 2024"/>
    <x v="593"/>
    <x v="336"/>
    <s v="arjun.gupta25@gmail.com"/>
    <x v="2"/>
    <x v="2"/>
    <x v="1"/>
    <x v="1"/>
    <n v="1"/>
    <n v="35.799999999999997"/>
    <n v="0.05"/>
    <n v="1.36"/>
    <x v="6"/>
    <s v="Debit Card"/>
    <x v="1"/>
    <n v="34.01"/>
  </r>
  <r>
    <s v="ORD-100490"/>
    <s v="2024-05-30"/>
    <x v="99"/>
    <x v="209"/>
    <s v="olivia.sharma22@yahoo.com"/>
    <x v="3"/>
    <x v="7"/>
    <x v="0"/>
    <x v="17"/>
    <n v="5"/>
    <n v="44.95"/>
    <n v="0"/>
    <n v="11.04"/>
    <x v="3"/>
    <s v="Debit Card"/>
    <x v="0"/>
    <n v="224.75"/>
  </r>
  <r>
    <s v="ORD-100285"/>
    <s v="12/24/25"/>
    <x v="14"/>
    <x v="14"/>
    <s v="ava.sharma12@gmail.com"/>
    <x v="3"/>
    <x v="7"/>
    <x v="2"/>
    <x v="2"/>
    <n v="1"/>
    <n v="13.36"/>
    <n v="0.1"/>
    <n v="6.24"/>
    <x v="3"/>
    <s v="COD"/>
    <x v="2"/>
    <n v="12.023999999999999"/>
  </r>
  <r>
    <s v="ORD-101327"/>
    <s v="January 26, 2024"/>
    <x v="464"/>
    <x v="199"/>
    <s v="daniel.davis74@yahoo.com"/>
    <x v="4"/>
    <x v="11"/>
    <x v="2"/>
    <x v="4"/>
    <n v="4"/>
    <n v="6.56"/>
    <n v="0"/>
    <n v="5.5"/>
    <x v="0"/>
    <s v="Bank Transfer"/>
    <x v="2"/>
    <n v="26.24"/>
  </r>
  <r>
    <s v="ORD-100069"/>
    <s v="29-05-2025"/>
    <x v="594"/>
    <x v="343"/>
    <s v="liam.wilson51@gmail.com"/>
    <x v="1"/>
    <x v="1"/>
    <x v="2"/>
    <x v="10"/>
    <n v="1"/>
    <n v="3.08"/>
    <n v="0.1"/>
    <n v="1.22"/>
    <x v="1"/>
    <s v="Credit Card"/>
    <x v="0"/>
    <n v="2.7720000000000002"/>
  </r>
  <r>
    <s v="ORD-100808"/>
    <s v="2024-09-22"/>
    <x v="219"/>
    <x v="315"/>
    <s v="ella.taylor4@yahoo.com"/>
    <x v="1"/>
    <x v="1"/>
    <x v="4"/>
    <x v="12"/>
    <n v="4"/>
    <n v="12.52"/>
    <n v="0.15"/>
    <n v="0.38"/>
    <x v="3"/>
    <s v="Credit Card"/>
    <x v="1"/>
    <n v="42.567999999999998"/>
  </r>
  <r>
    <s v="ORD-101184"/>
    <s v="06 Jan 2024"/>
    <x v="1"/>
    <x v="322"/>
    <s v="zara.brown41@company.co"/>
    <x v="3"/>
    <x v="4"/>
    <x v="3"/>
    <x v="5"/>
    <n v="1"/>
    <n v="106.26"/>
    <n v="0.1"/>
    <m/>
    <x v="4"/>
    <s v="Debit Card"/>
    <x v="2"/>
    <n v="95.634"/>
  </r>
  <r>
    <s v="ORD-100011"/>
    <s v="2024-06-10"/>
    <x v="595"/>
    <x v="189"/>
    <s v="olivia.taylor68@hotmail.com"/>
    <x v="3"/>
    <x v="3"/>
    <x v="2"/>
    <x v="10"/>
    <n v="1"/>
    <n v="3.01"/>
    <n v="0"/>
    <n v="0"/>
    <x v="2"/>
    <s v="Credit Card"/>
    <x v="2"/>
    <n v="3.01"/>
  </r>
  <r>
    <s v="ORD-100144"/>
    <s v="02/21/2024"/>
    <x v="284"/>
    <x v="335"/>
    <s v="ishaan.jackson60@outlook.com"/>
    <x v="0"/>
    <x v="0"/>
    <x v="0"/>
    <x v="22"/>
    <n v="1"/>
    <n v="83.33"/>
    <n v="0"/>
    <n v="10.87"/>
    <x v="3"/>
    <s v="Credit Card"/>
    <x v="1"/>
    <n v="83.33"/>
  </r>
  <r>
    <s v="ORD-100917"/>
    <s v="28-10-2025"/>
    <x v="467"/>
    <x v="273"/>
    <s v="Not Known"/>
    <x v="2"/>
    <x v="1"/>
    <x v="1"/>
    <x v="7"/>
    <n v="1"/>
    <n v="40.869999999999997"/>
    <n v="0.1"/>
    <n v="2.11"/>
    <x v="0"/>
    <s v="Debit Card"/>
    <x v="2"/>
    <n v="36.783000000000001"/>
  </r>
  <r>
    <s v="ORD-100639"/>
    <s v="06 Nov 2025"/>
    <x v="186"/>
    <x v="287"/>
    <s v="mia.nair21@outlook.com"/>
    <x v="2"/>
    <x v="2"/>
    <x v="2"/>
    <x v="3"/>
    <n v="10"/>
    <n v="7.52"/>
    <n v="0.05"/>
    <n v="14.15"/>
    <x v="6"/>
    <s v="COD"/>
    <x v="2"/>
    <n v="71.439999999999984"/>
  </r>
  <r>
    <s v="ORD-100176"/>
    <s v="December 18, 2025"/>
    <x v="324"/>
    <x v="60"/>
    <s v="arjun.clark89@outlook.com"/>
    <x v="1"/>
    <x v="6"/>
    <x v="1"/>
    <x v="20"/>
    <n v="1"/>
    <n v="18.54"/>
    <n v="0"/>
    <n v="10.9"/>
    <x v="3"/>
    <s v="PayPal"/>
    <x v="1"/>
    <n v="18.54"/>
  </r>
  <r>
    <s v="ORD-100994"/>
    <s v="03 Mar 2024"/>
    <x v="476"/>
    <x v="265"/>
    <s v="ava.taylor5@company.co"/>
    <x v="3"/>
    <x v="4"/>
    <x v="3"/>
    <x v="21"/>
    <n v="4"/>
    <n v="129.63"/>
    <n v="0"/>
    <n v="0.83"/>
    <x v="7"/>
    <s v="Debit Card"/>
    <x v="2"/>
    <n v="518.52"/>
  </r>
  <r>
    <s v="ORD-100440"/>
    <s v="March 05, 2025"/>
    <x v="384"/>
    <x v="222"/>
    <s v="Not Known"/>
    <x v="3"/>
    <x v="3"/>
    <x v="2"/>
    <x v="14"/>
    <n v="2"/>
    <n v="4.22"/>
    <n v="0"/>
    <n v="2.5"/>
    <x v="0"/>
    <s v="COD"/>
    <x v="2"/>
    <n v="8.44"/>
  </r>
  <r>
    <s v="ORD-100521"/>
    <s v="09 Dec 2024"/>
    <x v="534"/>
    <x v="268"/>
    <s v="grace.moore47@outlook.com"/>
    <x v="4"/>
    <x v="11"/>
    <x v="0"/>
    <x v="22"/>
    <n v="4"/>
    <n v="82.62"/>
    <n v="0"/>
    <n v="14.14"/>
    <x v="0"/>
    <s v="Bank Transfer"/>
    <x v="2"/>
    <n v="330.48"/>
  </r>
  <r>
    <s v="ORD-100694"/>
    <s v="10/24/2024"/>
    <x v="523"/>
    <x v="172"/>
    <s v="ava.reddy92@company.co"/>
    <x v="2"/>
    <x v="2"/>
    <x v="4"/>
    <x v="18"/>
    <n v="1"/>
    <n v="29.61"/>
    <n v="0.1"/>
    <n v="7.05"/>
    <x v="6"/>
    <s v="COD"/>
    <x v="2"/>
    <n v="26.649000000000001"/>
  </r>
  <r>
    <s v="ORD-101004"/>
    <s v="2025-02-28"/>
    <x v="596"/>
    <x v="25"/>
    <s v="emma.white72@company.co"/>
    <x v="0"/>
    <x v="8"/>
    <x v="2"/>
    <x v="10"/>
    <n v="1"/>
    <n v="3.23"/>
    <n v="0.05"/>
    <n v="13.27"/>
    <x v="7"/>
    <s v="Credit Card"/>
    <x v="0"/>
    <n v="3.0684999999999998"/>
  </r>
  <r>
    <s v="ORD-101255"/>
    <s v="12/10/2025"/>
    <x v="435"/>
    <x v="121"/>
    <s v="ishaan.miller62@company.co"/>
    <x v="2"/>
    <x v="1"/>
    <x v="3"/>
    <x v="21"/>
    <n v="1"/>
    <n v="127.95"/>
    <n v="0"/>
    <n v="3.4"/>
    <x v="0"/>
    <s v="Credit Card"/>
    <x v="2"/>
    <n v="127.95"/>
  </r>
  <r>
    <s v="ORD-101234"/>
    <s v="03/29/2025"/>
    <x v="597"/>
    <x v="245"/>
    <s v="ava.brown42@hotmail.com"/>
    <x v="4"/>
    <x v="1"/>
    <x v="1"/>
    <x v="1"/>
    <n v="1"/>
    <n v="35"/>
    <n v="0"/>
    <n v="11.67"/>
    <x v="5"/>
    <s v="Not Known"/>
    <x v="2"/>
    <n v="35"/>
  </r>
  <r>
    <s v="ORD-100143"/>
    <s v="2024-05-04"/>
    <x v="225"/>
    <x v="20"/>
    <s v="ethan.jackson18@gmail.com"/>
    <x v="4"/>
    <x v="11"/>
    <x v="0"/>
    <x v="17"/>
    <n v="1"/>
    <n v="45.8"/>
    <n v="0"/>
    <n v="14.74"/>
    <x v="2"/>
    <s v="Credit Card"/>
    <x v="1"/>
    <n v="45.8"/>
  </r>
  <r>
    <s v="ORD-100753"/>
    <s v="October 24, 2024"/>
    <x v="523"/>
    <x v="133"/>
    <s v="ishaan.sharma36@outlook.com"/>
    <x v="1"/>
    <x v="6"/>
    <x v="2"/>
    <x v="10"/>
    <n v="1"/>
    <n v="3.05"/>
    <n v="0.1"/>
    <n v="7.96"/>
    <x v="6"/>
    <s v="Not Known"/>
    <x v="2"/>
    <n v="2.7450000000000001"/>
  </r>
  <r>
    <s v="ORD-100519"/>
    <s v="05/10/2024"/>
    <x v="353"/>
    <x v="155"/>
    <s v="daniel.williams64@outlook.com"/>
    <x v="2"/>
    <x v="1"/>
    <x v="4"/>
    <x v="12"/>
    <n v="2"/>
    <n v="13.09"/>
    <n v="0"/>
    <n v="13.07"/>
    <x v="6"/>
    <s v="Credit Card"/>
    <x v="2"/>
    <n v="26.18"/>
  </r>
  <r>
    <s v="ORD-100822"/>
    <s v="2025-07-30"/>
    <x v="356"/>
    <x v="74"/>
    <s v="daniel.white49@yahoo.com"/>
    <x v="2"/>
    <x v="1"/>
    <x v="1"/>
    <x v="20"/>
    <n v="4"/>
    <n v="18.53"/>
    <n v="0.05"/>
    <n v="1.37"/>
    <x v="5"/>
    <s v="Credit Card"/>
    <x v="2"/>
    <n v="70.414000000000001"/>
  </r>
  <r>
    <s v="ORD-100428"/>
    <s v="08 Nov 2024"/>
    <x v="130"/>
    <x v="53"/>
    <s v="mia.iyer12@yahoo.com"/>
    <x v="4"/>
    <x v="11"/>
    <x v="4"/>
    <x v="18"/>
    <n v="5"/>
    <n v="29.81"/>
    <n v="0"/>
    <n v="1.35"/>
    <x v="5"/>
    <s v="Credit Card"/>
    <x v="2"/>
    <n v="149.04999999999998"/>
  </r>
  <r>
    <s v="ORD-100612"/>
    <s v="03/18/25"/>
    <x v="56"/>
    <x v="106"/>
    <s v="rohan.jackson81@company.co"/>
    <x v="1"/>
    <x v="6"/>
    <x v="0"/>
    <x v="16"/>
    <n v="1"/>
    <n v="23.21"/>
    <n v="0.15"/>
    <n v="2.71"/>
    <x v="4"/>
    <s v="Credit Card"/>
    <x v="3"/>
    <n v="19.7285"/>
  </r>
  <r>
    <s v="ORD-101032"/>
    <s v="2025-12-19"/>
    <x v="297"/>
    <x v="281"/>
    <s v="noah.kapoor19@company.co"/>
    <x v="0"/>
    <x v="0"/>
    <x v="4"/>
    <x v="18"/>
    <n v="5"/>
    <n v="31.32"/>
    <n v="0.15"/>
    <n v="6.73"/>
    <x v="1"/>
    <s v="Credit Card"/>
    <x v="2"/>
    <n v="133.10999999999999"/>
  </r>
  <r>
    <s v="ORD-100156"/>
    <s v="04/04/2025"/>
    <x v="158"/>
    <x v="26"/>
    <s v="advait.clark97@hotmail.com"/>
    <x v="2"/>
    <x v="2"/>
    <x v="0"/>
    <x v="0"/>
    <n v="4"/>
    <n v="39.9"/>
    <n v="0"/>
    <n v="12.13"/>
    <x v="2"/>
    <s v="Credit Card"/>
    <x v="1"/>
    <n v="159.6"/>
  </r>
  <r>
    <s v="ORD-100539"/>
    <s v="09/27/24"/>
    <x v="255"/>
    <x v="197"/>
    <s v="daniel.thomas13@outlook.com"/>
    <x v="3"/>
    <x v="3"/>
    <x v="1"/>
    <x v="1"/>
    <n v="2"/>
    <n v="35.299999999999997"/>
    <n v="0.1"/>
    <n v="4.37"/>
    <x v="5"/>
    <s v="Credit Card"/>
    <x v="1"/>
    <n v="63.54"/>
  </r>
  <r>
    <s v="ORD-100461"/>
    <s v="February 13, 2024"/>
    <x v="275"/>
    <x v="130"/>
    <s v="zara.williams88@outlook.com"/>
    <x v="0"/>
    <x v="9"/>
    <x v="0"/>
    <x v="0"/>
    <n v="1"/>
    <n v="39.75"/>
    <n v="0.15"/>
    <n v="0"/>
    <x v="1"/>
    <s v="COD"/>
    <x v="2"/>
    <n v="33.787500000000001"/>
  </r>
  <r>
    <s v="ORD-100576"/>
    <s v="2025-01-29"/>
    <x v="428"/>
    <x v="380"/>
    <s v="liam.sharma61@company.co"/>
    <x v="2"/>
    <x v="1"/>
    <x v="0"/>
    <x v="22"/>
    <n v="2"/>
    <n v="82.97"/>
    <n v="0.05"/>
    <n v="3.9"/>
    <x v="5"/>
    <s v="COD"/>
    <x v="2"/>
    <n v="157.643"/>
  </r>
  <r>
    <s v="ORD-100255"/>
    <s v="2025-02-27"/>
    <x v="173"/>
    <x v="169"/>
    <s v="emma.sharma54@yahoo.com"/>
    <x v="3"/>
    <x v="7"/>
    <x v="2"/>
    <x v="2"/>
    <n v="2"/>
    <n v="13.63"/>
    <n v="0"/>
    <n v="12.09"/>
    <x v="1"/>
    <s v="Credit Card"/>
    <x v="2"/>
    <n v="27.26"/>
  </r>
  <r>
    <s v="ORD-100979"/>
    <s v="19-05-2024"/>
    <x v="586"/>
    <x v="28"/>
    <s v="daniel.jackson32@gmail.com"/>
    <x v="1"/>
    <x v="6"/>
    <x v="2"/>
    <x v="3"/>
    <n v="1"/>
    <n v="8.16"/>
    <n v="0"/>
    <n v="0.18"/>
    <x v="3"/>
    <s v="Credit Card"/>
    <x v="2"/>
    <n v="8.16"/>
  </r>
  <r>
    <s v="ORD-101185"/>
    <s v="08-08-2024"/>
    <x v="360"/>
    <x v="337"/>
    <s v="ava.nair75@gmail.com"/>
    <x v="0"/>
    <x v="8"/>
    <x v="1"/>
    <x v="13"/>
    <n v="4"/>
    <n v="195.04"/>
    <n v="0.05"/>
    <n v="13"/>
    <x v="5"/>
    <s v="Credit Card"/>
    <x v="2"/>
    <n v="741.15199999999993"/>
  </r>
  <r>
    <s v="ORD-101006"/>
    <s v="07/19/25"/>
    <x v="36"/>
    <x v="156"/>
    <s v="sophia.jackson4@company.co"/>
    <x v="4"/>
    <x v="5"/>
    <x v="4"/>
    <x v="12"/>
    <n v="1"/>
    <n v="12.95"/>
    <n v="0"/>
    <n v="9.23"/>
    <x v="2"/>
    <s v="Credit Card"/>
    <x v="2"/>
    <n v="12.95"/>
  </r>
  <r>
    <s v="ORD-100560"/>
    <s v="05 Aug 2024"/>
    <x v="512"/>
    <x v="348"/>
    <s v="ava.anderson90@hotmail.com"/>
    <x v="2"/>
    <x v="1"/>
    <x v="2"/>
    <x v="2"/>
    <n v="1"/>
    <n v="14.48"/>
    <n v="0.05"/>
    <n v="6.95"/>
    <x v="1"/>
    <s v="Not Known"/>
    <x v="2"/>
    <n v="13.756"/>
  </r>
  <r>
    <s v="ORD-100208"/>
    <s v="16 Nov 2025"/>
    <x v="405"/>
    <x v="342"/>
    <s v="aarav.davis46@outlook.com"/>
    <x v="3"/>
    <x v="4"/>
    <x v="2"/>
    <x v="2"/>
    <n v="3"/>
    <n v="13.54"/>
    <n v="0.05"/>
    <n v="7.77"/>
    <x v="5"/>
    <s v="Credit Card"/>
    <x v="2"/>
    <n v="38.588999999999999"/>
  </r>
  <r>
    <s v="ORD-100910"/>
    <s v="21-03-2024"/>
    <x v="77"/>
    <x v="91"/>
    <s v="emma.davis31@yahoo.com"/>
    <x v="4"/>
    <x v="5"/>
    <x v="3"/>
    <x v="5"/>
    <n v="3"/>
    <n v="112.41"/>
    <n v="0.15"/>
    <n v="7.87"/>
    <x v="4"/>
    <s v="Bank Transfer"/>
    <x v="1"/>
    <n v="286.64550000000003"/>
  </r>
  <r>
    <s v="ORD-100001"/>
    <s v="April 15, 2025"/>
    <x v="59"/>
    <x v="381"/>
    <s v="emma.williams6@outlook.com"/>
    <x v="3"/>
    <x v="3"/>
    <x v="2"/>
    <x v="3"/>
    <n v="2"/>
    <n v="7.68"/>
    <n v="0.15"/>
    <n v="5.68"/>
    <x v="0"/>
    <s v="Not Known"/>
    <x v="0"/>
    <n v="13.055999999999999"/>
  </r>
  <r>
    <s v="ORD-100269"/>
    <s v="04/11/25"/>
    <x v="299"/>
    <x v="59"/>
    <s v="chloe.thomas54@yahoo.com"/>
    <x v="2"/>
    <x v="2"/>
    <x v="2"/>
    <x v="14"/>
    <n v="1"/>
    <n v="4.04"/>
    <n v="0"/>
    <n v="9.35"/>
    <x v="3"/>
    <s v="Bank Transfer"/>
    <x v="1"/>
    <n v="4.04"/>
  </r>
  <r>
    <s v="ORD-100265"/>
    <s v="12/11/2025"/>
    <x v="179"/>
    <x v="207"/>
    <s v="ishaan.clark70@hotmail.com"/>
    <x v="4"/>
    <x v="1"/>
    <x v="0"/>
    <x v="0"/>
    <n v="1"/>
    <n v="41.89"/>
    <n v="0.15"/>
    <n v="1.17"/>
    <x v="3"/>
    <s v="Credit Card"/>
    <x v="2"/>
    <n v="35.606499999999997"/>
  </r>
  <r>
    <s v="ORD-100914"/>
    <s v="2024-12-30"/>
    <x v="598"/>
    <x v="56"/>
    <s v="liam.gupta19@gmail.com"/>
    <x v="1"/>
    <x v="1"/>
    <x v="1"/>
    <x v="7"/>
    <n v="2"/>
    <n v="41.07"/>
    <n v="0.1"/>
    <n v="3.06"/>
    <x v="3"/>
    <s v="PayPal"/>
    <x v="1"/>
    <n v="73.926000000000002"/>
  </r>
  <r>
    <s v="ORD-100230"/>
    <s v="2024-07-15"/>
    <x v="479"/>
    <x v="105"/>
    <s v="liam.johnson63@gmail.com"/>
    <x v="4"/>
    <x v="11"/>
    <x v="3"/>
    <x v="5"/>
    <n v="1"/>
    <n v="111.55"/>
    <n v="0"/>
    <n v="12.54"/>
    <x v="3"/>
    <s v="Bank Transfer"/>
    <x v="3"/>
    <n v="111.55"/>
  </r>
  <r>
    <s v="ORD-100918"/>
    <s v="2025-01-10"/>
    <x v="261"/>
    <x v="229"/>
    <s v="ishaan.johnson69@gmail.com"/>
    <x v="4"/>
    <x v="5"/>
    <x v="4"/>
    <x v="6"/>
    <n v="5"/>
    <n v="62.33"/>
    <n v="0.1"/>
    <n v="8.39"/>
    <x v="0"/>
    <s v="Debit Card"/>
    <x v="1"/>
    <n v="280.48500000000001"/>
  </r>
  <r>
    <s v="ORD-101119"/>
    <s v="2024-05-01"/>
    <x v="599"/>
    <x v="80"/>
    <s v="Not Known"/>
    <x v="1"/>
    <x v="6"/>
    <x v="1"/>
    <x v="19"/>
    <n v="5"/>
    <n v="25.67"/>
    <n v="0"/>
    <n v="3.29"/>
    <x v="2"/>
    <s v="Bank Transfer"/>
    <x v="2"/>
    <n v="128.35000000000002"/>
  </r>
  <r>
    <s v="ORD-100732"/>
    <s v="2025-03-23"/>
    <x v="329"/>
    <x v="160"/>
    <s v="ethan.anderson36@yahoo.com"/>
    <x v="0"/>
    <x v="9"/>
    <x v="4"/>
    <x v="8"/>
    <n v="1"/>
    <n v="14.92"/>
    <n v="0.05"/>
    <n v="0"/>
    <x v="3"/>
    <s v="Credit Card"/>
    <x v="2"/>
    <n v="14.173999999999999"/>
  </r>
  <r>
    <s v="ORD-100864"/>
    <s v="04/14/2024"/>
    <x v="600"/>
    <x v="321"/>
    <s v="emma.johnson77@gmail.com"/>
    <x v="4"/>
    <x v="5"/>
    <x v="2"/>
    <x v="4"/>
    <n v="3"/>
    <n v="6.56"/>
    <n v="0.15"/>
    <n v="14.95"/>
    <x v="3"/>
    <s v="Not Known"/>
    <x v="2"/>
    <n v="16.727999999999998"/>
  </r>
  <r>
    <s v="ORD-101066"/>
    <s v="11/04/2025"/>
    <x v="128"/>
    <x v="57"/>
    <s v="ava.miller77@hotmail.com"/>
    <x v="1"/>
    <x v="6"/>
    <x v="5"/>
    <x v="12"/>
    <n v="1"/>
    <n v="13.6"/>
    <n v="0.1"/>
    <n v="9.0500000000000007"/>
    <x v="1"/>
    <s v="Credit Card"/>
    <x v="0"/>
    <n v="12.24"/>
  </r>
  <r>
    <s v="ORD-100873"/>
    <s v="25-11-2025"/>
    <x v="266"/>
    <x v="80"/>
    <s v="ethan.reddy37@hotmail.com"/>
    <x v="1"/>
    <x v="10"/>
    <x v="0"/>
    <x v="22"/>
    <n v="1"/>
    <n v="77.930000000000007"/>
    <n v="0"/>
    <n v="13.15"/>
    <x v="3"/>
    <s v="PayPal"/>
    <x v="2"/>
    <n v="77.930000000000007"/>
  </r>
  <r>
    <s v="ORD-101295"/>
    <s v="18-02-2024"/>
    <x v="198"/>
    <x v="100"/>
    <s v="mia.williams73@outlook.com"/>
    <x v="3"/>
    <x v="7"/>
    <x v="2"/>
    <x v="2"/>
    <n v="1"/>
    <n v="13.54"/>
    <n v="0.1"/>
    <n v="1.92"/>
    <x v="1"/>
    <s v="Bank Transfer"/>
    <x v="0"/>
    <n v="12.186"/>
  </r>
  <r>
    <s v="ORD-100398"/>
    <s v="2025-05-08"/>
    <x v="547"/>
    <x v="199"/>
    <s v="daniel.davis86@outlook.com"/>
    <x v="3"/>
    <x v="7"/>
    <x v="1"/>
    <x v="19"/>
    <n v="4"/>
    <n v="24.56"/>
    <n v="0"/>
    <n v="0"/>
    <x v="3"/>
    <s v="Debit Card"/>
    <x v="2"/>
    <n v="98.24"/>
  </r>
  <r>
    <s v="ORD-101320"/>
    <s v="April 22, 2024"/>
    <x v="226"/>
    <x v="116"/>
    <s v="zara.miller10@outlook.com"/>
    <x v="3"/>
    <x v="7"/>
    <x v="3"/>
    <x v="5"/>
    <n v="2"/>
    <n v="115.1"/>
    <n v="0.1"/>
    <n v="10.31"/>
    <x v="4"/>
    <s v="Credit Card"/>
    <x v="2"/>
    <n v="207.18"/>
  </r>
  <r>
    <s v="ORD-100045"/>
    <s v="11/02/24"/>
    <x v="530"/>
    <x v="367"/>
    <s v="rohan.moore76@company.co"/>
    <x v="2"/>
    <x v="1"/>
    <x v="2"/>
    <x v="3"/>
    <n v="2"/>
    <n v="7.91"/>
    <n v="0"/>
    <n v="6.85"/>
    <x v="0"/>
    <s v="Credit Card"/>
    <x v="1"/>
    <n v="15.82"/>
  </r>
  <r>
    <s v="ORD-100161"/>
    <s v="16 Jan 2025"/>
    <x v="270"/>
    <x v="2"/>
    <s v="zara.jackson31@gmail.com"/>
    <x v="1"/>
    <x v="1"/>
    <x v="4"/>
    <x v="12"/>
    <n v="2"/>
    <n v="13.53"/>
    <n v="0.1"/>
    <n v="14.41"/>
    <x v="3"/>
    <s v="Bank Transfer"/>
    <x v="2"/>
    <n v="24.353999999999999"/>
  </r>
  <r>
    <s v="ORD-100991"/>
    <s v="03-09-2025"/>
    <x v="601"/>
    <x v="76"/>
    <s v="kabir.thomas78@company.co"/>
    <x v="4"/>
    <x v="1"/>
    <x v="3"/>
    <x v="21"/>
    <n v="3"/>
    <n v="123.43"/>
    <n v="0.05"/>
    <n v="10.56"/>
    <x v="7"/>
    <s v="Debit Card"/>
    <x v="2"/>
    <n v="351.77550000000002"/>
  </r>
  <r>
    <s v="ORD-100727"/>
    <s v="15 Nov 2024"/>
    <x v="602"/>
    <x v="204"/>
    <s v="mia.harris6@company.co"/>
    <x v="0"/>
    <x v="10"/>
    <x v="0"/>
    <x v="17"/>
    <n v="1"/>
    <n v="46.4"/>
    <n v="0"/>
    <n v="4.04"/>
    <x v="6"/>
    <s v="Credit Card"/>
    <x v="2"/>
    <n v="46.4"/>
  </r>
  <r>
    <s v="ORD-100629"/>
    <s v="October 17, 2025"/>
    <x v="210"/>
    <x v="271"/>
    <s v="sophia.taylor74@yahoo.com"/>
    <x v="3"/>
    <x v="4"/>
    <x v="3"/>
    <x v="21"/>
    <n v="5"/>
    <n v="134.30000000000001"/>
    <n v="0"/>
    <n v="0"/>
    <x v="7"/>
    <s v="Credit Card"/>
    <x v="2"/>
    <n v="671.5"/>
  </r>
  <r>
    <s v="ORD-100288"/>
    <s v="11/29/2024"/>
    <x v="554"/>
    <x v="360"/>
    <s v="rohan.clark15@outlook.com"/>
    <x v="1"/>
    <x v="1"/>
    <x v="2"/>
    <x v="4"/>
    <n v="1"/>
    <n v="6.49"/>
    <n v="0.05"/>
    <n v="6.19"/>
    <x v="1"/>
    <s v="Debit Card"/>
    <x v="2"/>
    <n v="6.1654999999999998"/>
  </r>
  <r>
    <s v="ORD-101059"/>
    <s v="04/13/2025"/>
    <x v="561"/>
    <x v="232"/>
    <s v="mia.moore3@gmail.com"/>
    <x v="2"/>
    <x v="2"/>
    <x v="2"/>
    <x v="2"/>
    <n v="10"/>
    <n v="13.53"/>
    <n v="0"/>
    <n v="8.69"/>
    <x v="4"/>
    <s v="Bank Transfer"/>
    <x v="2"/>
    <n v="135.29999999999998"/>
  </r>
  <r>
    <s v="ORD-100919"/>
    <s v="2025-08-10"/>
    <x v="153"/>
    <x v="382"/>
    <s v="lily.wilson52@gmail.com"/>
    <x v="0"/>
    <x v="9"/>
    <x v="3"/>
    <x v="11"/>
    <n v="10"/>
    <n v="241.5"/>
    <n v="0"/>
    <n v="0.15"/>
    <x v="6"/>
    <s v="Credit Card"/>
    <x v="2"/>
    <n v="2415"/>
  </r>
  <r>
    <s v="ORD-100575"/>
    <s v="14 Aug 2025"/>
    <x v="461"/>
    <x v="111"/>
    <s v="ishaan.taylor27@gmail.com"/>
    <x v="3"/>
    <x v="3"/>
    <x v="2"/>
    <x v="3"/>
    <n v="1"/>
    <n v="7.7"/>
    <n v="0.05"/>
    <n v="9.0500000000000007"/>
    <x v="1"/>
    <s v="Not Known"/>
    <x v="2"/>
    <n v="7.3149999999999995"/>
  </r>
  <r>
    <s v="ORD-100850"/>
    <s v="03/29/24"/>
    <x v="336"/>
    <x v="266"/>
    <s v="kabir.williams39@company.co"/>
    <x v="2"/>
    <x v="2"/>
    <x v="1"/>
    <x v="1"/>
    <n v="4"/>
    <n v="33.4"/>
    <n v="0.1"/>
    <n v="13.38"/>
    <x v="1"/>
    <s v="PayPal"/>
    <x v="2"/>
    <n v="120.24"/>
  </r>
  <r>
    <s v="ORD-100911"/>
    <s v="August 06, 2025"/>
    <x v="15"/>
    <x v="109"/>
    <s v="sophia.moore51@outlook.com"/>
    <x v="0"/>
    <x v="9"/>
    <x v="4"/>
    <x v="18"/>
    <n v="2"/>
    <n v="29.39"/>
    <n v="0.1"/>
    <n v="9.11"/>
    <x v="0"/>
    <s v="PayPal"/>
    <x v="2"/>
    <n v="52.902000000000001"/>
  </r>
  <r>
    <s v="ORD-101254"/>
    <s v="06-10-2025"/>
    <x v="448"/>
    <x v="49"/>
    <s v="arjun.thomas18@hotmail.com"/>
    <x v="3"/>
    <x v="3"/>
    <x v="4"/>
    <x v="6"/>
    <n v="3"/>
    <n v="60.12"/>
    <n v="0"/>
    <n v="0"/>
    <x v="2"/>
    <s v="COD"/>
    <x v="2"/>
    <n v="180.35999999999999"/>
  </r>
  <r>
    <s v="ORD-101313"/>
    <s v="12/30/2025"/>
    <x v="65"/>
    <x v="151"/>
    <s v="emma.harris67@outlook.com"/>
    <x v="0"/>
    <x v="0"/>
    <x v="0"/>
    <x v="16"/>
    <n v="2"/>
    <n v="23"/>
    <n v="0.1"/>
    <n v="5.59"/>
    <x v="7"/>
    <s v="Credit Card"/>
    <x v="2"/>
    <n v="41.4"/>
  </r>
  <r>
    <s v="ORD-100932"/>
    <s v="10 Jul 2025"/>
    <x v="91"/>
    <x v="79"/>
    <s v="mia.kapoor56@outlook.com"/>
    <x v="1"/>
    <x v="1"/>
    <x v="2"/>
    <x v="4"/>
    <n v="1"/>
    <n v="6.79"/>
    <n v="0.15"/>
    <n v="6.02"/>
    <x v="6"/>
    <s v="Credit Card"/>
    <x v="2"/>
    <n v="5.7714999999999996"/>
  </r>
  <r>
    <s v="ORD-101100"/>
    <s v="22-03-2025"/>
    <x v="274"/>
    <x v="24"/>
    <s v="daniel.sharma54@yahoo.com"/>
    <x v="0"/>
    <x v="0"/>
    <x v="0"/>
    <x v="16"/>
    <n v="1"/>
    <n v="21.45"/>
    <n v="0.15"/>
    <n v="11.18"/>
    <x v="0"/>
    <s v="Debit Card"/>
    <x v="2"/>
    <n v="18.232499999999998"/>
  </r>
  <r>
    <s v="ORD-101207"/>
    <s v="2024-07-24"/>
    <x v="190"/>
    <x v="197"/>
    <s v="daniel.thomas98@company.co"/>
    <x v="4"/>
    <x v="1"/>
    <x v="4"/>
    <x v="18"/>
    <n v="2"/>
    <n v="30.68"/>
    <n v="0.05"/>
    <n v="0.85"/>
    <x v="6"/>
    <s v="Bank Transfer"/>
    <x v="2"/>
    <n v="58.291999999999994"/>
  </r>
  <r>
    <s v="ORD-100247"/>
    <s v="August 08, 2025"/>
    <x v="295"/>
    <x v="4"/>
    <s v="ethan.johnson96@outlook.com"/>
    <x v="1"/>
    <x v="6"/>
    <x v="0"/>
    <x v="16"/>
    <n v="2"/>
    <n v="22.92"/>
    <n v="0.1"/>
    <n v="13.14"/>
    <x v="6"/>
    <s v="Bank Transfer"/>
    <x v="2"/>
    <n v="41.256000000000007"/>
  </r>
  <r>
    <s v="ORD-100476"/>
    <s v="16-07-2024"/>
    <x v="23"/>
    <x v="263"/>
    <s v="ella.moore52@company.co"/>
    <x v="4"/>
    <x v="5"/>
    <x v="2"/>
    <x v="10"/>
    <n v="1"/>
    <n v="3.03"/>
    <n v="0.15"/>
    <n v="12.69"/>
    <x v="0"/>
    <s v="Debit Card"/>
    <x v="2"/>
    <n v="2.5754999999999999"/>
  </r>
  <r>
    <s v="ORD-100085"/>
    <s v="16 Mar 2024"/>
    <x v="116"/>
    <x v="173"/>
    <s v="zara.johnson37@yahoo.com"/>
    <x v="0"/>
    <x v="8"/>
    <x v="1"/>
    <x v="13"/>
    <n v="3"/>
    <n v="183.04"/>
    <n v="0.1"/>
    <n v="8.25"/>
    <x v="5"/>
    <s v="Credit Card"/>
    <x v="2"/>
    <n v="494.20800000000003"/>
  </r>
  <r>
    <s v="ORD-100469"/>
    <s v="20 Apr 2025"/>
    <x v="358"/>
    <x v="250"/>
    <s v="rohan.harris45@company.co"/>
    <x v="1"/>
    <x v="1"/>
    <x v="4"/>
    <x v="12"/>
    <n v="2"/>
    <n v="13.21"/>
    <n v="0.05"/>
    <n v="11.77"/>
    <x v="7"/>
    <s v="Credit Card"/>
    <x v="0"/>
    <n v="25.099"/>
  </r>
  <r>
    <s v="ORD-100225"/>
    <s v="11/26/2024"/>
    <x v="245"/>
    <x v="310"/>
    <s v="emma.kapoor40@company.co"/>
    <x v="1"/>
    <x v="1"/>
    <x v="4"/>
    <x v="6"/>
    <n v="2"/>
    <n v="58.47"/>
    <n v="0.05"/>
    <n v="11.17"/>
    <x v="5"/>
    <s v="PayPal"/>
    <x v="2"/>
    <n v="111.09299999999999"/>
  </r>
  <r>
    <s v="ORD-100774"/>
    <s v="11 Aug 2024"/>
    <x v="228"/>
    <x v="231"/>
    <s v="daniel.gupta25@outlook.com"/>
    <x v="1"/>
    <x v="1"/>
    <x v="1"/>
    <x v="13"/>
    <n v="2"/>
    <n v="182.63"/>
    <n v="0"/>
    <n v="8.18"/>
    <x v="0"/>
    <s v="PayPal"/>
    <x v="2"/>
    <n v="365.26"/>
  </r>
  <r>
    <s v="ORD-100331"/>
    <s v="22-07-2024"/>
    <x v="603"/>
    <x v="112"/>
    <s v="aarav.sharma60@yahoo.com"/>
    <x v="0"/>
    <x v="8"/>
    <x v="4"/>
    <x v="8"/>
    <n v="1"/>
    <n v="14.52"/>
    <n v="0.05"/>
    <n v="0.75"/>
    <x v="7"/>
    <s v="Bank Transfer"/>
    <x v="3"/>
    <n v="13.793999999999999"/>
  </r>
  <r>
    <s v="ORD-100233"/>
    <s v="03/16/25"/>
    <x v="60"/>
    <x v="304"/>
    <s v="daniel.harris82@outlook.com"/>
    <x v="3"/>
    <x v="4"/>
    <x v="3"/>
    <x v="11"/>
    <n v="5"/>
    <n v="249.84"/>
    <n v="0.15"/>
    <n v="8.4499999999999993"/>
    <x v="1"/>
    <s v="Debit Card"/>
    <x v="2"/>
    <n v="1061.82"/>
  </r>
  <r>
    <s v="ORD-100588"/>
    <s v="July 25, 2025"/>
    <x v="456"/>
    <x v="119"/>
    <s v="kabir.moore42@company.co"/>
    <x v="1"/>
    <x v="6"/>
    <x v="2"/>
    <x v="3"/>
    <n v="2"/>
    <n v="8.01"/>
    <n v="0.05"/>
    <n v="3.22"/>
    <x v="3"/>
    <s v="Not Known"/>
    <x v="3"/>
    <n v="15.218999999999999"/>
  </r>
  <r>
    <s v="ORD-100475"/>
    <s v="06/05/2024"/>
    <x v="604"/>
    <x v="118"/>
    <s v="ishaan.nair98@gmail.com"/>
    <x v="1"/>
    <x v="6"/>
    <x v="4"/>
    <x v="12"/>
    <n v="2"/>
    <n v="12.55"/>
    <n v="0"/>
    <n v="13.48"/>
    <x v="6"/>
    <s v="PayPal"/>
    <x v="2"/>
    <n v="25.1"/>
  </r>
  <r>
    <s v="ORD-101284"/>
    <s v="February 23, 2024"/>
    <x v="229"/>
    <x v="245"/>
    <s v="ava.brown31@hotmail.com"/>
    <x v="1"/>
    <x v="6"/>
    <x v="2"/>
    <x v="10"/>
    <n v="1"/>
    <n v="2.98"/>
    <n v="0.1"/>
    <n v="2.6"/>
    <x v="4"/>
    <s v="Credit Card"/>
    <x v="2"/>
    <n v="2.6819999999999999"/>
  </r>
  <r>
    <s v="ORD-100599"/>
    <s v="27-07-2024"/>
    <x v="181"/>
    <x v="348"/>
    <s v="Not Known"/>
    <x v="0"/>
    <x v="0"/>
    <x v="4"/>
    <x v="18"/>
    <n v="10"/>
    <n v="29.75"/>
    <n v="0"/>
    <n v="13.63"/>
    <x v="0"/>
    <s v="Bank Transfer"/>
    <x v="0"/>
    <n v="297.5"/>
  </r>
  <r>
    <s v="ORD-100421"/>
    <s v="August 21, 2025"/>
    <x v="430"/>
    <x v="202"/>
    <s v="aarav.reddy67@hotmail.com"/>
    <x v="2"/>
    <x v="1"/>
    <x v="1"/>
    <x v="7"/>
    <n v="1"/>
    <n v="40.17"/>
    <n v="0.1"/>
    <n v="9.7799999999999994"/>
    <x v="1"/>
    <s v="COD"/>
    <x v="2"/>
    <n v="36.153000000000006"/>
  </r>
  <r>
    <s v="ORD-100182"/>
    <s v="14-07-2025"/>
    <x v="436"/>
    <x v="225"/>
    <s v="noah.thomas90@hotmail.com"/>
    <x v="2"/>
    <x v="1"/>
    <x v="5"/>
    <x v="5"/>
    <n v="5"/>
    <n v="115.1"/>
    <n v="0"/>
    <n v="8.3000000000000007"/>
    <x v="1"/>
    <s v="Credit Card"/>
    <x v="2"/>
    <n v="575.5"/>
  </r>
  <r>
    <s v="ORD-100988"/>
    <s v="04 Apr 2024"/>
    <x v="64"/>
    <x v="259"/>
    <s v="Not Known"/>
    <x v="2"/>
    <x v="1"/>
    <x v="5"/>
    <x v="17"/>
    <n v="1"/>
    <n v="42.77"/>
    <n v="0"/>
    <n v="9.42"/>
    <x v="1"/>
    <s v="Credit Card"/>
    <x v="2"/>
    <n v="42.77"/>
  </r>
  <r>
    <s v="ORD-101000"/>
    <s v="08/11/2025"/>
    <x v="292"/>
    <x v="197"/>
    <s v="daniel.thomas33@outlook.com"/>
    <x v="0"/>
    <x v="9"/>
    <x v="4"/>
    <x v="6"/>
    <n v="1"/>
    <n v="60.28"/>
    <n v="0"/>
    <n v="9.9"/>
    <x v="0"/>
    <s v="Not Known"/>
    <x v="3"/>
    <n v="60.28"/>
  </r>
  <r>
    <s v="ORD-100049"/>
    <s v="26 Oct 2025"/>
    <x v="516"/>
    <x v="44"/>
    <s v="daniel.nair39@company.co"/>
    <x v="0"/>
    <x v="9"/>
    <x v="3"/>
    <x v="21"/>
    <n v="1"/>
    <n v="131.26"/>
    <n v="0"/>
    <n v="14.19"/>
    <x v="0"/>
    <s v="Debit Card"/>
    <x v="2"/>
    <n v="131.26"/>
  </r>
  <r>
    <s v="ORD-101355"/>
    <s v="07/26/2024"/>
    <x v="276"/>
    <x v="33"/>
    <s v="Not Known"/>
    <x v="1"/>
    <x v="1"/>
    <x v="0"/>
    <x v="17"/>
    <n v="4"/>
    <n v="46.3"/>
    <n v="0"/>
    <n v="8.6199999999999992"/>
    <x v="6"/>
    <s v="Debit Card"/>
    <x v="3"/>
    <n v="185.2"/>
  </r>
  <r>
    <s v="ORD-101029"/>
    <s v="29 Aug 2025"/>
    <x v="72"/>
    <x v="183"/>
    <s v="sophia.miller21@yahoo.com"/>
    <x v="1"/>
    <x v="6"/>
    <x v="0"/>
    <x v="22"/>
    <n v="1"/>
    <n v="81.55"/>
    <n v="0.05"/>
    <n v="0"/>
    <x v="6"/>
    <s v="PayPal"/>
    <x v="2"/>
    <n v="77.472499999999997"/>
  </r>
  <r>
    <s v="ORD-100529"/>
    <s v="2025-09-12"/>
    <x v="605"/>
    <x v="147"/>
    <s v="kabir.white34@outlook.com"/>
    <x v="0"/>
    <x v="0"/>
    <x v="3"/>
    <x v="21"/>
    <n v="1"/>
    <n v="127.03"/>
    <n v="0.1"/>
    <n v="2.12"/>
    <x v="1"/>
    <s v="Bank Transfer"/>
    <x v="2"/>
    <n v="114.327"/>
  </r>
  <r>
    <s v="ORD-101258"/>
    <s v="2025-04-23"/>
    <x v="28"/>
    <x v="194"/>
    <s v="mia.white25@hotmail.com"/>
    <x v="2"/>
    <x v="2"/>
    <x v="4"/>
    <x v="8"/>
    <n v="2"/>
    <n v="14.26"/>
    <n v="0"/>
    <m/>
    <x v="0"/>
    <s v="Not Known"/>
    <x v="0"/>
    <n v="28.52"/>
  </r>
  <r>
    <s v="ORD-100486"/>
    <s v="May 01, 2024"/>
    <x v="599"/>
    <x v="17"/>
    <s v="aarav.jackson34@hotmail.com"/>
    <x v="0"/>
    <x v="8"/>
    <x v="5"/>
    <x v="21"/>
    <n v="1"/>
    <n v="124.45"/>
    <n v="0.05"/>
    <n v="3.18"/>
    <x v="7"/>
    <s v="Bank Transfer"/>
    <x v="1"/>
    <n v="118.22749999999999"/>
  </r>
  <r>
    <s v="ORD-100497"/>
    <s v="2025-03-07"/>
    <x v="388"/>
    <x v="276"/>
    <s v="Not Known"/>
    <x v="1"/>
    <x v="6"/>
    <x v="3"/>
    <x v="9"/>
    <n v="5"/>
    <n v="88.72"/>
    <n v="0.1"/>
    <n v="13.6"/>
    <x v="1"/>
    <s v="Bank Transfer"/>
    <x v="2"/>
    <n v="399.24"/>
  </r>
  <r>
    <s v="ORD-100106"/>
    <s v="13 Jul 2025"/>
    <x v="606"/>
    <x v="262"/>
    <s v="chloe.white93@outlook.com"/>
    <x v="4"/>
    <x v="1"/>
    <x v="4"/>
    <x v="18"/>
    <n v="3"/>
    <n v="29.99"/>
    <n v="0.1"/>
    <n v="8.1300000000000008"/>
    <x v="6"/>
    <s v="Bank Transfer"/>
    <x v="2"/>
    <n v="80.972999999999999"/>
  </r>
  <r>
    <s v="ORD-100443"/>
    <s v="12/30/2024"/>
    <x v="598"/>
    <x v="225"/>
    <s v="noah.thomas2@gmail.com"/>
    <x v="3"/>
    <x v="3"/>
    <x v="3"/>
    <x v="9"/>
    <n v="10"/>
    <n v="87.44"/>
    <n v="0.1"/>
    <n v="2.65"/>
    <x v="6"/>
    <s v="Bank Transfer"/>
    <x v="2"/>
    <n v="786.96"/>
  </r>
  <r>
    <s v="ORD-100646"/>
    <s v="03/27/24"/>
    <x v="47"/>
    <x v="45"/>
    <s v="kabir.harris86@gmail.com"/>
    <x v="0"/>
    <x v="9"/>
    <x v="3"/>
    <x v="5"/>
    <n v="1"/>
    <n v="108.98"/>
    <n v="0.15"/>
    <n v="13.44"/>
    <x v="6"/>
    <s v="Not Known"/>
    <x v="2"/>
    <n v="92.632999999999996"/>
  </r>
  <r>
    <s v="ORD-101036"/>
    <s v="June 23, 2025"/>
    <x v="541"/>
    <x v="339"/>
    <s v="kabir.johnson46@hotmail.com"/>
    <x v="3"/>
    <x v="3"/>
    <x v="3"/>
    <x v="5"/>
    <n v="2"/>
    <n v="112.38"/>
    <n v="0.1"/>
    <n v="8.1199999999999992"/>
    <x v="4"/>
    <s v="COD"/>
    <x v="1"/>
    <n v="202.28399999999999"/>
  </r>
  <r>
    <s v="ORD-100726"/>
    <s v="07-12-2024"/>
    <x v="495"/>
    <x v="78"/>
    <s v="lily.nair99@gmail.com"/>
    <x v="2"/>
    <x v="1"/>
    <x v="3"/>
    <x v="9"/>
    <n v="1"/>
    <n v="86.19"/>
    <n v="0"/>
    <n v="3.18"/>
    <x v="5"/>
    <s v="Credit Card"/>
    <x v="2"/>
    <n v="86.19"/>
  </r>
  <r>
    <s v="ORD-100190"/>
    <s v="September 14, 2024"/>
    <x v="607"/>
    <x v="383"/>
    <s v="Not Known"/>
    <x v="2"/>
    <x v="1"/>
    <x v="0"/>
    <x v="16"/>
    <n v="1"/>
    <n v="22.83"/>
    <n v="0"/>
    <n v="3.41"/>
    <x v="0"/>
    <s v="Debit Card"/>
    <x v="1"/>
    <n v="22.83"/>
  </r>
  <r>
    <s v="ORD-100282"/>
    <s v="November 14, 2025"/>
    <x v="11"/>
    <x v="189"/>
    <s v="olivia.taylor84@gmail.com"/>
    <x v="1"/>
    <x v="6"/>
    <x v="4"/>
    <x v="6"/>
    <n v="1"/>
    <n v="62.79"/>
    <n v="0.15"/>
    <n v="13.05"/>
    <x v="2"/>
    <s v="COD"/>
    <x v="2"/>
    <n v="53.371499999999997"/>
  </r>
  <r>
    <s v="ORD-100029"/>
    <s v="29-03-2024"/>
    <x v="336"/>
    <x v="345"/>
    <s v="chloe.jackson32@outlook.com"/>
    <x v="2"/>
    <x v="2"/>
    <x v="2"/>
    <x v="2"/>
    <n v="1"/>
    <n v="14.65"/>
    <n v="0"/>
    <n v="6.97"/>
    <x v="7"/>
    <s v="PayPal"/>
    <x v="2"/>
    <n v="14.65"/>
  </r>
  <r>
    <s v="ORD-100169"/>
    <s v="16-02-2024"/>
    <x v="177"/>
    <x v="140"/>
    <s v="Not Known"/>
    <x v="4"/>
    <x v="5"/>
    <x v="1"/>
    <x v="1"/>
    <n v="3"/>
    <n v="35.81"/>
    <n v="0.1"/>
    <n v="7.8"/>
    <x v="4"/>
    <s v="Debit Card"/>
    <x v="2"/>
    <n v="96.687000000000012"/>
  </r>
  <r>
    <s v="ORD-101001"/>
    <s v="12/11/24"/>
    <x v="164"/>
    <x v="114"/>
    <s v="advait.gupta29@company.co"/>
    <x v="1"/>
    <x v="1"/>
    <x v="0"/>
    <x v="16"/>
    <n v="10"/>
    <n v="23.12"/>
    <n v="0"/>
    <n v="7.51"/>
    <x v="2"/>
    <s v="COD"/>
    <x v="2"/>
    <n v="231.20000000000002"/>
  </r>
  <r>
    <s v="ORD-101204"/>
    <s v="16 Feb 2025"/>
    <x v="243"/>
    <x v="332"/>
    <s v="ishaan.anderson74@yahoo.com"/>
    <x v="2"/>
    <x v="2"/>
    <x v="0"/>
    <x v="0"/>
    <n v="10"/>
    <n v="38.869999999999997"/>
    <n v="0"/>
    <n v="0"/>
    <x v="0"/>
    <s v="Debit Card"/>
    <x v="2"/>
    <n v="388.7"/>
  </r>
  <r>
    <s v="ORD-100100"/>
    <s v="2024-04-25"/>
    <x v="608"/>
    <x v="195"/>
    <s v="ethan.wilson93@outlook.com"/>
    <x v="4"/>
    <x v="1"/>
    <x v="3"/>
    <x v="5"/>
    <n v="4"/>
    <n v="111.91"/>
    <n v="0"/>
    <n v="9.2200000000000006"/>
    <x v="6"/>
    <s v="Credit Card"/>
    <x v="2"/>
    <n v="447.64"/>
  </r>
  <r>
    <s v="ORD-100197"/>
    <s v="11/06/2025"/>
    <x v="186"/>
    <x v="163"/>
    <s v="lily.davis73@yahoo.com"/>
    <x v="4"/>
    <x v="5"/>
    <x v="0"/>
    <x v="17"/>
    <n v="1"/>
    <n v="44.54"/>
    <n v="0.05"/>
    <m/>
    <x v="6"/>
    <s v="Credit Card"/>
    <x v="2"/>
    <n v="42.312999999999995"/>
  </r>
  <r>
    <s v="ORD-100495"/>
    <s v="10/24/2024"/>
    <x v="523"/>
    <x v="384"/>
    <s v="liam.iyer11@yahoo.com"/>
    <x v="1"/>
    <x v="1"/>
    <x v="3"/>
    <x v="9"/>
    <n v="10"/>
    <n v="91.54"/>
    <n v="0"/>
    <n v="5.32"/>
    <x v="7"/>
    <s v="Debit Card"/>
    <x v="1"/>
    <n v="915.40000000000009"/>
  </r>
  <r>
    <s v="ORD-100647"/>
    <s v="03/13/2024"/>
    <x v="609"/>
    <x v="380"/>
    <s v="liam.sharma80@outlook.com"/>
    <x v="1"/>
    <x v="1"/>
    <x v="2"/>
    <x v="10"/>
    <n v="2"/>
    <n v="2.97"/>
    <n v="0"/>
    <n v="13.07"/>
    <x v="3"/>
    <s v="COD"/>
    <x v="0"/>
    <n v="5.94"/>
  </r>
  <r>
    <s v="ORD-100987"/>
    <s v="2024-03-03"/>
    <x v="476"/>
    <x v="143"/>
    <s v="zara.taylor1@yahoo.com"/>
    <x v="4"/>
    <x v="1"/>
    <x v="2"/>
    <x v="3"/>
    <n v="1"/>
    <n v="7.95"/>
    <n v="0"/>
    <n v="5.65"/>
    <x v="0"/>
    <s v="COD"/>
    <x v="1"/>
    <n v="7.95"/>
  </r>
  <r>
    <s v="ORD-100044"/>
    <s v="07/03/2024"/>
    <x v="359"/>
    <x v="184"/>
    <s v="zara.thomas88@hotmail.com"/>
    <x v="2"/>
    <x v="2"/>
    <x v="1"/>
    <x v="20"/>
    <n v="2"/>
    <n v="18.66"/>
    <n v="0.15"/>
    <n v="0"/>
    <x v="7"/>
    <s v="Bank Transfer"/>
    <x v="2"/>
    <n v="31.721999999999998"/>
  </r>
  <r>
    <s v="ORD-100710"/>
    <s v="10/25/2025"/>
    <x v="379"/>
    <x v="330"/>
    <s v="aarav.gupta90@gmail.com"/>
    <x v="0"/>
    <x v="0"/>
    <x v="3"/>
    <x v="5"/>
    <n v="1"/>
    <n v="113.89"/>
    <n v="0"/>
    <n v="0"/>
    <x v="2"/>
    <s v="Credit Card"/>
    <x v="2"/>
    <n v="113.89"/>
  </r>
  <r>
    <s v="ORD-100373"/>
    <s v="20 Apr 2024"/>
    <x v="102"/>
    <x v="219"/>
    <s v="aarav.white32@outlook.com"/>
    <x v="4"/>
    <x v="1"/>
    <x v="2"/>
    <x v="14"/>
    <n v="1"/>
    <n v="4.1100000000000003"/>
    <n v="0"/>
    <n v="12.49"/>
    <x v="4"/>
    <s v="Bank Transfer"/>
    <x v="2"/>
    <n v="4.1100000000000003"/>
  </r>
  <r>
    <s v="ORD-100678"/>
    <s v="January 29, 2024"/>
    <x v="406"/>
    <x v="318"/>
    <s v="lily.thomas87@yahoo.com"/>
    <x v="0"/>
    <x v="0"/>
    <x v="4"/>
    <x v="12"/>
    <n v="5"/>
    <n v="12.76"/>
    <n v="0.05"/>
    <n v="0"/>
    <x v="2"/>
    <s v="Debit Card"/>
    <x v="3"/>
    <n v="60.609999999999992"/>
  </r>
  <r>
    <s v="ORD-100566"/>
    <s v="08-10-2024"/>
    <x v="417"/>
    <x v="237"/>
    <s v="ella.brown56@yahoo.com"/>
    <x v="3"/>
    <x v="7"/>
    <x v="1"/>
    <x v="19"/>
    <n v="1"/>
    <n v="25.6"/>
    <n v="0"/>
    <n v="3.66"/>
    <x v="3"/>
    <s v="Credit Card"/>
    <x v="2"/>
    <n v="25.6"/>
  </r>
  <r>
    <s v="ORD-100847"/>
    <s v="2024-01-17"/>
    <x v="81"/>
    <x v="321"/>
    <s v="emma.johnson1@yahoo.com"/>
    <x v="4"/>
    <x v="5"/>
    <x v="1"/>
    <x v="1"/>
    <n v="1"/>
    <n v="35.26"/>
    <n v="0"/>
    <n v="6.92"/>
    <x v="7"/>
    <s v="Credit Card"/>
    <x v="2"/>
    <n v="35.26"/>
  </r>
  <r>
    <s v="ORD-100460"/>
    <s v="03/28/25"/>
    <x v="20"/>
    <x v="124"/>
    <s v="liam.williams33@outlook.com"/>
    <x v="2"/>
    <x v="1"/>
    <x v="3"/>
    <x v="11"/>
    <n v="3"/>
    <n v="238.25"/>
    <n v="0.15"/>
    <n v="14.58"/>
    <x v="3"/>
    <s v="Credit Card"/>
    <x v="0"/>
    <n v="607.53750000000002"/>
  </r>
  <r>
    <s v="ORD-101155"/>
    <s v="18-05-2024"/>
    <x v="327"/>
    <x v="290"/>
    <s v="ishaan.gupta3@outlook.com"/>
    <x v="1"/>
    <x v="10"/>
    <x v="4"/>
    <x v="12"/>
    <n v="5"/>
    <n v="13.45"/>
    <n v="0"/>
    <n v="0.06"/>
    <x v="5"/>
    <s v="PayPal"/>
    <x v="2"/>
    <n v="67.25"/>
  </r>
  <r>
    <s v="ORD-100039"/>
    <s v="2024-05-04"/>
    <x v="225"/>
    <x v="142"/>
    <s v="ishaan.iyer63@company.co"/>
    <x v="2"/>
    <x v="1"/>
    <x v="2"/>
    <x v="2"/>
    <n v="5"/>
    <n v="13.81"/>
    <n v="0"/>
    <n v="3.59"/>
    <x v="2"/>
    <s v="PayPal"/>
    <x v="2"/>
    <n v="69.05"/>
  </r>
  <r>
    <s v="ORD-100434"/>
    <s v="02/02/2025"/>
    <x v="112"/>
    <x v="283"/>
    <s v="noah.taylor95@company.co"/>
    <x v="1"/>
    <x v="1"/>
    <x v="4"/>
    <x v="8"/>
    <n v="10"/>
    <n v="14.43"/>
    <n v="0.05"/>
    <n v="11.89"/>
    <x v="2"/>
    <s v="Credit Card"/>
    <x v="0"/>
    <n v="137.08500000000001"/>
  </r>
  <r>
    <s v="ORD-100973"/>
    <s v="15 Jul 2025"/>
    <x v="427"/>
    <x v="207"/>
    <s v="ishaan.clark27@gmail.com"/>
    <x v="3"/>
    <x v="3"/>
    <x v="4"/>
    <x v="8"/>
    <n v="2"/>
    <n v="15.41"/>
    <n v="0.1"/>
    <n v="5.39"/>
    <x v="1"/>
    <s v="COD"/>
    <x v="2"/>
    <n v="27.738"/>
  </r>
  <r>
    <s v="ORD-101239"/>
    <s v="25 Oct 2025"/>
    <x v="379"/>
    <x v="319"/>
    <s v="sophia.reddy40@hotmail.com"/>
    <x v="2"/>
    <x v="2"/>
    <x v="1"/>
    <x v="15"/>
    <n v="1"/>
    <n v="9.5399999999999991"/>
    <n v="0.05"/>
    <n v="0.69"/>
    <x v="6"/>
    <s v="PayPal"/>
    <x v="2"/>
    <n v="9.0629999999999988"/>
  </r>
  <r>
    <s v="ORD-101007"/>
    <s v="01/08/2024"/>
    <x v="16"/>
    <x v="193"/>
    <s v="chloe.taylor14@company.co"/>
    <x v="3"/>
    <x v="4"/>
    <x v="4"/>
    <x v="8"/>
    <n v="10"/>
    <n v="14.97"/>
    <n v="0.05"/>
    <n v="0.22"/>
    <x v="4"/>
    <s v="Not Known"/>
    <x v="0"/>
    <n v="142.215"/>
  </r>
  <r>
    <s v="ORD-100456"/>
    <s v="11/12/2024"/>
    <x v="610"/>
    <x v="385"/>
    <s v="aarav.wilson2@gmail.com"/>
    <x v="0"/>
    <x v="8"/>
    <x v="3"/>
    <x v="21"/>
    <n v="1"/>
    <n v="123.9"/>
    <n v="0.15"/>
    <n v="13.94"/>
    <x v="1"/>
    <s v="PayPal"/>
    <x v="2"/>
    <n v="105.315"/>
  </r>
  <r>
    <s v="ORD-100260"/>
    <s v="11/15/24"/>
    <x v="602"/>
    <x v="28"/>
    <s v="Not Known"/>
    <x v="2"/>
    <x v="1"/>
    <x v="1"/>
    <x v="7"/>
    <n v="1"/>
    <n v="43.82"/>
    <n v="0"/>
    <n v="2.89"/>
    <x v="0"/>
    <s v="Bank Transfer"/>
    <x v="0"/>
    <n v="43.82"/>
  </r>
  <r>
    <s v="ORD-100035"/>
    <s v="2025-04-09"/>
    <x v="349"/>
    <x v="84"/>
    <s v="rohan.nair90@outlook.com"/>
    <x v="0"/>
    <x v="8"/>
    <x v="2"/>
    <x v="14"/>
    <n v="1"/>
    <n v="4.2699999999999996"/>
    <n v="0.1"/>
    <n v="3.97"/>
    <x v="1"/>
    <s v="Debit Card"/>
    <x v="2"/>
    <n v="3.8429999999999995"/>
  </r>
  <r>
    <s v="ORD-100827"/>
    <s v="08/26/2024"/>
    <x v="305"/>
    <x v="350"/>
    <s v="zara.nair14@yahoo.com"/>
    <x v="2"/>
    <x v="1"/>
    <x v="1"/>
    <x v="7"/>
    <n v="1"/>
    <n v="40.21"/>
    <n v="0.05"/>
    <n v="13.42"/>
    <x v="4"/>
    <s v="Credit Card"/>
    <x v="2"/>
    <n v="38.1995"/>
  </r>
  <r>
    <s v="ORD-100309"/>
    <s v="2024-04-24"/>
    <x v="611"/>
    <x v="15"/>
    <s v="noah.wilson98@gmail.com"/>
    <x v="3"/>
    <x v="7"/>
    <x v="2"/>
    <x v="10"/>
    <n v="2"/>
    <n v="2.95"/>
    <n v="0"/>
    <n v="11.36"/>
    <x v="6"/>
    <s v="Credit Card"/>
    <x v="2"/>
    <n v="5.9"/>
  </r>
  <r>
    <s v="ORD-100276"/>
    <s v="01-04-2025"/>
    <x v="471"/>
    <x v="112"/>
    <s v="aarav.sharma88@gmail.com"/>
    <x v="2"/>
    <x v="1"/>
    <x v="0"/>
    <x v="22"/>
    <n v="3"/>
    <n v="81.41"/>
    <n v="0"/>
    <n v="3.78"/>
    <x v="6"/>
    <s v="Credit Card"/>
    <x v="2"/>
    <n v="244.23"/>
  </r>
  <r>
    <s v="ORD-100636"/>
    <s v="30 Nov 2025"/>
    <x v="101"/>
    <x v="177"/>
    <s v="arjun.reddy31@company.co"/>
    <x v="2"/>
    <x v="1"/>
    <x v="2"/>
    <x v="4"/>
    <n v="1"/>
    <n v="6.54"/>
    <n v="0.05"/>
    <n v="14.7"/>
    <x v="3"/>
    <s v="Debit Card"/>
    <x v="2"/>
    <n v="6.2130000000000001"/>
  </r>
  <r>
    <s v="ORD-100654"/>
    <s v="09-03-2024"/>
    <x v="612"/>
    <x v="1"/>
    <s v="grace.thomas14@gmail.com"/>
    <x v="2"/>
    <x v="1"/>
    <x v="3"/>
    <x v="9"/>
    <n v="1"/>
    <n v="86.58"/>
    <n v="0.05"/>
    <n v="4.34"/>
    <x v="1"/>
    <s v="Bank Transfer"/>
    <x v="2"/>
    <n v="82.250999999999991"/>
  </r>
  <r>
    <s v="ORD-100622"/>
    <s v="12/29/2024"/>
    <x v="53"/>
    <x v="224"/>
    <s v="ethan.white40@outlook.com"/>
    <x v="1"/>
    <x v="1"/>
    <x v="1"/>
    <x v="13"/>
    <n v="4"/>
    <n v="191.4"/>
    <n v="0.1"/>
    <n v="3.78"/>
    <x v="5"/>
    <s v="Credit Card"/>
    <x v="3"/>
    <n v="689.04000000000008"/>
  </r>
  <r>
    <s v="ORD-100844"/>
    <s v="07-11-2025"/>
    <x v="31"/>
    <x v="264"/>
    <s v="lily.brown66@company.co"/>
    <x v="2"/>
    <x v="1"/>
    <x v="1"/>
    <x v="1"/>
    <n v="3"/>
    <n v="35.64"/>
    <n v="0.05"/>
    <n v="5.79"/>
    <x v="7"/>
    <s v="Bank Transfer"/>
    <x v="2"/>
    <n v="101.574"/>
  </r>
  <r>
    <s v="ORD-100393"/>
    <s v="2024-09-13"/>
    <x v="334"/>
    <x v="302"/>
    <s v="rohan.reddy2@yahoo.com"/>
    <x v="2"/>
    <x v="1"/>
    <x v="3"/>
    <x v="11"/>
    <n v="1"/>
    <n v="249.15"/>
    <n v="0"/>
    <n v="4.91"/>
    <x v="3"/>
    <s v="Debit Card"/>
    <x v="2"/>
    <n v="249.15"/>
  </r>
  <r>
    <s v="ORD-100107"/>
    <s v="05/09/25"/>
    <x v="315"/>
    <x v="371"/>
    <s v="aarav.miller79@hotmail.com"/>
    <x v="1"/>
    <x v="1"/>
    <x v="4"/>
    <x v="18"/>
    <n v="1"/>
    <n v="31.02"/>
    <n v="0"/>
    <n v="0"/>
    <x v="7"/>
    <s v="Credit Card"/>
    <x v="2"/>
    <n v="31.02"/>
  </r>
  <r>
    <s v="ORD-100349"/>
    <s v="19-01-2024"/>
    <x v="489"/>
    <x v="376"/>
    <s v="emma.thomas7@yahoo.com"/>
    <x v="0"/>
    <x v="0"/>
    <x v="4"/>
    <x v="18"/>
    <n v="1"/>
    <n v="29.01"/>
    <n v="0.05"/>
    <n v="2.38"/>
    <x v="6"/>
    <s v="Not Known"/>
    <x v="2"/>
    <n v="27.5595"/>
  </r>
  <r>
    <s v="ORD-100524"/>
    <s v="03/04/2025"/>
    <x v="17"/>
    <x v="198"/>
    <s v="zara.harris58@company.co"/>
    <x v="0"/>
    <x v="0"/>
    <x v="2"/>
    <x v="3"/>
    <n v="3"/>
    <n v="7.98"/>
    <n v="0"/>
    <n v="14.8"/>
    <x v="1"/>
    <s v="Not Known"/>
    <x v="1"/>
    <n v="23.94"/>
  </r>
  <r>
    <s v="ORD-100784"/>
    <s v="20 Jun 2025"/>
    <x v="580"/>
    <x v="228"/>
    <s v="ella.davis24@outlook.com"/>
    <x v="2"/>
    <x v="2"/>
    <x v="4"/>
    <x v="12"/>
    <n v="1"/>
    <n v="12.38"/>
    <n v="0.1"/>
    <n v="2.94"/>
    <x v="4"/>
    <s v="Not Known"/>
    <x v="3"/>
    <n v="11.142000000000001"/>
  </r>
  <r>
    <s v="ORD-100047"/>
    <s v="03/01/2025"/>
    <x v="134"/>
    <x v="274"/>
    <s v="rohan.johnson42@gmail.com"/>
    <x v="3"/>
    <x v="4"/>
    <x v="2"/>
    <x v="4"/>
    <n v="1"/>
    <n v="6.76"/>
    <n v="0.1"/>
    <n v="8.09"/>
    <x v="4"/>
    <s v="Bank Transfer"/>
    <x v="2"/>
    <n v="6.0839999999999996"/>
  </r>
  <r>
    <s v="ORD-100203"/>
    <s v="26 Oct 2025"/>
    <x v="516"/>
    <x v="379"/>
    <s v="liam.white87@hotmail.com"/>
    <x v="3"/>
    <x v="10"/>
    <x v="4"/>
    <x v="12"/>
    <n v="10"/>
    <n v="13.48"/>
    <n v="0"/>
    <n v="13.12"/>
    <x v="7"/>
    <s v="Credit Card"/>
    <x v="2"/>
    <n v="134.80000000000001"/>
  </r>
  <r>
    <s v="ORD-100021"/>
    <s v="19 Apr 2024"/>
    <x v="364"/>
    <x v="152"/>
    <s v="chloe.reddy99@gmail.com"/>
    <x v="2"/>
    <x v="1"/>
    <x v="4"/>
    <x v="6"/>
    <n v="2"/>
    <n v="62.31"/>
    <n v="0.1"/>
    <n v="14.37"/>
    <x v="3"/>
    <s v="Credit Card"/>
    <x v="2"/>
    <n v="112.158"/>
  </r>
  <r>
    <s v="ORD-100402"/>
    <s v="27 Apr 2025"/>
    <x v="42"/>
    <x v="147"/>
    <s v="kabir.white22@outlook.com"/>
    <x v="4"/>
    <x v="1"/>
    <x v="0"/>
    <x v="0"/>
    <n v="5"/>
    <n v="39.200000000000003"/>
    <n v="0.05"/>
    <n v="11.02"/>
    <x v="2"/>
    <s v="Not Known"/>
    <x v="2"/>
    <n v="186.2"/>
  </r>
  <r>
    <s v="ORD-101107"/>
    <s v="02/22/2025"/>
    <x v="613"/>
    <x v="271"/>
    <s v="sophia.taylor32@gmail.com"/>
    <x v="4"/>
    <x v="10"/>
    <x v="0"/>
    <x v="16"/>
    <n v="1"/>
    <n v="23.43"/>
    <n v="0"/>
    <n v="4.47"/>
    <x v="0"/>
    <s v="Credit Card"/>
    <x v="2"/>
    <n v="23.43"/>
  </r>
  <r>
    <s v="ORD-101154"/>
    <s v="08 Apr 2024"/>
    <x v="206"/>
    <x v="111"/>
    <s v="ishaan.taylor86@company.co"/>
    <x v="4"/>
    <x v="1"/>
    <x v="5"/>
    <x v="9"/>
    <n v="1"/>
    <n v="87.24"/>
    <n v="0"/>
    <n v="8.8800000000000008"/>
    <x v="1"/>
    <s v="Bank Transfer"/>
    <x v="1"/>
    <n v="87.24"/>
  </r>
  <r>
    <s v="ORD-100989"/>
    <s v="14 Jul 2025"/>
    <x v="436"/>
    <x v="146"/>
    <s v="aarav.harris11@hotmail.com"/>
    <x v="4"/>
    <x v="5"/>
    <x v="0"/>
    <x v="16"/>
    <n v="1"/>
    <n v="23.04"/>
    <n v="0.1"/>
    <n v="5.83"/>
    <x v="6"/>
    <s v="Credit Card"/>
    <x v="2"/>
    <n v="20.736000000000001"/>
  </r>
  <r>
    <s v="ORD-100741"/>
    <s v="2025-03-06"/>
    <x v="208"/>
    <x v="279"/>
    <s v="ava.white88@gmail.com"/>
    <x v="1"/>
    <x v="1"/>
    <x v="3"/>
    <x v="9"/>
    <n v="1"/>
    <n v="91.98"/>
    <n v="0"/>
    <n v="3.18"/>
    <x v="2"/>
    <s v="Debit Card"/>
    <x v="2"/>
    <n v="91.98"/>
  </r>
  <r>
    <s v="ORD-101310"/>
    <s v="26-12-2024"/>
    <x v="441"/>
    <x v="125"/>
    <s v="sophia.williams23@hotmail.com"/>
    <x v="1"/>
    <x v="6"/>
    <x v="3"/>
    <x v="5"/>
    <n v="2"/>
    <n v="109.5"/>
    <n v="0.1"/>
    <n v="5.05"/>
    <x v="0"/>
    <s v="Credit Card"/>
    <x v="2"/>
    <n v="197.1"/>
  </r>
  <r>
    <s v="ORD-101147"/>
    <s v="01 Mar 2024"/>
    <x v="340"/>
    <x v="380"/>
    <s v="liam.sharma49@yahoo.com"/>
    <x v="0"/>
    <x v="0"/>
    <x v="0"/>
    <x v="17"/>
    <n v="2"/>
    <n v="43.21"/>
    <n v="0.05"/>
    <n v="12.45"/>
    <x v="6"/>
    <s v="Credit Card"/>
    <x v="3"/>
    <n v="82.099000000000004"/>
  </r>
  <r>
    <s v="ORD-100033"/>
    <s v="2025-05-18"/>
    <x v="192"/>
    <x v="92"/>
    <s v="ava.johnson52@gmail.com"/>
    <x v="4"/>
    <x v="1"/>
    <x v="1"/>
    <x v="19"/>
    <n v="5"/>
    <n v="24.46"/>
    <n v="0.15"/>
    <n v="0.8"/>
    <x v="2"/>
    <s v="Not Known"/>
    <x v="3"/>
    <n v="103.95500000000001"/>
  </r>
  <r>
    <s v="ORD-100787"/>
    <s v="2025-08-13"/>
    <x v="614"/>
    <x v="210"/>
    <s v="sophia.sharma66@gmail.com"/>
    <x v="2"/>
    <x v="2"/>
    <x v="1"/>
    <x v="19"/>
    <n v="2"/>
    <n v="24.55"/>
    <n v="0.1"/>
    <n v="7.22"/>
    <x v="3"/>
    <s v="Credit Card"/>
    <x v="2"/>
    <n v="44.190000000000005"/>
  </r>
  <r>
    <s v="ORD-100923"/>
    <s v="February 11, 2024"/>
    <x v="88"/>
    <x v="283"/>
    <s v="noah.taylor77@yahoo.com"/>
    <x v="0"/>
    <x v="9"/>
    <x v="3"/>
    <x v="11"/>
    <n v="1"/>
    <n v="249.92"/>
    <n v="0.05"/>
    <n v="5.78"/>
    <x v="0"/>
    <s v="COD"/>
    <x v="3"/>
    <n v="237.42399999999998"/>
  </r>
  <r>
    <s v="ORD-101043"/>
    <s v="20 Jul 2024"/>
    <x v="574"/>
    <x v="192"/>
    <s v="emma.reddy96@outlook.com"/>
    <x v="1"/>
    <x v="10"/>
    <x v="3"/>
    <x v="21"/>
    <n v="1"/>
    <n v="135"/>
    <n v="0.05"/>
    <n v="9.8800000000000008"/>
    <x v="7"/>
    <s v="Bank Transfer"/>
    <x v="0"/>
    <n v="128.25"/>
  </r>
  <r>
    <s v="ORD-101395"/>
    <s v="2024-10-21"/>
    <x v="76"/>
    <x v="89"/>
    <s v="noah.sharma51@hotmail.com"/>
    <x v="1"/>
    <x v="1"/>
    <x v="2"/>
    <x v="4"/>
    <n v="10"/>
    <n v="6.68"/>
    <n v="0"/>
    <n v="9.57"/>
    <x v="1"/>
    <s v="Not Known"/>
    <x v="2"/>
    <n v="66.8"/>
  </r>
  <r>
    <s v="ORD-101243"/>
    <s v="2025-11-27"/>
    <x v="535"/>
    <x v="80"/>
    <s v="Not Known"/>
    <x v="1"/>
    <x v="1"/>
    <x v="2"/>
    <x v="10"/>
    <n v="2"/>
    <n v="3.15"/>
    <n v="0.1"/>
    <n v="6.24"/>
    <x v="5"/>
    <s v="COD"/>
    <x v="3"/>
    <n v="5.67"/>
  </r>
  <r>
    <s v="ORD-100579"/>
    <s v="28-01-2025"/>
    <x v="615"/>
    <x v="345"/>
    <s v="chloe.jackson38@yahoo.com"/>
    <x v="1"/>
    <x v="6"/>
    <x v="0"/>
    <x v="22"/>
    <n v="1"/>
    <n v="81.7"/>
    <n v="0.1"/>
    <n v="12.76"/>
    <x v="0"/>
    <s v="Credit Card"/>
    <x v="2"/>
    <n v="73.53"/>
  </r>
  <r>
    <s v="ORD-100481"/>
    <s v="16 Nov 2024"/>
    <x v="383"/>
    <x v="376"/>
    <s v="emma.thomas72@outlook.com"/>
    <x v="4"/>
    <x v="1"/>
    <x v="0"/>
    <x v="17"/>
    <n v="1"/>
    <n v="44.27"/>
    <n v="0.05"/>
    <n v="0"/>
    <x v="0"/>
    <s v="COD"/>
    <x v="2"/>
    <n v="42.0565"/>
  </r>
  <r>
    <s v="ORD-100931"/>
    <s v="2024-02-11"/>
    <x v="88"/>
    <x v="146"/>
    <s v="aarav.harris69@gmail.com"/>
    <x v="4"/>
    <x v="11"/>
    <x v="4"/>
    <x v="12"/>
    <n v="1"/>
    <n v="12.78"/>
    <n v="0"/>
    <n v="12.78"/>
    <x v="1"/>
    <s v="COD"/>
    <x v="2"/>
    <n v="12.78"/>
  </r>
  <r>
    <s v="ORD-100356"/>
    <s v="August 18, 2025"/>
    <x v="616"/>
    <x v="46"/>
    <s v="olivia.brown31@gmail.com"/>
    <x v="2"/>
    <x v="1"/>
    <x v="1"/>
    <x v="7"/>
    <n v="3"/>
    <n v="40.99"/>
    <n v="0"/>
    <n v="9.42"/>
    <x v="1"/>
    <s v="PayPal"/>
    <x v="3"/>
    <n v="122.97"/>
  </r>
  <r>
    <s v="ORD-101248"/>
    <s v="08/04/24"/>
    <x v="346"/>
    <x v="101"/>
    <s v="lily.harris64@gmail.com"/>
    <x v="0"/>
    <x v="9"/>
    <x v="3"/>
    <x v="5"/>
    <n v="1"/>
    <n v="108.42"/>
    <n v="0"/>
    <n v="14.36"/>
    <x v="4"/>
    <s v="Debit Card"/>
    <x v="2"/>
    <n v="108.42"/>
  </r>
  <r>
    <s v="ORD-100759"/>
    <s v="2024-09-18"/>
    <x v="617"/>
    <x v="308"/>
    <s v="noah.williams12@outlook.com"/>
    <x v="3"/>
    <x v="7"/>
    <x v="2"/>
    <x v="14"/>
    <n v="2"/>
    <n v="4.38"/>
    <n v="0"/>
    <n v="10.96"/>
    <x v="2"/>
    <s v="Bank Transfer"/>
    <x v="2"/>
    <n v="8.76"/>
  </r>
  <r>
    <s v="ORD-100092"/>
    <s v="21-10-2024"/>
    <x v="76"/>
    <x v="5"/>
    <s v="ava.thomas26@company.co"/>
    <x v="1"/>
    <x v="6"/>
    <x v="3"/>
    <x v="5"/>
    <n v="1"/>
    <n v="105.61"/>
    <n v="0"/>
    <n v="13.62"/>
    <x v="5"/>
    <s v="COD"/>
    <x v="2"/>
    <n v="105.61"/>
  </r>
  <r>
    <s v="ORD-101175"/>
    <s v="2024-03-04"/>
    <x v="455"/>
    <x v="183"/>
    <s v="sophia.miller78@hotmail.com"/>
    <x v="4"/>
    <x v="11"/>
    <x v="1"/>
    <x v="1"/>
    <n v="1"/>
    <n v="35.29"/>
    <n v="0.05"/>
    <n v="2.76"/>
    <x v="4"/>
    <s v="Debit Card"/>
    <x v="2"/>
    <n v="33.525500000000001"/>
  </r>
  <r>
    <s v="ORD-101341"/>
    <s v="August 01, 2024"/>
    <x v="536"/>
    <x v="42"/>
    <s v="liam.nair54@hotmail.com"/>
    <x v="1"/>
    <x v="1"/>
    <x v="2"/>
    <x v="4"/>
    <n v="5"/>
    <n v="6.34"/>
    <n v="0"/>
    <n v="1.98"/>
    <x v="3"/>
    <s v="Bank Transfer"/>
    <x v="2"/>
    <n v="31.7"/>
  </r>
  <r>
    <s v="ORD-100803"/>
    <s v="2024-07-20"/>
    <x v="574"/>
    <x v="185"/>
    <s v="Not Known"/>
    <x v="1"/>
    <x v="1"/>
    <x v="0"/>
    <x v="22"/>
    <n v="2"/>
    <n v="81.3"/>
    <n v="0.05"/>
    <n v="7.05"/>
    <x v="1"/>
    <s v="COD"/>
    <x v="2"/>
    <n v="154.47"/>
  </r>
  <r>
    <s v="ORD-100745"/>
    <s v="2024-01-12"/>
    <x v="460"/>
    <x v="28"/>
    <s v="Not Known"/>
    <x v="1"/>
    <x v="10"/>
    <x v="0"/>
    <x v="16"/>
    <n v="10"/>
    <n v="21.54"/>
    <n v="0"/>
    <n v="0.36"/>
    <x v="6"/>
    <s v="Credit Card"/>
    <x v="0"/>
    <n v="215.39999999999998"/>
  </r>
  <r>
    <s v="ORD-100279"/>
    <s v="10/30/25"/>
    <x v="12"/>
    <x v="64"/>
    <s v="liam.clark20@gmail.com"/>
    <x v="4"/>
    <x v="10"/>
    <x v="1"/>
    <x v="13"/>
    <n v="1"/>
    <n v="194.08"/>
    <n v="0"/>
    <n v="9.9700000000000006"/>
    <x v="0"/>
    <s v="Credit Card"/>
    <x v="0"/>
    <n v="194.08"/>
  </r>
  <r>
    <s v="ORD-100764"/>
    <s v="10/29/2024"/>
    <x v="588"/>
    <x v="78"/>
    <s v="lily.nair67@company.co"/>
    <x v="2"/>
    <x v="2"/>
    <x v="0"/>
    <x v="16"/>
    <n v="2"/>
    <n v="23.33"/>
    <n v="0"/>
    <n v="8.69"/>
    <x v="1"/>
    <s v="Credit Card"/>
    <x v="0"/>
    <n v="46.66"/>
  </r>
  <r>
    <s v="ORD-100604"/>
    <s v="07/10/2025"/>
    <x v="91"/>
    <x v="226"/>
    <s v="emma.taylor4@outlook.com"/>
    <x v="3"/>
    <x v="7"/>
    <x v="2"/>
    <x v="10"/>
    <n v="10"/>
    <n v="3.05"/>
    <n v="0.05"/>
    <n v="6.86"/>
    <x v="5"/>
    <s v="Credit Card"/>
    <x v="2"/>
    <n v="28.974999999999998"/>
  </r>
  <r>
    <s v="ORD-101026"/>
    <s v="03/04/25"/>
    <x v="17"/>
    <x v="17"/>
    <s v="aarav.jackson1@hotmail.com"/>
    <x v="2"/>
    <x v="2"/>
    <x v="3"/>
    <x v="11"/>
    <n v="1"/>
    <n v="251.19"/>
    <n v="0.15"/>
    <n v="11.3"/>
    <x v="6"/>
    <s v="Credit Card"/>
    <x v="2"/>
    <n v="213.51149999999998"/>
  </r>
  <r>
    <s v="ORD-101373"/>
    <s v="01/31/2025"/>
    <x v="215"/>
    <x v="360"/>
    <s v="rohan.clark53@outlook.com"/>
    <x v="0"/>
    <x v="0"/>
    <x v="3"/>
    <x v="11"/>
    <n v="2"/>
    <n v="261.10000000000002"/>
    <n v="0"/>
    <n v="10.4"/>
    <x v="4"/>
    <s v="Credit Card"/>
    <x v="2"/>
    <n v="522.20000000000005"/>
  </r>
  <r>
    <s v="ORD-101398"/>
    <s v="09 Jul 2025"/>
    <x v="132"/>
    <x v="13"/>
    <s v="kabir.wilson94@company.co"/>
    <x v="4"/>
    <x v="1"/>
    <x v="0"/>
    <x v="16"/>
    <n v="2"/>
    <n v="23.09"/>
    <n v="0"/>
    <n v="14.58"/>
    <x v="5"/>
    <s v="Credit Card"/>
    <x v="3"/>
    <n v="46.18"/>
  </r>
  <r>
    <s v="ORD-100400"/>
    <s v="09/11/24"/>
    <x v="49"/>
    <x v="271"/>
    <s v="sophia.taylor86@gmail.com"/>
    <x v="4"/>
    <x v="11"/>
    <x v="1"/>
    <x v="19"/>
    <n v="2"/>
    <n v="25.73"/>
    <n v="0"/>
    <n v="9.1199999999999992"/>
    <x v="7"/>
    <s v="Bank Transfer"/>
    <x v="0"/>
    <n v="51.46"/>
  </r>
  <r>
    <s v="ORD-100257"/>
    <s v="08/14/25"/>
    <x v="461"/>
    <x v="11"/>
    <s v="Not Known"/>
    <x v="2"/>
    <x v="2"/>
    <x v="0"/>
    <x v="22"/>
    <n v="1"/>
    <n v="79.69"/>
    <n v="0"/>
    <n v="13.32"/>
    <x v="4"/>
    <s v="Credit Card"/>
    <x v="2"/>
    <n v="79.69"/>
  </r>
  <r>
    <s v="ORD-100944"/>
    <s v="31-05-2025"/>
    <x v="199"/>
    <x v="93"/>
    <s v="ethan.iyer78@hotmail.com"/>
    <x v="1"/>
    <x v="6"/>
    <x v="3"/>
    <x v="5"/>
    <n v="1"/>
    <n v="107.3"/>
    <n v="0.1"/>
    <n v="3.64"/>
    <x v="3"/>
    <s v="Bank Transfer"/>
    <x v="0"/>
    <n v="96.57"/>
  </r>
  <r>
    <s v="ORD-101096"/>
    <s v="06/02/25"/>
    <x v="618"/>
    <x v="345"/>
    <s v="chloe.jackson93@gmail.com"/>
    <x v="0"/>
    <x v="8"/>
    <x v="2"/>
    <x v="14"/>
    <n v="1"/>
    <n v="4.37"/>
    <n v="0"/>
    <n v="6.03"/>
    <x v="0"/>
    <s v="COD"/>
    <x v="2"/>
    <n v="4.37"/>
  </r>
  <r>
    <s v="ORD-101219"/>
    <s v="03-09-2025"/>
    <x v="601"/>
    <x v="74"/>
    <s v="daniel.white85@outlook.com"/>
    <x v="3"/>
    <x v="7"/>
    <x v="2"/>
    <x v="3"/>
    <n v="2"/>
    <n v="8.15"/>
    <n v="0"/>
    <n v="13.62"/>
    <x v="0"/>
    <s v="Credit Card"/>
    <x v="1"/>
    <n v="16.3"/>
  </r>
  <r>
    <s v="ORD-101161"/>
    <s v="2024-01-06"/>
    <x v="1"/>
    <x v="294"/>
    <s v="ava.iyer14@hotmail.com"/>
    <x v="1"/>
    <x v="6"/>
    <x v="1"/>
    <x v="15"/>
    <n v="10"/>
    <n v="9.0299999999999994"/>
    <n v="0.1"/>
    <n v="6.18"/>
    <x v="6"/>
    <s v="COD"/>
    <x v="3"/>
    <n v="81.27"/>
  </r>
  <r>
    <s v="ORD-100494"/>
    <s v="24 Feb 2024"/>
    <x v="398"/>
    <x v="17"/>
    <s v="aarav.jackson16@outlook.com"/>
    <x v="3"/>
    <x v="4"/>
    <x v="0"/>
    <x v="0"/>
    <n v="1"/>
    <n v="39.200000000000003"/>
    <n v="0.1"/>
    <n v="0"/>
    <x v="4"/>
    <s v="COD"/>
    <x v="2"/>
    <n v="35.28"/>
  </r>
  <r>
    <s v="ORD-100772"/>
    <s v="2024-09-26"/>
    <x v="582"/>
    <x v="4"/>
    <s v="Not Known"/>
    <x v="2"/>
    <x v="1"/>
    <x v="3"/>
    <x v="21"/>
    <n v="5"/>
    <n v="129.72"/>
    <n v="0.05"/>
    <n v="10.119999999999999"/>
    <x v="0"/>
    <s v="Credit Card"/>
    <x v="2"/>
    <n v="616.16999999999996"/>
  </r>
  <r>
    <s v="ORD-100550"/>
    <s v="02/01/24"/>
    <x v="278"/>
    <x v="4"/>
    <s v="ethan.johnson74@outlook.com"/>
    <x v="0"/>
    <x v="0"/>
    <x v="5"/>
    <x v="19"/>
    <n v="2"/>
    <n v="24.43"/>
    <n v="0.05"/>
    <n v="9.48"/>
    <x v="3"/>
    <s v="Credit Card"/>
    <x v="2"/>
    <n v="46.416999999999994"/>
  </r>
  <r>
    <s v="ORD-100201"/>
    <s v="April 04, 2025"/>
    <x v="158"/>
    <x v="203"/>
    <s v="ethan.nair28@outlook.com"/>
    <x v="4"/>
    <x v="1"/>
    <x v="0"/>
    <x v="0"/>
    <n v="1"/>
    <n v="38.21"/>
    <n v="0"/>
    <n v="2.56"/>
    <x v="7"/>
    <s v="Bank Transfer"/>
    <x v="2"/>
    <n v="38.21"/>
  </r>
  <r>
    <s v="ORD-100312"/>
    <s v="2024-11-17"/>
    <x v="61"/>
    <x v="348"/>
    <s v="ava.anderson15@hotmail.com"/>
    <x v="4"/>
    <x v="5"/>
    <x v="4"/>
    <x v="8"/>
    <n v="5"/>
    <n v="15.3"/>
    <n v="0"/>
    <m/>
    <x v="4"/>
    <s v="COD"/>
    <x v="3"/>
    <n v="76.5"/>
  </r>
  <r>
    <s v="ORD-100290"/>
    <s v="05/15/2025"/>
    <x v="4"/>
    <x v="163"/>
    <s v="lily.davis67@yahoo.com"/>
    <x v="1"/>
    <x v="6"/>
    <x v="4"/>
    <x v="18"/>
    <n v="2"/>
    <n v="30.77"/>
    <n v="0"/>
    <n v="6.94"/>
    <x v="6"/>
    <s v="COD"/>
    <x v="1"/>
    <n v="61.54"/>
  </r>
  <r>
    <s v="ORD-101213"/>
    <s v="19-04-2025"/>
    <x v="247"/>
    <x v="370"/>
    <s v="ava.harris1@hotmail.com"/>
    <x v="1"/>
    <x v="1"/>
    <x v="4"/>
    <x v="6"/>
    <n v="3"/>
    <n v="57.5"/>
    <n v="0"/>
    <n v="12.13"/>
    <x v="5"/>
    <s v="Credit Card"/>
    <x v="0"/>
    <n v="172.5"/>
  </r>
  <r>
    <s v="ORD-100763"/>
    <s v="23-10-2024"/>
    <x v="156"/>
    <x v="96"/>
    <s v="aarav.nair9@hotmail.com"/>
    <x v="4"/>
    <x v="5"/>
    <x v="3"/>
    <x v="21"/>
    <n v="3"/>
    <n v="123.24"/>
    <n v="0.05"/>
    <n v="0.24"/>
    <x v="3"/>
    <s v="PayPal"/>
    <x v="2"/>
    <n v="351.23399999999998"/>
  </r>
  <r>
    <s v="ORD-101136"/>
    <s v="28-03-2024"/>
    <x v="313"/>
    <x v="171"/>
    <s v="advait.johnson32@hotmail.com"/>
    <x v="2"/>
    <x v="2"/>
    <x v="4"/>
    <x v="12"/>
    <n v="10"/>
    <n v="13.01"/>
    <n v="0.15"/>
    <n v="4.87"/>
    <x v="5"/>
    <s v="PayPal"/>
    <x v="2"/>
    <n v="110.58499999999999"/>
  </r>
  <r>
    <s v="ORD-100949"/>
    <s v="06-11-2024"/>
    <x v="3"/>
    <x v="244"/>
    <s v="ishaan.thomas38@gmail.com"/>
    <x v="1"/>
    <x v="6"/>
    <x v="2"/>
    <x v="3"/>
    <n v="1"/>
    <n v="8.09"/>
    <n v="0"/>
    <n v="14.07"/>
    <x v="7"/>
    <s v="Debit Card"/>
    <x v="3"/>
    <n v="8.09"/>
  </r>
  <r>
    <s v="ORD-100183"/>
    <s v="11/14/25"/>
    <x v="11"/>
    <x v="315"/>
    <s v="ella.taylor74@hotmail.com"/>
    <x v="3"/>
    <x v="4"/>
    <x v="3"/>
    <x v="11"/>
    <n v="1"/>
    <n v="260.99"/>
    <n v="0"/>
    <n v="13.41"/>
    <x v="0"/>
    <s v="Not Known"/>
    <x v="1"/>
    <n v="260.99"/>
  </r>
  <r>
    <s v="ORD-101176"/>
    <s v="April 05, 2025"/>
    <x v="32"/>
    <x v="253"/>
    <s v="liam.kapoor94@hotmail.com"/>
    <x v="2"/>
    <x v="1"/>
    <x v="5"/>
    <x v="5"/>
    <n v="2"/>
    <n v="112.37"/>
    <n v="0.05"/>
    <n v="2.14"/>
    <x v="6"/>
    <s v="PayPal"/>
    <x v="0"/>
    <n v="213.50299999999999"/>
  </r>
  <r>
    <s v="ORD-101349"/>
    <s v="07/12/2025"/>
    <x v="298"/>
    <x v="172"/>
    <s v="Not Known"/>
    <x v="0"/>
    <x v="9"/>
    <x v="2"/>
    <x v="10"/>
    <n v="2"/>
    <n v="3.12"/>
    <n v="0.1"/>
    <n v="0"/>
    <x v="0"/>
    <s v="COD"/>
    <x v="2"/>
    <n v="5.6160000000000005"/>
  </r>
  <r>
    <s v="ORD-101068"/>
    <s v="16 Dec 2025"/>
    <x v="619"/>
    <x v="112"/>
    <s v="aarav.sharma85@gmail.com"/>
    <x v="4"/>
    <x v="5"/>
    <x v="2"/>
    <x v="2"/>
    <n v="4"/>
    <n v="13.42"/>
    <n v="0"/>
    <n v="9.25"/>
    <x v="5"/>
    <s v="Not Known"/>
    <x v="3"/>
    <n v="53.68"/>
  </r>
  <r>
    <s v="ORD-101030"/>
    <s v="2024-02-27"/>
    <x v="620"/>
    <x v="44"/>
    <s v="daniel.nair18@hotmail.com"/>
    <x v="4"/>
    <x v="1"/>
    <x v="3"/>
    <x v="9"/>
    <n v="1"/>
    <n v="85.36"/>
    <n v="0.05"/>
    <n v="7.45"/>
    <x v="1"/>
    <s v="Credit Card"/>
    <x v="2"/>
    <n v="81.091999999999999"/>
  </r>
  <r>
    <s v="ORD-100250"/>
    <s v="06/02/2024"/>
    <x v="408"/>
    <x v="239"/>
    <s v="ethan.harris85@outlook.com"/>
    <x v="1"/>
    <x v="6"/>
    <x v="3"/>
    <x v="21"/>
    <n v="10"/>
    <n v="129.31"/>
    <n v="0"/>
    <n v="11.54"/>
    <x v="6"/>
    <s v="Debit Card"/>
    <x v="3"/>
    <n v="1293.0999999999999"/>
  </r>
  <r>
    <s v="ORD-100823"/>
    <s v="2024-09-30"/>
    <x v="180"/>
    <x v="302"/>
    <s v="rohan.reddy7@company.co"/>
    <x v="2"/>
    <x v="2"/>
    <x v="2"/>
    <x v="2"/>
    <n v="10"/>
    <n v="14.24"/>
    <n v="0"/>
    <n v="10.7"/>
    <x v="0"/>
    <s v="Not Known"/>
    <x v="2"/>
    <n v="142.4"/>
  </r>
  <r>
    <s v="ORD-101099"/>
    <s v="December 16, 2025"/>
    <x v="619"/>
    <x v="260"/>
    <s v="lily.white76@hotmail.com"/>
    <x v="0"/>
    <x v="9"/>
    <x v="4"/>
    <x v="12"/>
    <n v="2"/>
    <n v="12.71"/>
    <n v="0.15"/>
    <n v="8.61"/>
    <x v="0"/>
    <s v="Not Known"/>
    <x v="2"/>
    <n v="21.606999999999999"/>
  </r>
  <r>
    <s v="ORD-100940"/>
    <s v="January 14, 2025"/>
    <x v="263"/>
    <x v="262"/>
    <s v="chloe.white93@company.co"/>
    <x v="2"/>
    <x v="10"/>
    <x v="0"/>
    <x v="16"/>
    <n v="1"/>
    <n v="22.11"/>
    <n v="0.1"/>
    <n v="0"/>
    <x v="5"/>
    <s v="Not Known"/>
    <x v="3"/>
    <n v="19.899000000000001"/>
  </r>
  <r>
    <s v="ORD-100391"/>
    <s v="03/01/2025"/>
    <x v="134"/>
    <x v="205"/>
    <s v="rohan.anderson23@outlook.com"/>
    <x v="3"/>
    <x v="4"/>
    <x v="4"/>
    <x v="6"/>
    <n v="1"/>
    <n v="59.77"/>
    <n v="0.1"/>
    <n v="11"/>
    <x v="3"/>
    <s v="Debit Card"/>
    <x v="2"/>
    <n v="53.793000000000006"/>
  </r>
  <r>
    <s v="ORD-101092"/>
    <s v="12/07/25"/>
    <x v="184"/>
    <x v="14"/>
    <s v="ava.sharma19@yahoo.com"/>
    <x v="2"/>
    <x v="2"/>
    <x v="2"/>
    <x v="4"/>
    <n v="1"/>
    <n v="6.7"/>
    <n v="0"/>
    <n v="3.19"/>
    <x v="2"/>
    <s v="Credit Card"/>
    <x v="1"/>
    <n v="6.7"/>
  </r>
  <r>
    <s v="ORD-101191"/>
    <s v="06-02-2024"/>
    <x v="621"/>
    <x v="353"/>
    <s v="olivia.miller94@hotmail.com"/>
    <x v="0"/>
    <x v="9"/>
    <x v="1"/>
    <x v="13"/>
    <n v="1"/>
    <n v="187.04"/>
    <n v="0"/>
    <n v="0.92"/>
    <x v="6"/>
    <s v="PayPal"/>
    <x v="2"/>
    <n v="187.04"/>
  </r>
  <r>
    <s v="ORD-100904"/>
    <s v="02-06-2024"/>
    <x v="408"/>
    <x v="42"/>
    <s v="liam.nair12@yahoo.com"/>
    <x v="1"/>
    <x v="1"/>
    <x v="2"/>
    <x v="4"/>
    <n v="1"/>
    <n v="6.34"/>
    <n v="0"/>
    <n v="8.57"/>
    <x v="7"/>
    <s v="Bank Transfer"/>
    <x v="1"/>
    <n v="6.34"/>
  </r>
  <r>
    <s v="ORD-100730"/>
    <s v="09/16/24"/>
    <x v="223"/>
    <x v="260"/>
    <s v="lily.white25@gmail.com"/>
    <x v="3"/>
    <x v="7"/>
    <x v="2"/>
    <x v="2"/>
    <n v="4"/>
    <n v="14.5"/>
    <n v="0.1"/>
    <n v="12.22"/>
    <x v="5"/>
    <s v="COD"/>
    <x v="2"/>
    <n v="52.2"/>
  </r>
  <r>
    <s v="ORD-100554"/>
    <s v="01-08-2025"/>
    <x v="136"/>
    <x v="12"/>
    <s v="noah.moore18@outlook.com"/>
    <x v="1"/>
    <x v="6"/>
    <x v="4"/>
    <x v="12"/>
    <n v="2"/>
    <n v="13.48"/>
    <n v="0.05"/>
    <n v="2.82"/>
    <x v="1"/>
    <s v="Credit Card"/>
    <x v="3"/>
    <n v="25.611999999999998"/>
  </r>
  <r>
    <s v="ORD-100366"/>
    <s v="10/23/24"/>
    <x v="156"/>
    <x v="377"/>
    <s v="grace.harris80@company.co"/>
    <x v="2"/>
    <x v="1"/>
    <x v="2"/>
    <x v="10"/>
    <n v="2"/>
    <n v="3.11"/>
    <n v="0"/>
    <n v="0"/>
    <x v="3"/>
    <s v="PayPal"/>
    <x v="3"/>
    <n v="6.22"/>
  </r>
  <r>
    <s v="ORD-100345"/>
    <s v="2024-07-14"/>
    <x v="149"/>
    <x v="277"/>
    <s v="ishaan.white69@company.co"/>
    <x v="0"/>
    <x v="8"/>
    <x v="2"/>
    <x v="4"/>
    <n v="2"/>
    <n v="6.3"/>
    <n v="0"/>
    <n v="2.2200000000000002"/>
    <x v="7"/>
    <s v="Credit Card"/>
    <x v="2"/>
    <n v="12.6"/>
  </r>
  <r>
    <s v="ORD-100535"/>
    <s v="11 Mar 2025"/>
    <x v="321"/>
    <x v="255"/>
    <s v="olivia.harris57@outlook.com"/>
    <x v="2"/>
    <x v="2"/>
    <x v="2"/>
    <x v="4"/>
    <n v="2"/>
    <n v="6.36"/>
    <n v="0.1"/>
    <n v="4.0199999999999996"/>
    <x v="1"/>
    <s v="PayPal"/>
    <x v="2"/>
    <n v="11.448"/>
  </r>
  <r>
    <s v="ORD-100108"/>
    <s v="30 Sep 2024"/>
    <x v="180"/>
    <x v="159"/>
    <s v="emma.brown46@hotmail.com"/>
    <x v="3"/>
    <x v="4"/>
    <x v="3"/>
    <x v="21"/>
    <n v="4"/>
    <n v="129.03"/>
    <n v="0"/>
    <n v="6.09"/>
    <x v="1"/>
    <s v="COD"/>
    <x v="2"/>
    <n v="516.12"/>
  </r>
  <r>
    <s v="ORD-101209"/>
    <s v="05/23/2024"/>
    <x v="622"/>
    <x v="386"/>
    <s v="sophia.thomas11@gmail.com"/>
    <x v="3"/>
    <x v="3"/>
    <x v="3"/>
    <x v="11"/>
    <n v="4"/>
    <n v="252.32"/>
    <n v="0"/>
    <n v="7.8"/>
    <x v="4"/>
    <s v="Not Known"/>
    <x v="3"/>
    <n v="1009.28"/>
  </r>
  <r>
    <s v="ORD-101372"/>
    <s v="2025-11-18"/>
    <x v="432"/>
    <x v="133"/>
    <s v="ishaan.sharma29@outlook.com"/>
    <x v="2"/>
    <x v="1"/>
    <x v="0"/>
    <x v="16"/>
    <n v="1"/>
    <n v="21.68"/>
    <n v="0.1"/>
    <n v="0"/>
    <x v="5"/>
    <s v="PayPal"/>
    <x v="2"/>
    <n v="19.512"/>
  </r>
  <r>
    <s v="ORD-100919"/>
    <s v="2025-08-10"/>
    <x v="153"/>
    <x v="382"/>
    <s v="lily.wilson52@gmail.com"/>
    <x v="0"/>
    <x v="9"/>
    <x v="3"/>
    <x v="11"/>
    <n v="10"/>
    <n v="241.5"/>
    <n v="0"/>
    <n v="0.15"/>
    <x v="6"/>
    <s v="Credit Card"/>
    <x v="2"/>
    <n v="2415"/>
  </r>
  <r>
    <s v="ORD-100211"/>
    <s v="08/28/24"/>
    <x v="150"/>
    <x v="207"/>
    <s v="ishaan.clark26@yahoo.com"/>
    <x v="1"/>
    <x v="6"/>
    <x v="5"/>
    <x v="19"/>
    <n v="3"/>
    <n v="26.08"/>
    <n v="0.15"/>
    <n v="3.1"/>
    <x v="1"/>
    <s v="Not Known"/>
    <x v="2"/>
    <n v="66.503999999999991"/>
  </r>
  <r>
    <s v="ORD-100502"/>
    <s v="10/28/25"/>
    <x v="467"/>
    <x v="135"/>
    <s v="Not Known"/>
    <x v="2"/>
    <x v="1"/>
    <x v="4"/>
    <x v="6"/>
    <n v="1"/>
    <n v="61.87"/>
    <n v="0.1"/>
    <n v="13.62"/>
    <x v="4"/>
    <s v="Credit Card"/>
    <x v="2"/>
    <n v="55.683"/>
  </r>
  <r>
    <s v="ORD-100537"/>
    <s v="2024-01-14"/>
    <x v="84"/>
    <x v="314"/>
    <s v="mia.davis32@yahoo.com"/>
    <x v="3"/>
    <x v="7"/>
    <x v="0"/>
    <x v="0"/>
    <n v="4"/>
    <n v="41.93"/>
    <n v="0.05"/>
    <n v="0"/>
    <x v="5"/>
    <s v="Bank Transfer"/>
    <x v="1"/>
    <n v="159.334"/>
  </r>
  <r>
    <s v="ORD-101220"/>
    <s v="04-03-2025"/>
    <x v="17"/>
    <x v="155"/>
    <s v="daniel.williams85@hotmail.com"/>
    <x v="3"/>
    <x v="3"/>
    <x v="3"/>
    <x v="9"/>
    <n v="2"/>
    <n v="86.8"/>
    <n v="0.1"/>
    <m/>
    <x v="0"/>
    <s v="Bank Transfer"/>
    <x v="2"/>
    <n v="156.24"/>
  </r>
  <r>
    <s v="ORD-100175"/>
    <s v="17 Sep 2025"/>
    <x v="196"/>
    <x v="376"/>
    <s v="emma.thomas24@hotmail.com"/>
    <x v="2"/>
    <x v="2"/>
    <x v="2"/>
    <x v="4"/>
    <n v="1"/>
    <n v="6.26"/>
    <n v="0"/>
    <n v="0.43"/>
    <x v="2"/>
    <s v="Debit Card"/>
    <x v="2"/>
    <n v="6.2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n v="169134.95049999989"/>
    <n v="26998.381999999998"/>
    <n v="0.1094688221709006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80FE22-75E8-4FE1-9F2A-C5DB9A9BB184}" name="PivotTable5" cacheId="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U11:U12" firstHeaderRow="1" firstDataRow="1" firstDataCol="0"/>
  <pivotFields count="3">
    <pivotField numFmtId="165" showAll="0"/>
    <pivotField dataField="1" numFmtId="166" showAll="0"/>
    <pivotField numFmtId="9" showAll="0"/>
  </pivotFields>
  <rowItems count="1">
    <i/>
  </rowItems>
  <colItems count="1">
    <i/>
  </colItems>
  <dataFields count="1">
    <dataField name="Sum of Cancelled Order Value" fld="1"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8BFB8A-B6F8-424F-BC0B-5B4EBE82BCD7}"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11:V12" firstHeaderRow="1" firstDataRow="1" firstDataCol="0"/>
  <pivotFields count="3">
    <pivotField dataField="1" numFmtId="165" showAll="0"/>
    <pivotField numFmtId="166" showAll="0"/>
    <pivotField numFmtId="9" showAll="0"/>
  </pivotFields>
  <rowItems count="1">
    <i/>
  </rowItems>
  <colItems count="1">
    <i/>
  </colItems>
  <dataFields count="1">
    <dataField name="Sum of Total Sales" fld="0"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18A4A9-18F3-4563-9D5F-92F6DEBABD91}" name="PivotTable6" cacheId="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T11:T12" firstHeaderRow="1" firstDataRow="1" firstDataCol="0"/>
  <pivotFields count="3">
    <pivotField numFmtId="165" showAll="0"/>
    <pivotField numFmtId="166" showAll="0"/>
    <pivotField dataField="1" numFmtId="9" showAll="0">
      <items count="2">
        <item x="0"/>
        <item t="default"/>
      </items>
    </pivotField>
  </pivotFields>
  <rowItems count="1">
    <i/>
  </rowItems>
  <colItems count="1">
    <i/>
  </colItems>
  <dataFields count="1">
    <dataField name="Sum of Order fulfillment rate" fld="2"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198651-CA12-44EE-B706-90FC58FCC2FE}" name="Revenue by 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9" firstHeaderRow="1" firstDataRow="1" firstDataCol="1" rowPageCount="1" colPageCount="1"/>
  <pivotFields count="20">
    <pivotField showAll="0"/>
    <pivotField showAll="0"/>
    <pivotField showAll="0">
      <items count="624">
        <item x="341"/>
        <item x="37"/>
        <item x="93"/>
        <item x="363"/>
        <item x="1"/>
        <item x="16"/>
        <item x="514"/>
        <item x="350"/>
        <item x="378"/>
        <item x="460"/>
        <item x="566"/>
        <item x="84"/>
        <item x="306"/>
        <item x="357"/>
        <item x="81"/>
        <item x="168"/>
        <item x="489"/>
        <item x="553"/>
        <item x="161"/>
        <item x="317"/>
        <item x="501"/>
        <item x="464"/>
        <item x="204"/>
        <item x="140"/>
        <item x="406"/>
        <item x="66"/>
        <item x="278"/>
        <item x="89"/>
        <item x="335"/>
        <item x="540"/>
        <item x="442"/>
        <item x="621"/>
        <item x="21"/>
        <item x="468"/>
        <item x="548"/>
        <item x="100"/>
        <item x="88"/>
        <item x="131"/>
        <item x="275"/>
        <item x="304"/>
        <item x="498"/>
        <item x="177"/>
        <item x="24"/>
        <item x="198"/>
        <item x="67"/>
        <item x="284"/>
        <item x="229"/>
        <item x="398"/>
        <item x="238"/>
        <item x="620"/>
        <item x="407"/>
        <item x="80"/>
        <item x="340"/>
        <item x="544"/>
        <item x="476"/>
        <item x="455"/>
        <item x="592"/>
        <item x="477"/>
        <item x="232"/>
        <item x="281"/>
        <item x="612"/>
        <item x="532"/>
        <item x="58"/>
        <item x="609"/>
        <item x="458"/>
        <item x="445"/>
        <item x="116"/>
        <item x="500"/>
        <item x="410"/>
        <item x="416"/>
        <item x="231"/>
        <item x="77"/>
        <item x="78"/>
        <item x="412"/>
        <item x="307"/>
        <item x="393"/>
        <item x="401"/>
        <item x="47"/>
        <item x="313"/>
        <item x="336"/>
        <item x="437"/>
        <item x="262"/>
        <item x="590"/>
        <item x="34"/>
        <item x="40"/>
        <item x="64"/>
        <item x="85"/>
        <item x="48"/>
        <item x="206"/>
        <item x="108"/>
        <item x="7"/>
        <item x="296"/>
        <item x="264"/>
        <item x="600"/>
        <item x="86"/>
        <item x="117"/>
        <item x="318"/>
        <item x="364"/>
        <item x="102"/>
        <item x="214"/>
        <item x="226"/>
        <item x="587"/>
        <item x="611"/>
        <item x="608"/>
        <item x="314"/>
        <item x="174"/>
        <item x="565"/>
        <item x="142"/>
        <item x="454"/>
        <item x="599"/>
        <item x="459"/>
        <item x="225"/>
        <item x="83"/>
        <item x="30"/>
        <item x="400"/>
        <item x="35"/>
        <item x="491"/>
        <item x="353"/>
        <item x="105"/>
        <item x="469"/>
        <item x="29"/>
        <item x="176"/>
        <item x="221"/>
        <item x="327"/>
        <item x="586"/>
        <item x="203"/>
        <item x="157"/>
        <item x="622"/>
        <item x="522"/>
        <item x="450"/>
        <item x="127"/>
        <item x="26"/>
        <item x="387"/>
        <item x="593"/>
        <item x="99"/>
        <item x="465"/>
        <item x="123"/>
        <item x="408"/>
        <item x="332"/>
        <item x="604"/>
        <item x="122"/>
        <item x="145"/>
        <item x="589"/>
        <item x="271"/>
        <item x="595"/>
        <item x="573"/>
        <item x="560"/>
        <item x="195"/>
        <item x="139"/>
        <item x="345"/>
        <item x="402"/>
        <item x="209"/>
        <item x="257"/>
        <item x="577"/>
        <item x="338"/>
        <item x="51"/>
        <item x="404"/>
        <item x="104"/>
        <item x="348"/>
        <item x="564"/>
        <item x="382"/>
        <item x="94"/>
        <item x="359"/>
        <item x="386"/>
        <item x="166"/>
        <item x="355"/>
        <item x="524"/>
        <item x="241"/>
        <item x="246"/>
        <item x="371"/>
        <item x="457"/>
        <item x="576"/>
        <item x="149"/>
        <item x="479"/>
        <item x="23"/>
        <item x="351"/>
        <item x="319"/>
        <item x="574"/>
        <item x="499"/>
        <item x="603"/>
        <item x="212"/>
        <item x="190"/>
        <item x="18"/>
        <item x="276"/>
        <item x="181"/>
        <item x="443"/>
        <item x="551"/>
        <item x="466"/>
        <item x="536"/>
        <item x="54"/>
        <item x="211"/>
        <item x="346"/>
        <item x="512"/>
        <item x="581"/>
        <item x="360"/>
        <item x="559"/>
        <item x="2"/>
        <item x="228"/>
        <item x="277"/>
        <item x="118"/>
        <item x="506"/>
        <item x="343"/>
        <item x="124"/>
        <item x="194"/>
        <item x="503"/>
        <item x="374"/>
        <item x="452"/>
        <item x="111"/>
        <item x="325"/>
        <item x="305"/>
        <item x="73"/>
        <item x="150"/>
        <item x="492"/>
        <item x="272"/>
        <item x="488"/>
        <item x="413"/>
        <item x="504"/>
        <item x="135"/>
        <item x="320"/>
        <item x="143"/>
        <item x="481"/>
        <item x="333"/>
        <item x="265"/>
        <item x="49"/>
        <item x="562"/>
        <item x="334"/>
        <item x="607"/>
        <item x="223"/>
        <item x="163"/>
        <item x="617"/>
        <item x="569"/>
        <item x="235"/>
        <item x="219"/>
        <item x="517"/>
        <item x="582"/>
        <item x="255"/>
        <item x="188"/>
        <item x="180"/>
        <item x="527"/>
        <item x="399"/>
        <item x="511"/>
        <item x="172"/>
        <item x="417"/>
        <item x="494"/>
        <item x="434"/>
        <item x="429"/>
        <item x="258"/>
        <item x="463"/>
        <item x="365"/>
        <item x="162"/>
        <item x="556"/>
        <item x="38"/>
        <item x="76"/>
        <item x="269"/>
        <item x="156"/>
        <item x="523"/>
        <item x="154"/>
        <item x="381"/>
        <item x="462"/>
        <item x="588"/>
        <item x="389"/>
        <item x="301"/>
        <item x="530"/>
        <item x="507"/>
        <item x="253"/>
        <item x="3"/>
        <item x="300"/>
        <item x="130"/>
        <item x="610"/>
        <item x="484"/>
        <item x="602"/>
        <item x="383"/>
        <item x="61"/>
        <item x="249"/>
        <item x="43"/>
        <item x="571"/>
        <item x="191"/>
        <item x="485"/>
        <item x="508"/>
        <item x="591"/>
        <item x="245"/>
        <item x="138"/>
        <item x="19"/>
        <item x="554"/>
        <item x="121"/>
        <item x="97"/>
        <item x="422"/>
        <item x="217"/>
        <item x="431"/>
        <item x="148"/>
        <item x="495"/>
        <item x="342"/>
        <item x="534"/>
        <item x="531"/>
        <item x="164"/>
        <item x="227"/>
        <item x="92"/>
        <item x="423"/>
        <item x="510"/>
        <item x="302"/>
        <item x="175"/>
        <item x="367"/>
        <item x="545"/>
        <item x="260"/>
        <item x="230"/>
        <item x="509"/>
        <item x="146"/>
        <item x="391"/>
        <item x="441"/>
        <item x="578"/>
        <item x="53"/>
        <item x="598"/>
        <item x="46"/>
        <item x="248"/>
        <item x="233"/>
        <item x="372"/>
        <item x="52"/>
        <item x="337"/>
        <item x="520"/>
        <item x="273"/>
        <item x="261"/>
        <item x="394"/>
        <item x="147"/>
        <item x="263"/>
        <item x="563"/>
        <item x="270"/>
        <item x="475"/>
        <item x="160"/>
        <item x="440"/>
        <item x="330"/>
        <item x="171"/>
        <item x="385"/>
        <item x="103"/>
        <item x="187"/>
        <item x="615"/>
        <item x="428"/>
        <item x="215"/>
        <item x="403"/>
        <item x="112"/>
        <item x="259"/>
        <item x="224"/>
        <item x="71"/>
        <item x="444"/>
        <item x="539"/>
        <item x="414"/>
        <item x="496"/>
        <item x="239"/>
        <item x="243"/>
        <item x="137"/>
        <item x="182"/>
        <item x="368"/>
        <item x="449"/>
        <item x="419"/>
        <item x="613"/>
        <item x="570"/>
        <item x="106"/>
        <item x="572"/>
        <item x="173"/>
        <item x="596"/>
        <item x="134"/>
        <item x="366"/>
        <item x="133"/>
        <item x="17"/>
        <item x="384"/>
        <item x="208"/>
        <item x="388"/>
        <item x="126"/>
        <item x="98"/>
        <item x="110"/>
        <item x="321"/>
        <item x="290"/>
        <item x="0"/>
        <item x="33"/>
        <item x="60"/>
        <item x="56"/>
        <item x="575"/>
        <item x="274"/>
        <item x="329"/>
        <item x="311"/>
        <item x="13"/>
        <item x="159"/>
        <item x="20"/>
        <item x="597"/>
        <item x="254"/>
        <item x="362"/>
        <item x="471"/>
        <item x="27"/>
        <item x="158"/>
        <item x="32"/>
        <item x="251"/>
        <item x="349"/>
        <item x="497"/>
        <item x="299"/>
        <item x="240"/>
        <item x="561"/>
        <item x="59"/>
        <item x="515"/>
        <item x="316"/>
        <item x="247"/>
        <item x="358"/>
        <item x="28"/>
        <item x="167"/>
        <item x="418"/>
        <item x="483"/>
        <item x="42"/>
        <item x="282"/>
        <item x="409"/>
        <item x="395"/>
        <item x="293"/>
        <item x="68"/>
        <item x="151"/>
        <item x="90"/>
        <item x="70"/>
        <item x="547"/>
        <item x="315"/>
        <item x="552"/>
        <item x="490"/>
        <item x="447"/>
        <item x="197"/>
        <item x="4"/>
        <item x="502"/>
        <item x="285"/>
        <item x="192"/>
        <item x="45"/>
        <item x="331"/>
        <item x="82"/>
        <item x="310"/>
        <item x="125"/>
        <item x="480"/>
        <item x="286"/>
        <item x="207"/>
        <item x="377"/>
        <item x="594"/>
        <item x="326"/>
        <item x="199"/>
        <item x="568"/>
        <item x="618"/>
        <item x="323"/>
        <item x="237"/>
        <item x="493"/>
        <item x="451"/>
        <item x="87"/>
        <item x="144"/>
        <item x="380"/>
        <item x="39"/>
        <item x="478"/>
        <item x="352"/>
        <item x="220"/>
        <item x="390"/>
        <item x="109"/>
        <item x="236"/>
        <item x="513"/>
        <item x="141"/>
        <item x="580"/>
        <item x="453"/>
        <item x="521"/>
        <item x="541"/>
        <item x="550"/>
        <item x="411"/>
        <item x="250"/>
        <item x="557"/>
        <item x="376"/>
        <item x="397"/>
        <item x="546"/>
        <item x="525"/>
        <item x="280"/>
        <item x="113"/>
        <item x="41"/>
        <item x="216"/>
        <item x="132"/>
        <item x="91"/>
        <item x="369"/>
        <item x="298"/>
        <item x="606"/>
        <item x="436"/>
        <item x="427"/>
        <item x="542"/>
        <item x="252"/>
        <item x="486"/>
        <item x="36"/>
        <item x="25"/>
        <item x="201"/>
        <item x="537"/>
        <item x="420"/>
        <item x="456"/>
        <item x="438"/>
        <item x="294"/>
        <item x="356"/>
        <item x="136"/>
        <item x="244"/>
        <item x="155"/>
        <item x="288"/>
        <item x="95"/>
        <item x="15"/>
        <item x="200"/>
        <item x="295"/>
        <item x="55"/>
        <item x="153"/>
        <item x="292"/>
        <item x="614"/>
        <item x="461"/>
        <item x="424"/>
        <item x="8"/>
        <item x="312"/>
        <item x="616"/>
        <item x="115"/>
        <item x="375"/>
        <item x="430"/>
        <item x="152"/>
        <item x="283"/>
        <item x="584"/>
        <item x="9"/>
        <item x="533"/>
        <item x="234"/>
        <item x="328"/>
        <item x="72"/>
        <item x="44"/>
        <item x="601"/>
        <item x="63"/>
        <item x="178"/>
        <item x="473"/>
        <item x="538"/>
        <item x="170"/>
        <item x="57"/>
        <item x="222"/>
        <item x="354"/>
        <item x="605"/>
        <item x="291"/>
        <item x="75"/>
        <item x="396"/>
        <item x="446"/>
        <item x="196"/>
        <item x="519"/>
        <item x="50"/>
        <item x="10"/>
        <item x="528"/>
        <item x="289"/>
        <item x="185"/>
        <item x="287"/>
        <item x="256"/>
        <item x="543"/>
        <item x="322"/>
        <item x="448"/>
        <item x="6"/>
        <item x="518"/>
        <item x="308"/>
        <item x="309"/>
        <item x="505"/>
        <item x="339"/>
        <item x="426"/>
        <item x="169"/>
        <item x="74"/>
        <item x="210"/>
        <item x="579"/>
        <item x="439"/>
        <item x="529"/>
        <item x="567"/>
        <item x="433"/>
        <item x="347"/>
        <item x="303"/>
        <item x="379"/>
        <item x="516"/>
        <item x="467"/>
        <item x="129"/>
        <item x="12"/>
        <item x="470"/>
        <item x="79"/>
        <item x="22"/>
        <item x="370"/>
        <item x="128"/>
        <item x="96"/>
        <item x="186"/>
        <item x="31"/>
        <item x="421"/>
        <item x="119"/>
        <item x="120"/>
        <item x="415"/>
        <item x="279"/>
        <item x="11"/>
        <item x="474"/>
        <item x="405"/>
        <item x="432"/>
        <item x="267"/>
        <item x="165"/>
        <item x="373"/>
        <item x="425"/>
        <item x="555"/>
        <item x="114"/>
        <item x="266"/>
        <item x="205"/>
        <item x="535"/>
        <item x="549"/>
        <item x="101"/>
        <item x="558"/>
        <item x="183"/>
        <item x="482"/>
        <item x="107"/>
        <item x="472"/>
        <item x="392"/>
        <item x="184"/>
        <item x="62"/>
        <item x="344"/>
        <item x="435"/>
        <item x="179"/>
        <item x="69"/>
        <item x="487"/>
        <item x="213"/>
        <item x="193"/>
        <item x="619"/>
        <item x="268"/>
        <item x="324"/>
        <item x="297"/>
        <item x="526"/>
        <item x="242"/>
        <item x="361"/>
        <item x="14"/>
        <item x="5"/>
        <item x="583"/>
        <item x="189"/>
        <item x="202"/>
        <item x="65"/>
        <item x="585"/>
        <item x="218"/>
        <item t="default"/>
      </items>
    </pivotField>
    <pivotField showAll="0"/>
    <pivotField showAll="0"/>
    <pivotField axis="axisRow" showAll="0" sortType="descending">
      <items count="7">
        <item x="3"/>
        <item x="0"/>
        <item x="1"/>
        <item x="4"/>
        <item x="2"/>
        <item h="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axis="axisPage" multipleItemSelectionAllowed="1" showAll="0">
      <items count="6">
        <item h="1" x="3"/>
        <item x="2"/>
        <item h="1" x="1"/>
        <item h="1" x="0"/>
        <item h="1" x="4"/>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6">
    <i>
      <x v="2"/>
    </i>
    <i>
      <x v="4"/>
    </i>
    <i>
      <x v="1"/>
    </i>
    <i>
      <x/>
    </i>
    <i>
      <x v="3"/>
    </i>
    <i t="grand">
      <x/>
    </i>
  </rowItems>
  <colItems count="1">
    <i/>
  </colItems>
  <pageFields count="1">
    <pageField fld="15" hier="-1"/>
  </pageFields>
  <dataFields count="1">
    <dataField name="Sum of Revenue" fld="16" baseField="0" baseItem="0" numFmtId="164"/>
  </dataFields>
  <chartFormats count="7">
    <chartFormat chart="0" format="0"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5" count="1" selected="0">
            <x v="2"/>
          </reference>
        </references>
      </pivotArea>
    </chartFormat>
    <chartFormat chart="6" format="9">
      <pivotArea type="data" outline="0" fieldPosition="0">
        <references count="2">
          <reference field="4294967294" count="1" selected="0">
            <x v="0"/>
          </reference>
          <reference field="5" count="1" selected="0">
            <x v="4"/>
          </reference>
        </references>
      </pivotArea>
    </chartFormat>
    <chartFormat chart="6" format="10">
      <pivotArea type="data" outline="0" fieldPosition="0">
        <references count="2">
          <reference field="4294967294" count="1" selected="0">
            <x v="0"/>
          </reference>
          <reference field="5" count="1" selected="0">
            <x v="1"/>
          </reference>
        </references>
      </pivotArea>
    </chartFormat>
    <chartFormat chart="6" format="11">
      <pivotArea type="data" outline="0" fieldPosition="0">
        <references count="2">
          <reference field="4294967294" count="1" selected="0">
            <x v="0"/>
          </reference>
          <reference field="5" count="1" selected="0">
            <x v="3"/>
          </reference>
        </references>
      </pivotArea>
    </chartFormat>
    <chartFormat chart="6" format="12">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99A4F5-22D8-4ED0-B899-D5758A8FBA27}" name="Order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7:H32" firstHeaderRow="1" firstDataRow="1" firstDataCol="1"/>
  <pivotFields count="20">
    <pivotField showAll="0"/>
    <pivotField showAll="0"/>
    <pivotField showAll="0">
      <items count="624">
        <item x="341"/>
        <item x="37"/>
        <item x="93"/>
        <item x="363"/>
        <item x="1"/>
        <item x="16"/>
        <item x="514"/>
        <item x="350"/>
        <item x="378"/>
        <item x="460"/>
        <item x="566"/>
        <item x="84"/>
        <item x="306"/>
        <item x="357"/>
        <item x="81"/>
        <item x="168"/>
        <item x="489"/>
        <item x="553"/>
        <item x="161"/>
        <item x="317"/>
        <item x="501"/>
        <item x="464"/>
        <item x="204"/>
        <item x="140"/>
        <item x="406"/>
        <item x="66"/>
        <item x="278"/>
        <item x="89"/>
        <item x="335"/>
        <item x="540"/>
        <item x="442"/>
        <item x="621"/>
        <item x="21"/>
        <item x="468"/>
        <item x="548"/>
        <item x="100"/>
        <item x="88"/>
        <item x="131"/>
        <item x="275"/>
        <item x="304"/>
        <item x="498"/>
        <item x="177"/>
        <item x="24"/>
        <item x="198"/>
        <item x="67"/>
        <item x="284"/>
        <item x="229"/>
        <item x="398"/>
        <item x="238"/>
        <item x="620"/>
        <item x="407"/>
        <item x="80"/>
        <item x="340"/>
        <item x="544"/>
        <item x="476"/>
        <item x="455"/>
        <item x="592"/>
        <item x="477"/>
        <item x="232"/>
        <item x="281"/>
        <item x="612"/>
        <item x="532"/>
        <item x="58"/>
        <item x="609"/>
        <item x="458"/>
        <item x="445"/>
        <item x="116"/>
        <item x="500"/>
        <item x="410"/>
        <item x="416"/>
        <item x="231"/>
        <item x="77"/>
        <item x="78"/>
        <item x="412"/>
        <item x="307"/>
        <item x="393"/>
        <item x="401"/>
        <item x="47"/>
        <item x="313"/>
        <item x="336"/>
        <item x="437"/>
        <item x="262"/>
        <item x="590"/>
        <item x="34"/>
        <item x="40"/>
        <item x="64"/>
        <item x="85"/>
        <item x="48"/>
        <item x="206"/>
        <item x="108"/>
        <item x="7"/>
        <item x="296"/>
        <item x="264"/>
        <item x="600"/>
        <item x="86"/>
        <item x="117"/>
        <item x="318"/>
        <item x="364"/>
        <item x="102"/>
        <item x="214"/>
        <item x="226"/>
        <item x="587"/>
        <item x="611"/>
        <item x="608"/>
        <item x="314"/>
        <item x="174"/>
        <item x="565"/>
        <item x="142"/>
        <item x="454"/>
        <item x="599"/>
        <item x="459"/>
        <item x="225"/>
        <item x="83"/>
        <item x="30"/>
        <item x="400"/>
        <item x="35"/>
        <item x="491"/>
        <item x="353"/>
        <item x="105"/>
        <item x="469"/>
        <item x="29"/>
        <item x="176"/>
        <item x="221"/>
        <item x="327"/>
        <item x="586"/>
        <item x="203"/>
        <item x="157"/>
        <item x="622"/>
        <item x="522"/>
        <item x="450"/>
        <item x="127"/>
        <item x="26"/>
        <item x="387"/>
        <item x="593"/>
        <item x="99"/>
        <item x="465"/>
        <item x="123"/>
        <item x="408"/>
        <item x="332"/>
        <item x="604"/>
        <item x="122"/>
        <item x="145"/>
        <item x="589"/>
        <item x="271"/>
        <item x="595"/>
        <item x="573"/>
        <item x="560"/>
        <item x="195"/>
        <item x="139"/>
        <item x="345"/>
        <item x="402"/>
        <item x="209"/>
        <item x="257"/>
        <item x="577"/>
        <item x="338"/>
        <item x="51"/>
        <item x="404"/>
        <item x="104"/>
        <item x="348"/>
        <item x="564"/>
        <item x="382"/>
        <item x="94"/>
        <item x="359"/>
        <item x="386"/>
        <item x="166"/>
        <item x="355"/>
        <item x="524"/>
        <item x="241"/>
        <item x="246"/>
        <item x="371"/>
        <item x="457"/>
        <item x="576"/>
        <item x="149"/>
        <item x="479"/>
        <item x="23"/>
        <item x="351"/>
        <item x="319"/>
        <item x="574"/>
        <item x="499"/>
        <item x="603"/>
        <item x="212"/>
        <item x="190"/>
        <item x="18"/>
        <item x="276"/>
        <item x="181"/>
        <item x="443"/>
        <item x="551"/>
        <item x="466"/>
        <item x="536"/>
        <item x="54"/>
        <item x="211"/>
        <item x="346"/>
        <item x="512"/>
        <item x="581"/>
        <item x="360"/>
        <item x="559"/>
        <item x="2"/>
        <item x="228"/>
        <item x="277"/>
        <item x="118"/>
        <item x="506"/>
        <item x="343"/>
        <item x="124"/>
        <item x="194"/>
        <item x="503"/>
        <item x="374"/>
        <item x="452"/>
        <item x="111"/>
        <item x="325"/>
        <item x="305"/>
        <item x="73"/>
        <item x="150"/>
        <item x="492"/>
        <item x="272"/>
        <item x="488"/>
        <item x="413"/>
        <item x="504"/>
        <item x="135"/>
        <item x="320"/>
        <item x="143"/>
        <item x="481"/>
        <item x="333"/>
        <item x="265"/>
        <item x="49"/>
        <item x="562"/>
        <item x="334"/>
        <item x="607"/>
        <item x="223"/>
        <item x="163"/>
        <item x="617"/>
        <item x="569"/>
        <item x="235"/>
        <item x="219"/>
        <item x="517"/>
        <item x="582"/>
        <item x="255"/>
        <item x="188"/>
        <item x="180"/>
        <item x="527"/>
        <item x="399"/>
        <item x="511"/>
        <item x="172"/>
        <item x="417"/>
        <item x="494"/>
        <item x="434"/>
        <item x="429"/>
        <item x="258"/>
        <item x="463"/>
        <item x="365"/>
        <item x="162"/>
        <item x="556"/>
        <item x="38"/>
        <item x="76"/>
        <item x="269"/>
        <item x="156"/>
        <item x="523"/>
        <item x="154"/>
        <item x="381"/>
        <item x="462"/>
        <item x="588"/>
        <item x="389"/>
        <item x="301"/>
        <item x="530"/>
        <item x="507"/>
        <item x="253"/>
        <item x="3"/>
        <item x="300"/>
        <item x="130"/>
        <item x="610"/>
        <item x="484"/>
        <item x="602"/>
        <item x="383"/>
        <item x="61"/>
        <item x="249"/>
        <item x="43"/>
        <item x="571"/>
        <item x="191"/>
        <item x="485"/>
        <item x="508"/>
        <item x="591"/>
        <item x="245"/>
        <item x="138"/>
        <item x="19"/>
        <item x="554"/>
        <item x="121"/>
        <item x="97"/>
        <item x="422"/>
        <item x="217"/>
        <item x="431"/>
        <item x="148"/>
        <item x="495"/>
        <item x="342"/>
        <item x="534"/>
        <item x="531"/>
        <item x="164"/>
        <item x="227"/>
        <item x="92"/>
        <item x="423"/>
        <item x="510"/>
        <item x="302"/>
        <item x="175"/>
        <item x="367"/>
        <item x="545"/>
        <item x="260"/>
        <item x="230"/>
        <item x="509"/>
        <item x="146"/>
        <item x="391"/>
        <item x="441"/>
        <item x="578"/>
        <item x="53"/>
        <item x="598"/>
        <item x="46"/>
        <item x="248"/>
        <item x="233"/>
        <item x="372"/>
        <item x="52"/>
        <item x="337"/>
        <item x="520"/>
        <item x="273"/>
        <item x="261"/>
        <item x="394"/>
        <item x="147"/>
        <item x="263"/>
        <item x="563"/>
        <item x="270"/>
        <item x="475"/>
        <item x="160"/>
        <item x="440"/>
        <item x="330"/>
        <item x="171"/>
        <item x="385"/>
        <item x="103"/>
        <item x="187"/>
        <item x="615"/>
        <item x="428"/>
        <item x="215"/>
        <item x="403"/>
        <item x="112"/>
        <item x="259"/>
        <item x="224"/>
        <item x="71"/>
        <item x="444"/>
        <item x="539"/>
        <item x="414"/>
        <item x="496"/>
        <item x="239"/>
        <item x="243"/>
        <item x="137"/>
        <item x="182"/>
        <item x="368"/>
        <item x="449"/>
        <item x="419"/>
        <item x="613"/>
        <item x="570"/>
        <item x="106"/>
        <item x="572"/>
        <item x="173"/>
        <item x="596"/>
        <item x="134"/>
        <item x="366"/>
        <item x="133"/>
        <item x="17"/>
        <item x="384"/>
        <item x="208"/>
        <item x="388"/>
        <item x="126"/>
        <item x="98"/>
        <item x="110"/>
        <item x="321"/>
        <item x="290"/>
        <item x="0"/>
        <item x="33"/>
        <item x="60"/>
        <item x="56"/>
        <item x="575"/>
        <item x="274"/>
        <item x="329"/>
        <item x="311"/>
        <item x="13"/>
        <item x="159"/>
        <item x="20"/>
        <item x="597"/>
        <item x="254"/>
        <item x="362"/>
        <item x="471"/>
        <item x="27"/>
        <item x="158"/>
        <item x="32"/>
        <item x="251"/>
        <item x="349"/>
        <item x="497"/>
        <item x="299"/>
        <item x="240"/>
        <item x="561"/>
        <item x="59"/>
        <item x="515"/>
        <item x="316"/>
        <item x="247"/>
        <item x="358"/>
        <item x="28"/>
        <item x="167"/>
        <item x="418"/>
        <item x="483"/>
        <item x="42"/>
        <item x="282"/>
        <item x="409"/>
        <item x="395"/>
        <item x="293"/>
        <item x="68"/>
        <item x="151"/>
        <item x="90"/>
        <item x="70"/>
        <item x="547"/>
        <item x="315"/>
        <item x="552"/>
        <item x="490"/>
        <item x="447"/>
        <item x="197"/>
        <item x="4"/>
        <item x="502"/>
        <item x="285"/>
        <item x="192"/>
        <item x="45"/>
        <item x="331"/>
        <item x="82"/>
        <item x="310"/>
        <item x="125"/>
        <item x="480"/>
        <item x="286"/>
        <item x="207"/>
        <item x="377"/>
        <item x="594"/>
        <item x="326"/>
        <item x="199"/>
        <item x="568"/>
        <item x="618"/>
        <item x="323"/>
        <item x="237"/>
        <item x="493"/>
        <item x="451"/>
        <item x="87"/>
        <item x="144"/>
        <item x="380"/>
        <item x="39"/>
        <item x="478"/>
        <item x="352"/>
        <item x="220"/>
        <item x="390"/>
        <item x="109"/>
        <item x="236"/>
        <item x="513"/>
        <item x="141"/>
        <item x="580"/>
        <item x="453"/>
        <item x="521"/>
        <item x="541"/>
        <item x="550"/>
        <item x="411"/>
        <item x="250"/>
        <item x="557"/>
        <item x="376"/>
        <item x="397"/>
        <item x="546"/>
        <item x="525"/>
        <item x="280"/>
        <item x="113"/>
        <item x="41"/>
        <item x="216"/>
        <item x="132"/>
        <item x="91"/>
        <item x="369"/>
        <item x="298"/>
        <item x="606"/>
        <item x="436"/>
        <item x="427"/>
        <item x="542"/>
        <item x="252"/>
        <item x="486"/>
        <item x="36"/>
        <item x="25"/>
        <item x="201"/>
        <item x="537"/>
        <item x="420"/>
        <item x="456"/>
        <item x="438"/>
        <item x="294"/>
        <item x="356"/>
        <item x="136"/>
        <item x="244"/>
        <item x="155"/>
        <item x="288"/>
        <item x="95"/>
        <item x="15"/>
        <item x="200"/>
        <item x="295"/>
        <item x="55"/>
        <item x="153"/>
        <item x="292"/>
        <item x="614"/>
        <item x="461"/>
        <item x="424"/>
        <item x="8"/>
        <item x="312"/>
        <item x="616"/>
        <item x="115"/>
        <item x="375"/>
        <item x="430"/>
        <item x="152"/>
        <item x="283"/>
        <item x="584"/>
        <item x="9"/>
        <item x="533"/>
        <item x="234"/>
        <item x="328"/>
        <item x="72"/>
        <item x="44"/>
        <item x="601"/>
        <item x="63"/>
        <item x="178"/>
        <item x="473"/>
        <item x="538"/>
        <item x="170"/>
        <item x="57"/>
        <item x="222"/>
        <item x="354"/>
        <item x="605"/>
        <item x="291"/>
        <item x="75"/>
        <item x="396"/>
        <item x="446"/>
        <item x="196"/>
        <item x="519"/>
        <item x="50"/>
        <item x="10"/>
        <item x="528"/>
        <item x="289"/>
        <item x="185"/>
        <item x="287"/>
        <item x="256"/>
        <item x="543"/>
        <item x="322"/>
        <item x="448"/>
        <item x="6"/>
        <item x="518"/>
        <item x="308"/>
        <item x="309"/>
        <item x="505"/>
        <item x="339"/>
        <item x="426"/>
        <item x="169"/>
        <item x="74"/>
        <item x="210"/>
        <item x="579"/>
        <item x="439"/>
        <item x="529"/>
        <item x="567"/>
        <item x="433"/>
        <item x="347"/>
        <item x="303"/>
        <item x="379"/>
        <item x="516"/>
        <item x="467"/>
        <item x="129"/>
        <item x="12"/>
        <item x="470"/>
        <item x="79"/>
        <item x="22"/>
        <item x="370"/>
        <item x="128"/>
        <item x="96"/>
        <item x="186"/>
        <item x="31"/>
        <item x="421"/>
        <item x="119"/>
        <item x="120"/>
        <item x="415"/>
        <item x="279"/>
        <item x="11"/>
        <item x="474"/>
        <item x="405"/>
        <item x="432"/>
        <item x="267"/>
        <item x="165"/>
        <item x="373"/>
        <item x="425"/>
        <item x="555"/>
        <item x="114"/>
        <item x="266"/>
        <item x="205"/>
        <item x="535"/>
        <item x="549"/>
        <item x="101"/>
        <item x="558"/>
        <item x="183"/>
        <item x="482"/>
        <item x="107"/>
        <item x="472"/>
        <item x="392"/>
        <item x="184"/>
        <item x="62"/>
        <item x="344"/>
        <item x="435"/>
        <item x="179"/>
        <item x="69"/>
        <item x="487"/>
        <item x="213"/>
        <item x="193"/>
        <item x="619"/>
        <item x="268"/>
        <item x="324"/>
        <item x="297"/>
        <item x="526"/>
        <item x="242"/>
        <item x="361"/>
        <item x="14"/>
        <item x="5"/>
        <item x="583"/>
        <item x="189"/>
        <item x="202"/>
        <item x="65"/>
        <item x="585"/>
        <item x="218"/>
        <item t="default"/>
      </items>
    </pivotField>
    <pivotField showAll="0"/>
    <pivotField showAll="0"/>
    <pivotField showAll="0"/>
    <pivotField showAll="0"/>
    <pivotField showAll="0">
      <items count="7">
        <item x="4"/>
        <item x="1"/>
        <item x="3"/>
        <item x="0"/>
        <item x="5"/>
        <item x="2"/>
        <item t="default"/>
      </items>
    </pivotField>
    <pivotField showAll="0"/>
    <pivotField showAll="0"/>
    <pivotField showAll="0"/>
    <pivotField showAll="0"/>
    <pivotField showAll="0"/>
    <pivotField showAll="0"/>
    <pivotField showAll="0"/>
    <pivotField axis="axisRow" showAll="0" sortType="descending">
      <items count="6">
        <item x="3"/>
        <item x="2"/>
        <item x="1"/>
        <item x="0"/>
        <item h="1" x="4"/>
        <item t="default"/>
      </items>
      <autoSortScope>
        <pivotArea dataOnly="0" outline="0" fieldPosition="0">
          <references count="1">
            <reference field="4294967294" count="1" selected="0">
              <x v="0"/>
            </reference>
          </references>
        </pivotArea>
      </autoSortScope>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5"/>
  </rowFields>
  <rowItems count="5">
    <i>
      <x v="1"/>
    </i>
    <i>
      <x/>
    </i>
    <i>
      <x v="2"/>
    </i>
    <i>
      <x v="3"/>
    </i>
    <i t="grand">
      <x/>
    </i>
  </rowItems>
  <colItems count="1">
    <i/>
  </colItems>
  <dataFields count="1">
    <dataField name="Sum of Revenue" fld="1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418E769-86CC-41CB-84EF-3AE8A5F3E32E}" name="Revenue By Rep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21:E29" firstHeaderRow="1" firstDataRow="1" firstDataCol="1" rowPageCount="1" colPageCount="1"/>
  <pivotFields count="20">
    <pivotField showAll="0"/>
    <pivotField showAll="0"/>
    <pivotField showAll="0">
      <items count="624">
        <item x="341"/>
        <item x="37"/>
        <item x="93"/>
        <item x="363"/>
        <item x="1"/>
        <item x="16"/>
        <item x="514"/>
        <item x="350"/>
        <item x="378"/>
        <item x="460"/>
        <item x="566"/>
        <item x="84"/>
        <item x="306"/>
        <item x="357"/>
        <item x="81"/>
        <item x="168"/>
        <item x="489"/>
        <item x="553"/>
        <item x="161"/>
        <item x="317"/>
        <item x="501"/>
        <item x="464"/>
        <item x="204"/>
        <item x="140"/>
        <item x="406"/>
        <item x="66"/>
        <item x="278"/>
        <item x="89"/>
        <item x="335"/>
        <item x="540"/>
        <item x="442"/>
        <item x="621"/>
        <item x="21"/>
        <item x="468"/>
        <item x="548"/>
        <item x="100"/>
        <item x="88"/>
        <item x="131"/>
        <item x="275"/>
        <item x="304"/>
        <item x="498"/>
        <item x="177"/>
        <item x="24"/>
        <item x="198"/>
        <item x="67"/>
        <item x="284"/>
        <item x="229"/>
        <item x="398"/>
        <item x="238"/>
        <item x="620"/>
        <item x="407"/>
        <item x="80"/>
        <item x="340"/>
        <item x="544"/>
        <item x="476"/>
        <item x="455"/>
        <item x="592"/>
        <item x="477"/>
        <item x="232"/>
        <item x="281"/>
        <item x="612"/>
        <item x="532"/>
        <item x="58"/>
        <item x="609"/>
        <item x="458"/>
        <item x="445"/>
        <item x="116"/>
        <item x="500"/>
        <item x="410"/>
        <item x="416"/>
        <item x="231"/>
        <item x="77"/>
        <item x="78"/>
        <item x="412"/>
        <item x="307"/>
        <item x="393"/>
        <item x="401"/>
        <item x="47"/>
        <item x="313"/>
        <item x="336"/>
        <item x="437"/>
        <item x="262"/>
        <item x="590"/>
        <item x="34"/>
        <item x="40"/>
        <item x="64"/>
        <item x="85"/>
        <item x="48"/>
        <item x="206"/>
        <item x="108"/>
        <item x="7"/>
        <item x="296"/>
        <item x="264"/>
        <item x="600"/>
        <item x="86"/>
        <item x="117"/>
        <item x="318"/>
        <item x="364"/>
        <item x="102"/>
        <item x="214"/>
        <item x="226"/>
        <item x="587"/>
        <item x="611"/>
        <item x="608"/>
        <item x="314"/>
        <item x="174"/>
        <item x="565"/>
        <item x="142"/>
        <item x="454"/>
        <item x="599"/>
        <item x="459"/>
        <item x="225"/>
        <item x="83"/>
        <item x="30"/>
        <item x="400"/>
        <item x="35"/>
        <item x="491"/>
        <item x="353"/>
        <item x="105"/>
        <item x="469"/>
        <item x="29"/>
        <item x="176"/>
        <item x="221"/>
        <item x="327"/>
        <item x="586"/>
        <item x="203"/>
        <item x="157"/>
        <item x="622"/>
        <item x="522"/>
        <item x="450"/>
        <item x="127"/>
        <item x="26"/>
        <item x="387"/>
        <item x="593"/>
        <item x="99"/>
        <item x="465"/>
        <item x="123"/>
        <item x="408"/>
        <item x="332"/>
        <item x="604"/>
        <item x="122"/>
        <item x="145"/>
        <item x="589"/>
        <item x="271"/>
        <item x="595"/>
        <item x="573"/>
        <item x="560"/>
        <item x="195"/>
        <item x="139"/>
        <item x="345"/>
        <item x="402"/>
        <item x="209"/>
        <item x="257"/>
        <item x="577"/>
        <item x="338"/>
        <item x="51"/>
        <item x="404"/>
        <item x="104"/>
        <item x="348"/>
        <item x="564"/>
        <item x="382"/>
        <item x="94"/>
        <item x="359"/>
        <item x="386"/>
        <item x="166"/>
        <item x="355"/>
        <item x="524"/>
        <item x="241"/>
        <item x="246"/>
        <item x="371"/>
        <item x="457"/>
        <item x="576"/>
        <item x="149"/>
        <item x="479"/>
        <item x="23"/>
        <item x="351"/>
        <item x="319"/>
        <item x="574"/>
        <item x="499"/>
        <item x="603"/>
        <item x="212"/>
        <item x="190"/>
        <item x="18"/>
        <item x="276"/>
        <item x="181"/>
        <item x="443"/>
        <item x="551"/>
        <item x="466"/>
        <item x="536"/>
        <item x="54"/>
        <item x="211"/>
        <item x="346"/>
        <item x="512"/>
        <item x="581"/>
        <item x="360"/>
        <item x="559"/>
        <item x="2"/>
        <item x="228"/>
        <item x="277"/>
        <item x="118"/>
        <item x="506"/>
        <item x="343"/>
        <item x="124"/>
        <item x="194"/>
        <item x="503"/>
        <item x="374"/>
        <item x="452"/>
        <item x="111"/>
        <item x="325"/>
        <item x="305"/>
        <item x="73"/>
        <item x="150"/>
        <item x="492"/>
        <item x="272"/>
        <item x="488"/>
        <item x="413"/>
        <item x="504"/>
        <item x="135"/>
        <item x="320"/>
        <item x="143"/>
        <item x="481"/>
        <item x="333"/>
        <item x="265"/>
        <item x="49"/>
        <item x="562"/>
        <item x="334"/>
        <item x="607"/>
        <item x="223"/>
        <item x="163"/>
        <item x="617"/>
        <item x="569"/>
        <item x="235"/>
        <item x="219"/>
        <item x="517"/>
        <item x="582"/>
        <item x="255"/>
        <item x="188"/>
        <item x="180"/>
        <item x="527"/>
        <item x="399"/>
        <item x="511"/>
        <item x="172"/>
        <item x="417"/>
        <item x="494"/>
        <item x="434"/>
        <item x="429"/>
        <item x="258"/>
        <item x="463"/>
        <item x="365"/>
        <item x="162"/>
        <item x="556"/>
        <item x="38"/>
        <item x="76"/>
        <item x="269"/>
        <item x="156"/>
        <item x="523"/>
        <item x="154"/>
        <item x="381"/>
        <item x="462"/>
        <item x="588"/>
        <item x="389"/>
        <item x="301"/>
        <item x="530"/>
        <item x="507"/>
        <item x="253"/>
        <item x="3"/>
        <item x="300"/>
        <item x="130"/>
        <item x="610"/>
        <item x="484"/>
        <item x="602"/>
        <item x="383"/>
        <item x="61"/>
        <item x="249"/>
        <item x="43"/>
        <item x="571"/>
        <item x="191"/>
        <item x="485"/>
        <item x="508"/>
        <item x="591"/>
        <item x="245"/>
        <item x="138"/>
        <item x="19"/>
        <item x="554"/>
        <item x="121"/>
        <item x="97"/>
        <item x="422"/>
        <item x="217"/>
        <item x="431"/>
        <item x="148"/>
        <item x="495"/>
        <item x="342"/>
        <item x="534"/>
        <item x="531"/>
        <item x="164"/>
        <item x="227"/>
        <item x="92"/>
        <item x="423"/>
        <item x="510"/>
        <item x="302"/>
        <item x="175"/>
        <item x="367"/>
        <item x="545"/>
        <item x="260"/>
        <item x="230"/>
        <item x="509"/>
        <item x="146"/>
        <item x="391"/>
        <item x="441"/>
        <item x="578"/>
        <item x="53"/>
        <item x="598"/>
        <item x="46"/>
        <item x="248"/>
        <item x="233"/>
        <item x="372"/>
        <item x="52"/>
        <item x="337"/>
        <item x="520"/>
        <item x="273"/>
        <item x="261"/>
        <item x="394"/>
        <item x="147"/>
        <item x="263"/>
        <item x="563"/>
        <item x="270"/>
        <item x="475"/>
        <item x="160"/>
        <item x="440"/>
        <item x="330"/>
        <item x="171"/>
        <item x="385"/>
        <item x="103"/>
        <item x="187"/>
        <item x="615"/>
        <item x="428"/>
        <item x="215"/>
        <item x="403"/>
        <item x="112"/>
        <item x="259"/>
        <item x="224"/>
        <item x="71"/>
        <item x="444"/>
        <item x="539"/>
        <item x="414"/>
        <item x="496"/>
        <item x="239"/>
        <item x="243"/>
        <item x="137"/>
        <item x="182"/>
        <item x="368"/>
        <item x="449"/>
        <item x="419"/>
        <item x="613"/>
        <item x="570"/>
        <item x="106"/>
        <item x="572"/>
        <item x="173"/>
        <item x="596"/>
        <item x="134"/>
        <item x="366"/>
        <item x="133"/>
        <item x="17"/>
        <item x="384"/>
        <item x="208"/>
        <item x="388"/>
        <item x="126"/>
        <item x="98"/>
        <item x="110"/>
        <item x="321"/>
        <item x="290"/>
        <item x="0"/>
        <item x="33"/>
        <item x="60"/>
        <item x="56"/>
        <item x="575"/>
        <item x="274"/>
        <item x="329"/>
        <item x="311"/>
        <item x="13"/>
        <item x="159"/>
        <item x="20"/>
        <item x="597"/>
        <item x="254"/>
        <item x="362"/>
        <item x="471"/>
        <item x="27"/>
        <item x="158"/>
        <item x="32"/>
        <item x="251"/>
        <item x="349"/>
        <item x="497"/>
        <item x="299"/>
        <item x="240"/>
        <item x="561"/>
        <item x="59"/>
        <item x="515"/>
        <item x="316"/>
        <item x="247"/>
        <item x="358"/>
        <item x="28"/>
        <item x="167"/>
        <item x="418"/>
        <item x="483"/>
        <item x="42"/>
        <item x="282"/>
        <item x="409"/>
        <item x="395"/>
        <item x="293"/>
        <item x="68"/>
        <item x="151"/>
        <item x="90"/>
        <item x="70"/>
        <item x="547"/>
        <item x="315"/>
        <item x="552"/>
        <item x="490"/>
        <item x="447"/>
        <item x="197"/>
        <item x="4"/>
        <item x="502"/>
        <item x="285"/>
        <item x="192"/>
        <item x="45"/>
        <item x="331"/>
        <item x="82"/>
        <item x="310"/>
        <item x="125"/>
        <item x="480"/>
        <item x="286"/>
        <item x="207"/>
        <item x="377"/>
        <item x="594"/>
        <item x="326"/>
        <item x="199"/>
        <item x="568"/>
        <item x="618"/>
        <item x="323"/>
        <item x="237"/>
        <item x="493"/>
        <item x="451"/>
        <item x="87"/>
        <item x="144"/>
        <item x="380"/>
        <item x="39"/>
        <item x="478"/>
        <item x="352"/>
        <item x="220"/>
        <item x="390"/>
        <item x="109"/>
        <item x="236"/>
        <item x="513"/>
        <item x="141"/>
        <item x="580"/>
        <item x="453"/>
        <item x="521"/>
        <item x="541"/>
        <item x="550"/>
        <item x="411"/>
        <item x="250"/>
        <item x="557"/>
        <item x="376"/>
        <item x="397"/>
        <item x="546"/>
        <item x="525"/>
        <item x="280"/>
        <item x="113"/>
        <item x="41"/>
        <item x="216"/>
        <item x="132"/>
        <item x="91"/>
        <item x="369"/>
        <item x="298"/>
        <item x="606"/>
        <item x="436"/>
        <item x="427"/>
        <item x="542"/>
        <item x="252"/>
        <item x="486"/>
        <item x="36"/>
        <item x="25"/>
        <item x="201"/>
        <item x="537"/>
        <item x="420"/>
        <item x="456"/>
        <item x="438"/>
        <item x="294"/>
        <item x="356"/>
        <item x="136"/>
        <item x="244"/>
        <item x="155"/>
        <item x="288"/>
        <item x="95"/>
        <item x="15"/>
        <item x="200"/>
        <item x="295"/>
        <item x="55"/>
        <item x="153"/>
        <item x="292"/>
        <item x="614"/>
        <item x="461"/>
        <item x="424"/>
        <item x="8"/>
        <item x="312"/>
        <item x="616"/>
        <item x="115"/>
        <item x="375"/>
        <item x="430"/>
        <item x="152"/>
        <item x="283"/>
        <item x="584"/>
        <item x="9"/>
        <item x="533"/>
        <item x="234"/>
        <item x="328"/>
        <item x="72"/>
        <item x="44"/>
        <item x="601"/>
        <item x="63"/>
        <item x="178"/>
        <item x="473"/>
        <item x="538"/>
        <item x="170"/>
        <item x="57"/>
        <item x="222"/>
        <item x="354"/>
        <item x="605"/>
        <item x="291"/>
        <item x="75"/>
        <item x="396"/>
        <item x="446"/>
        <item x="196"/>
        <item x="519"/>
        <item x="50"/>
        <item x="10"/>
        <item x="528"/>
        <item x="289"/>
        <item x="185"/>
        <item x="287"/>
        <item x="256"/>
        <item x="543"/>
        <item x="322"/>
        <item x="448"/>
        <item x="6"/>
        <item x="518"/>
        <item x="308"/>
        <item x="309"/>
        <item x="505"/>
        <item x="339"/>
        <item x="426"/>
        <item x="169"/>
        <item x="74"/>
        <item x="210"/>
        <item x="579"/>
        <item x="439"/>
        <item x="529"/>
        <item x="567"/>
        <item x="433"/>
        <item x="347"/>
        <item x="303"/>
        <item x="379"/>
        <item x="516"/>
        <item x="467"/>
        <item x="129"/>
        <item x="12"/>
        <item x="470"/>
        <item x="79"/>
        <item x="22"/>
        <item x="370"/>
        <item x="128"/>
        <item x="96"/>
        <item x="186"/>
        <item x="31"/>
        <item x="421"/>
        <item x="119"/>
        <item x="120"/>
        <item x="415"/>
        <item x="279"/>
        <item x="11"/>
        <item x="474"/>
        <item x="405"/>
        <item x="432"/>
        <item x="267"/>
        <item x="165"/>
        <item x="373"/>
        <item x="425"/>
        <item x="555"/>
        <item x="114"/>
        <item x="266"/>
        <item x="205"/>
        <item x="535"/>
        <item x="549"/>
        <item x="101"/>
        <item x="558"/>
        <item x="183"/>
        <item x="482"/>
        <item x="107"/>
        <item x="472"/>
        <item x="392"/>
        <item x="184"/>
        <item x="62"/>
        <item x="344"/>
        <item x="435"/>
        <item x="179"/>
        <item x="69"/>
        <item x="487"/>
        <item x="213"/>
        <item x="193"/>
        <item x="619"/>
        <item x="268"/>
        <item x="324"/>
        <item x="297"/>
        <item x="526"/>
        <item x="242"/>
        <item x="361"/>
        <item x="14"/>
        <item x="5"/>
        <item x="583"/>
        <item x="189"/>
        <item x="202"/>
        <item x="65"/>
        <item x="585"/>
        <item x="218"/>
        <item t="default"/>
      </items>
    </pivotField>
    <pivotField showAll="0"/>
    <pivotField showAll="0"/>
    <pivotField showAll="0"/>
    <pivotField showAll="0"/>
    <pivotField showAll="0">
      <items count="7">
        <item x="4"/>
        <item x="1"/>
        <item x="3"/>
        <item x="0"/>
        <item x="5"/>
        <item x="2"/>
        <item t="default"/>
      </items>
    </pivotField>
    <pivotField showAll="0"/>
    <pivotField showAll="0"/>
    <pivotField showAll="0"/>
    <pivotField showAll="0"/>
    <pivotField showAll="0"/>
    <pivotField axis="axisRow" showAll="0" sortType="ascending">
      <items count="9">
        <item x="6"/>
        <item x="2"/>
        <item x="1"/>
        <item x="5"/>
        <item h="1" x="3"/>
        <item x="4"/>
        <item x="0"/>
        <item x="7"/>
        <item t="default"/>
      </items>
      <autoSortScope>
        <pivotArea dataOnly="0" outline="0" fieldPosition="0">
          <references count="1">
            <reference field="4294967294" count="1" selected="0">
              <x v="0"/>
            </reference>
          </references>
        </pivotArea>
      </autoSortScope>
    </pivotField>
    <pivotField showAll="0"/>
    <pivotField axis="axisPage" multipleItemSelectionAllowed="1" showAll="0">
      <items count="6">
        <item h="1" x="3"/>
        <item x="2"/>
        <item h="1" x="1"/>
        <item h="1" x="0"/>
        <item h="1" x="4"/>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3"/>
  </rowFields>
  <rowItems count="8">
    <i>
      <x v="5"/>
    </i>
    <i>
      <x v="2"/>
    </i>
    <i>
      <x v="1"/>
    </i>
    <i>
      <x v="3"/>
    </i>
    <i>
      <x v="6"/>
    </i>
    <i>
      <x v="7"/>
    </i>
    <i>
      <x/>
    </i>
    <i t="grand">
      <x/>
    </i>
  </rowItems>
  <colItems count="1">
    <i/>
  </colItems>
  <pageFields count="1">
    <pageField fld="15" hier="-1"/>
  </pageFields>
  <dataFields count="1">
    <dataField name="Sum of Revenue" fld="16" baseField="0" baseItem="0" numFmtId="164"/>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C20E6C2-4DDC-4CAE-B2FA-9AB99FD4B457}" name="Cancelled"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G37:H38" firstHeaderRow="1" firstDataRow="1" firstDataCol="1"/>
  <pivotFields count="20">
    <pivotField showAll="0"/>
    <pivotField showAll="0"/>
    <pivotField showAll="0">
      <items count="624">
        <item x="341"/>
        <item x="37"/>
        <item x="93"/>
        <item x="363"/>
        <item x="1"/>
        <item x="16"/>
        <item x="514"/>
        <item x="350"/>
        <item x="378"/>
        <item x="460"/>
        <item x="566"/>
        <item x="84"/>
        <item x="306"/>
        <item x="357"/>
        <item x="81"/>
        <item x="168"/>
        <item x="489"/>
        <item x="553"/>
        <item x="161"/>
        <item x="317"/>
        <item x="501"/>
        <item x="464"/>
        <item x="204"/>
        <item x="140"/>
        <item x="406"/>
        <item x="66"/>
        <item x="278"/>
        <item x="89"/>
        <item x="335"/>
        <item x="540"/>
        <item x="442"/>
        <item x="621"/>
        <item x="21"/>
        <item x="468"/>
        <item x="548"/>
        <item x="100"/>
        <item x="88"/>
        <item x="131"/>
        <item x="275"/>
        <item x="304"/>
        <item x="498"/>
        <item x="177"/>
        <item x="24"/>
        <item x="198"/>
        <item x="67"/>
        <item x="284"/>
        <item x="229"/>
        <item x="398"/>
        <item x="238"/>
        <item x="620"/>
        <item x="407"/>
        <item x="80"/>
        <item x="340"/>
        <item x="544"/>
        <item x="476"/>
        <item x="455"/>
        <item x="592"/>
        <item x="477"/>
        <item x="232"/>
        <item x="281"/>
        <item x="612"/>
        <item x="532"/>
        <item x="58"/>
        <item x="609"/>
        <item x="458"/>
        <item x="445"/>
        <item x="116"/>
        <item x="500"/>
        <item x="410"/>
        <item x="416"/>
        <item x="231"/>
        <item x="77"/>
        <item x="78"/>
        <item x="412"/>
        <item x="307"/>
        <item x="393"/>
        <item x="401"/>
        <item x="47"/>
        <item x="313"/>
        <item x="336"/>
        <item x="437"/>
        <item x="262"/>
        <item x="590"/>
        <item x="34"/>
        <item x="40"/>
        <item x="64"/>
        <item x="85"/>
        <item x="48"/>
        <item x="206"/>
        <item x="108"/>
        <item x="7"/>
        <item x="296"/>
        <item x="264"/>
        <item x="600"/>
        <item x="86"/>
        <item x="117"/>
        <item x="318"/>
        <item x="364"/>
        <item x="102"/>
        <item x="214"/>
        <item x="226"/>
        <item x="587"/>
        <item x="611"/>
        <item x="608"/>
        <item x="314"/>
        <item x="174"/>
        <item x="565"/>
        <item x="142"/>
        <item x="454"/>
        <item x="599"/>
        <item x="459"/>
        <item x="225"/>
        <item x="83"/>
        <item x="30"/>
        <item x="400"/>
        <item x="35"/>
        <item x="491"/>
        <item x="353"/>
        <item x="105"/>
        <item x="469"/>
        <item x="29"/>
        <item x="176"/>
        <item x="221"/>
        <item x="327"/>
        <item x="586"/>
        <item x="203"/>
        <item x="157"/>
        <item x="622"/>
        <item x="522"/>
        <item x="450"/>
        <item x="127"/>
        <item x="26"/>
        <item x="387"/>
        <item x="593"/>
        <item x="99"/>
        <item x="465"/>
        <item x="123"/>
        <item x="408"/>
        <item x="332"/>
        <item x="604"/>
        <item x="122"/>
        <item x="145"/>
        <item x="589"/>
        <item x="271"/>
        <item x="595"/>
        <item x="573"/>
        <item x="560"/>
        <item x="195"/>
        <item x="139"/>
        <item x="345"/>
        <item x="402"/>
        <item x="209"/>
        <item x="257"/>
        <item x="577"/>
        <item x="338"/>
        <item x="51"/>
        <item x="404"/>
        <item x="104"/>
        <item x="348"/>
        <item x="564"/>
        <item x="382"/>
        <item x="94"/>
        <item x="359"/>
        <item x="386"/>
        <item x="166"/>
        <item x="355"/>
        <item x="524"/>
        <item x="241"/>
        <item x="246"/>
        <item x="371"/>
        <item x="457"/>
        <item x="576"/>
        <item x="149"/>
        <item x="479"/>
        <item x="23"/>
        <item x="351"/>
        <item x="319"/>
        <item x="574"/>
        <item x="499"/>
        <item x="603"/>
        <item x="212"/>
        <item x="190"/>
        <item x="18"/>
        <item x="276"/>
        <item x="181"/>
        <item x="443"/>
        <item x="551"/>
        <item x="466"/>
        <item x="536"/>
        <item x="54"/>
        <item x="211"/>
        <item x="346"/>
        <item x="512"/>
        <item x="581"/>
        <item x="360"/>
        <item x="559"/>
        <item x="2"/>
        <item x="228"/>
        <item x="277"/>
        <item x="118"/>
        <item x="506"/>
        <item x="343"/>
        <item x="124"/>
        <item x="194"/>
        <item x="503"/>
        <item x="374"/>
        <item x="452"/>
        <item x="111"/>
        <item x="325"/>
        <item x="305"/>
        <item x="73"/>
        <item x="150"/>
        <item x="492"/>
        <item x="272"/>
        <item x="488"/>
        <item x="413"/>
        <item x="504"/>
        <item x="135"/>
        <item x="320"/>
        <item x="143"/>
        <item x="481"/>
        <item x="333"/>
        <item x="265"/>
        <item x="49"/>
        <item x="562"/>
        <item x="334"/>
        <item x="607"/>
        <item x="223"/>
        <item x="163"/>
        <item x="617"/>
        <item x="569"/>
        <item x="235"/>
        <item x="219"/>
        <item x="517"/>
        <item x="582"/>
        <item x="255"/>
        <item x="188"/>
        <item x="180"/>
        <item x="527"/>
        <item x="399"/>
        <item x="511"/>
        <item x="172"/>
        <item x="417"/>
        <item x="494"/>
        <item x="434"/>
        <item x="429"/>
        <item x="258"/>
        <item x="463"/>
        <item x="365"/>
        <item x="162"/>
        <item x="556"/>
        <item x="38"/>
        <item x="76"/>
        <item x="269"/>
        <item x="156"/>
        <item x="523"/>
        <item x="154"/>
        <item x="381"/>
        <item x="462"/>
        <item x="588"/>
        <item x="389"/>
        <item x="301"/>
        <item x="530"/>
        <item x="507"/>
        <item x="253"/>
        <item x="3"/>
        <item x="300"/>
        <item x="130"/>
        <item x="610"/>
        <item x="484"/>
        <item x="602"/>
        <item x="383"/>
        <item x="61"/>
        <item x="249"/>
        <item x="43"/>
        <item x="571"/>
        <item x="191"/>
        <item x="485"/>
        <item x="508"/>
        <item x="591"/>
        <item x="245"/>
        <item x="138"/>
        <item x="19"/>
        <item x="554"/>
        <item x="121"/>
        <item x="97"/>
        <item x="422"/>
        <item x="217"/>
        <item x="431"/>
        <item x="148"/>
        <item x="495"/>
        <item x="342"/>
        <item x="534"/>
        <item x="531"/>
        <item x="164"/>
        <item x="227"/>
        <item x="92"/>
        <item x="423"/>
        <item x="510"/>
        <item x="302"/>
        <item x="175"/>
        <item x="367"/>
        <item x="545"/>
        <item x="260"/>
        <item x="230"/>
        <item x="509"/>
        <item x="146"/>
        <item x="391"/>
        <item x="441"/>
        <item x="578"/>
        <item x="53"/>
        <item x="598"/>
        <item x="46"/>
        <item x="248"/>
        <item x="233"/>
        <item x="372"/>
        <item x="52"/>
        <item x="337"/>
        <item x="520"/>
        <item x="273"/>
        <item x="261"/>
        <item x="394"/>
        <item x="147"/>
        <item x="263"/>
        <item x="563"/>
        <item x="270"/>
        <item x="475"/>
        <item x="160"/>
        <item x="440"/>
        <item x="330"/>
        <item x="171"/>
        <item x="385"/>
        <item x="103"/>
        <item x="187"/>
        <item x="615"/>
        <item x="428"/>
        <item x="215"/>
        <item x="403"/>
        <item x="112"/>
        <item x="259"/>
        <item x="224"/>
        <item x="71"/>
        <item x="444"/>
        <item x="539"/>
        <item x="414"/>
        <item x="496"/>
        <item x="239"/>
        <item x="243"/>
        <item x="137"/>
        <item x="182"/>
        <item x="368"/>
        <item x="449"/>
        <item x="419"/>
        <item x="613"/>
        <item x="570"/>
        <item x="106"/>
        <item x="572"/>
        <item x="173"/>
        <item x="596"/>
        <item x="134"/>
        <item x="366"/>
        <item x="133"/>
        <item x="17"/>
        <item x="384"/>
        <item x="208"/>
        <item x="388"/>
        <item x="126"/>
        <item x="98"/>
        <item x="110"/>
        <item x="321"/>
        <item x="290"/>
        <item x="0"/>
        <item x="33"/>
        <item x="60"/>
        <item x="56"/>
        <item x="575"/>
        <item x="274"/>
        <item x="329"/>
        <item x="311"/>
        <item x="13"/>
        <item x="159"/>
        <item x="20"/>
        <item x="597"/>
        <item x="254"/>
        <item x="362"/>
        <item x="471"/>
        <item x="27"/>
        <item x="158"/>
        <item x="32"/>
        <item x="251"/>
        <item x="349"/>
        <item x="497"/>
        <item x="299"/>
        <item x="240"/>
        <item x="561"/>
        <item x="59"/>
        <item x="515"/>
        <item x="316"/>
        <item x="247"/>
        <item x="358"/>
        <item x="28"/>
        <item x="167"/>
        <item x="418"/>
        <item x="483"/>
        <item x="42"/>
        <item x="282"/>
        <item x="409"/>
        <item x="395"/>
        <item x="293"/>
        <item x="68"/>
        <item x="151"/>
        <item x="90"/>
        <item x="70"/>
        <item x="547"/>
        <item x="315"/>
        <item x="552"/>
        <item x="490"/>
        <item x="447"/>
        <item x="197"/>
        <item x="4"/>
        <item x="502"/>
        <item x="285"/>
        <item x="192"/>
        <item x="45"/>
        <item x="331"/>
        <item x="82"/>
        <item x="310"/>
        <item x="125"/>
        <item x="480"/>
        <item x="286"/>
        <item x="207"/>
        <item x="377"/>
        <item x="594"/>
        <item x="326"/>
        <item x="199"/>
        <item x="568"/>
        <item x="618"/>
        <item x="323"/>
        <item x="237"/>
        <item x="493"/>
        <item x="451"/>
        <item x="87"/>
        <item x="144"/>
        <item x="380"/>
        <item x="39"/>
        <item x="478"/>
        <item x="352"/>
        <item x="220"/>
        <item x="390"/>
        <item x="109"/>
        <item x="236"/>
        <item x="513"/>
        <item x="141"/>
        <item x="580"/>
        <item x="453"/>
        <item x="521"/>
        <item x="541"/>
        <item x="550"/>
        <item x="411"/>
        <item x="250"/>
        <item x="557"/>
        <item x="376"/>
        <item x="397"/>
        <item x="546"/>
        <item x="525"/>
        <item x="280"/>
        <item x="113"/>
        <item x="41"/>
        <item x="216"/>
        <item x="132"/>
        <item x="91"/>
        <item x="369"/>
        <item x="298"/>
        <item x="606"/>
        <item x="436"/>
        <item x="427"/>
        <item x="542"/>
        <item x="252"/>
        <item x="486"/>
        <item x="36"/>
        <item x="25"/>
        <item x="201"/>
        <item x="537"/>
        <item x="420"/>
        <item x="456"/>
        <item x="438"/>
        <item x="294"/>
        <item x="356"/>
        <item x="136"/>
        <item x="244"/>
        <item x="155"/>
        <item x="288"/>
        <item x="95"/>
        <item x="15"/>
        <item x="200"/>
        <item x="295"/>
        <item x="55"/>
        <item x="153"/>
        <item x="292"/>
        <item x="614"/>
        <item x="461"/>
        <item x="424"/>
        <item x="8"/>
        <item x="312"/>
        <item x="616"/>
        <item x="115"/>
        <item x="375"/>
        <item x="430"/>
        <item x="152"/>
        <item x="283"/>
        <item x="584"/>
        <item x="9"/>
        <item x="533"/>
        <item x="234"/>
        <item x="328"/>
        <item x="72"/>
        <item x="44"/>
        <item x="601"/>
        <item x="63"/>
        <item x="178"/>
        <item x="473"/>
        <item x="538"/>
        <item x="170"/>
        <item x="57"/>
        <item x="222"/>
        <item x="354"/>
        <item x="605"/>
        <item x="291"/>
        <item x="75"/>
        <item x="396"/>
        <item x="446"/>
        <item x="196"/>
        <item x="519"/>
        <item x="50"/>
        <item x="10"/>
        <item x="528"/>
        <item x="289"/>
        <item x="185"/>
        <item x="287"/>
        <item x="256"/>
        <item x="543"/>
        <item x="322"/>
        <item x="448"/>
        <item x="6"/>
        <item x="518"/>
        <item x="308"/>
        <item x="309"/>
        <item x="505"/>
        <item x="339"/>
        <item x="426"/>
        <item x="169"/>
        <item x="74"/>
        <item x="210"/>
        <item x="579"/>
        <item x="439"/>
        <item x="529"/>
        <item x="567"/>
        <item x="433"/>
        <item x="347"/>
        <item x="303"/>
        <item x="379"/>
        <item x="516"/>
        <item x="467"/>
        <item x="129"/>
        <item x="12"/>
        <item x="470"/>
        <item x="79"/>
        <item x="22"/>
        <item x="370"/>
        <item x="128"/>
        <item x="96"/>
        <item x="186"/>
        <item x="31"/>
        <item x="421"/>
        <item x="119"/>
        <item x="120"/>
        <item x="415"/>
        <item x="279"/>
        <item x="11"/>
        <item x="474"/>
        <item x="405"/>
        <item x="432"/>
        <item x="267"/>
        <item x="165"/>
        <item x="373"/>
        <item x="425"/>
        <item x="555"/>
        <item x="114"/>
        <item x="266"/>
        <item x="205"/>
        <item x="535"/>
        <item x="549"/>
        <item x="101"/>
        <item x="558"/>
        <item x="183"/>
        <item x="482"/>
        <item x="107"/>
        <item x="472"/>
        <item x="392"/>
        <item x="184"/>
        <item x="62"/>
        <item x="344"/>
        <item x="435"/>
        <item x="179"/>
        <item x="69"/>
        <item x="487"/>
        <item x="213"/>
        <item x="193"/>
        <item x="619"/>
        <item x="268"/>
        <item x="324"/>
        <item x="297"/>
        <item x="526"/>
        <item x="242"/>
        <item x="361"/>
        <item x="14"/>
        <item x="5"/>
        <item x="583"/>
        <item x="189"/>
        <item x="202"/>
        <item x="65"/>
        <item x="585"/>
        <item x="218"/>
        <item t="default"/>
      </items>
    </pivotField>
    <pivotField showAll="0"/>
    <pivotField showAll="0"/>
    <pivotField showAll="0"/>
    <pivotField showAll="0"/>
    <pivotField showAll="0">
      <items count="7">
        <item x="4"/>
        <item x="1"/>
        <item x="3"/>
        <item x="0"/>
        <item x="5"/>
        <item x="2"/>
        <item t="default"/>
      </items>
    </pivotField>
    <pivotField showAll="0"/>
    <pivotField showAll="0"/>
    <pivotField showAll="0"/>
    <pivotField showAll="0"/>
    <pivotField showAll="0"/>
    <pivotField showAll="0"/>
    <pivotField showAll="0"/>
    <pivotField axis="axisRow" showAll="0" sortType="descending">
      <items count="6">
        <item x="3"/>
        <item h="1" x="2"/>
        <item h="1" x="1"/>
        <item h="1" x="0"/>
        <item h="1" x="4"/>
        <item t="default"/>
      </items>
      <autoSortScope>
        <pivotArea dataOnly="0" outline="0" fieldPosition="0">
          <references count="1">
            <reference field="4294967294" count="1" selected="0">
              <x v="0"/>
            </reference>
          </references>
        </pivotArea>
      </autoSortScope>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5"/>
  </rowFields>
  <rowItems count="1">
    <i>
      <x/>
    </i>
  </rowItems>
  <colItems count="1">
    <i/>
  </colItems>
  <dataFields count="1">
    <dataField name="Sum of Revenue" fld="1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CCEF8DC-F10B-4AD6-8A6A-46ADEC67B065}" name="Customer Nam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J30:K36" firstHeaderRow="1" firstDataRow="1" firstDataCol="1" rowPageCount="1" colPageCount="1"/>
  <pivotFields count="20">
    <pivotField showAll="0"/>
    <pivotField showAll="0"/>
    <pivotField showAll="0">
      <items count="624">
        <item x="341"/>
        <item x="37"/>
        <item x="93"/>
        <item x="363"/>
        <item x="1"/>
        <item x="16"/>
        <item x="514"/>
        <item x="350"/>
        <item x="378"/>
        <item x="460"/>
        <item x="566"/>
        <item x="84"/>
        <item x="306"/>
        <item x="357"/>
        <item x="81"/>
        <item x="168"/>
        <item x="489"/>
        <item x="553"/>
        <item x="161"/>
        <item x="317"/>
        <item x="501"/>
        <item x="464"/>
        <item x="204"/>
        <item x="140"/>
        <item x="406"/>
        <item x="66"/>
        <item x="278"/>
        <item x="89"/>
        <item x="335"/>
        <item x="540"/>
        <item x="442"/>
        <item x="621"/>
        <item x="21"/>
        <item x="468"/>
        <item x="548"/>
        <item x="100"/>
        <item x="88"/>
        <item x="131"/>
        <item x="275"/>
        <item x="304"/>
        <item x="498"/>
        <item x="177"/>
        <item x="24"/>
        <item x="198"/>
        <item x="67"/>
        <item x="284"/>
        <item x="229"/>
        <item x="398"/>
        <item x="238"/>
        <item x="620"/>
        <item x="407"/>
        <item x="80"/>
        <item x="340"/>
        <item x="544"/>
        <item x="476"/>
        <item x="455"/>
        <item x="592"/>
        <item x="477"/>
        <item x="232"/>
        <item x="281"/>
        <item x="612"/>
        <item x="532"/>
        <item x="58"/>
        <item x="609"/>
        <item x="458"/>
        <item x="445"/>
        <item x="116"/>
        <item x="500"/>
        <item x="410"/>
        <item x="416"/>
        <item x="231"/>
        <item x="77"/>
        <item x="78"/>
        <item x="412"/>
        <item x="307"/>
        <item x="393"/>
        <item x="401"/>
        <item x="47"/>
        <item x="313"/>
        <item x="336"/>
        <item x="437"/>
        <item x="262"/>
        <item x="590"/>
        <item x="34"/>
        <item x="40"/>
        <item x="64"/>
        <item x="85"/>
        <item x="48"/>
        <item x="206"/>
        <item x="108"/>
        <item x="7"/>
        <item x="296"/>
        <item x="264"/>
        <item x="600"/>
        <item x="86"/>
        <item x="117"/>
        <item x="318"/>
        <item x="364"/>
        <item x="102"/>
        <item x="214"/>
        <item x="226"/>
        <item x="587"/>
        <item x="611"/>
        <item x="608"/>
        <item x="314"/>
        <item x="174"/>
        <item x="565"/>
        <item x="142"/>
        <item x="454"/>
        <item x="599"/>
        <item x="459"/>
        <item x="225"/>
        <item x="83"/>
        <item x="30"/>
        <item x="400"/>
        <item x="35"/>
        <item x="491"/>
        <item x="353"/>
        <item x="105"/>
        <item x="469"/>
        <item x="29"/>
        <item x="176"/>
        <item x="221"/>
        <item x="327"/>
        <item x="586"/>
        <item x="203"/>
        <item x="157"/>
        <item x="622"/>
        <item x="522"/>
        <item x="450"/>
        <item x="127"/>
        <item x="26"/>
        <item x="387"/>
        <item x="593"/>
        <item x="99"/>
        <item x="465"/>
        <item x="123"/>
        <item x="408"/>
        <item x="332"/>
        <item x="604"/>
        <item x="122"/>
        <item x="145"/>
        <item x="589"/>
        <item x="271"/>
        <item x="595"/>
        <item x="573"/>
        <item x="560"/>
        <item x="195"/>
        <item x="139"/>
        <item x="345"/>
        <item x="402"/>
        <item x="209"/>
        <item x="257"/>
        <item x="577"/>
        <item x="338"/>
        <item x="51"/>
        <item x="404"/>
        <item x="104"/>
        <item x="348"/>
        <item x="564"/>
        <item x="382"/>
        <item x="94"/>
        <item x="359"/>
        <item x="386"/>
        <item x="166"/>
        <item x="355"/>
        <item x="524"/>
        <item x="241"/>
        <item x="246"/>
        <item x="371"/>
        <item x="457"/>
        <item x="576"/>
        <item x="149"/>
        <item x="479"/>
        <item x="23"/>
        <item x="351"/>
        <item x="319"/>
        <item x="574"/>
        <item x="499"/>
        <item x="603"/>
        <item x="212"/>
        <item x="190"/>
        <item x="18"/>
        <item x="276"/>
        <item x="181"/>
        <item x="443"/>
        <item x="551"/>
        <item x="466"/>
        <item x="536"/>
        <item x="54"/>
        <item x="211"/>
        <item x="346"/>
        <item x="512"/>
        <item x="581"/>
        <item x="360"/>
        <item x="559"/>
        <item x="2"/>
        <item x="228"/>
        <item x="277"/>
        <item x="118"/>
        <item x="506"/>
        <item x="343"/>
        <item x="124"/>
        <item x="194"/>
        <item x="503"/>
        <item x="374"/>
        <item x="452"/>
        <item x="111"/>
        <item x="325"/>
        <item x="305"/>
        <item x="73"/>
        <item x="150"/>
        <item x="492"/>
        <item x="272"/>
        <item x="488"/>
        <item x="413"/>
        <item x="504"/>
        <item x="135"/>
        <item x="320"/>
        <item x="143"/>
        <item x="481"/>
        <item x="333"/>
        <item x="265"/>
        <item x="49"/>
        <item x="562"/>
        <item x="334"/>
        <item x="607"/>
        <item x="223"/>
        <item x="163"/>
        <item x="617"/>
        <item x="569"/>
        <item x="235"/>
        <item x="219"/>
        <item x="517"/>
        <item x="582"/>
        <item x="255"/>
        <item x="188"/>
        <item x="180"/>
        <item x="527"/>
        <item x="399"/>
        <item x="511"/>
        <item x="172"/>
        <item x="417"/>
        <item x="494"/>
        <item x="434"/>
        <item x="429"/>
        <item x="258"/>
        <item x="463"/>
        <item x="365"/>
        <item x="162"/>
        <item x="556"/>
        <item x="38"/>
        <item x="76"/>
        <item x="269"/>
        <item x="156"/>
        <item x="523"/>
        <item x="154"/>
        <item x="381"/>
        <item x="462"/>
        <item x="588"/>
        <item x="389"/>
        <item x="301"/>
        <item x="530"/>
        <item x="507"/>
        <item x="253"/>
        <item x="3"/>
        <item x="300"/>
        <item x="130"/>
        <item x="610"/>
        <item x="484"/>
        <item x="602"/>
        <item x="383"/>
        <item x="61"/>
        <item x="249"/>
        <item x="43"/>
        <item x="571"/>
        <item x="191"/>
        <item x="485"/>
        <item x="508"/>
        <item x="591"/>
        <item x="245"/>
        <item x="138"/>
        <item x="19"/>
        <item x="554"/>
        <item x="121"/>
        <item x="97"/>
        <item x="422"/>
        <item x="217"/>
        <item x="431"/>
        <item x="148"/>
        <item x="495"/>
        <item x="342"/>
        <item x="534"/>
        <item x="531"/>
        <item x="164"/>
        <item x="227"/>
        <item x="92"/>
        <item x="423"/>
        <item x="510"/>
        <item x="302"/>
        <item x="175"/>
        <item x="367"/>
        <item x="545"/>
        <item x="260"/>
        <item x="230"/>
        <item x="509"/>
        <item x="146"/>
        <item x="391"/>
        <item x="441"/>
        <item x="578"/>
        <item x="53"/>
        <item x="598"/>
        <item x="46"/>
        <item x="248"/>
        <item x="233"/>
        <item x="372"/>
        <item x="52"/>
        <item x="337"/>
        <item x="520"/>
        <item x="273"/>
        <item x="261"/>
        <item x="394"/>
        <item x="147"/>
        <item x="263"/>
        <item x="563"/>
        <item x="270"/>
        <item x="475"/>
        <item x="160"/>
        <item x="440"/>
        <item x="330"/>
        <item x="171"/>
        <item x="385"/>
        <item x="103"/>
        <item x="187"/>
        <item x="615"/>
        <item x="428"/>
        <item x="215"/>
        <item x="403"/>
        <item x="112"/>
        <item x="259"/>
        <item x="224"/>
        <item x="71"/>
        <item x="444"/>
        <item x="539"/>
        <item x="414"/>
        <item x="496"/>
        <item x="239"/>
        <item x="243"/>
        <item x="137"/>
        <item x="182"/>
        <item x="368"/>
        <item x="449"/>
        <item x="419"/>
        <item x="613"/>
        <item x="570"/>
        <item x="106"/>
        <item x="572"/>
        <item x="173"/>
        <item x="596"/>
        <item x="134"/>
        <item x="366"/>
        <item x="133"/>
        <item x="17"/>
        <item x="384"/>
        <item x="208"/>
        <item x="388"/>
        <item x="126"/>
        <item x="98"/>
        <item x="110"/>
        <item x="321"/>
        <item x="290"/>
        <item x="0"/>
        <item x="33"/>
        <item x="60"/>
        <item x="56"/>
        <item x="575"/>
        <item x="274"/>
        <item x="329"/>
        <item x="311"/>
        <item x="13"/>
        <item x="159"/>
        <item x="20"/>
        <item x="597"/>
        <item x="254"/>
        <item x="362"/>
        <item x="471"/>
        <item x="27"/>
        <item x="158"/>
        <item x="32"/>
        <item x="251"/>
        <item x="349"/>
        <item x="497"/>
        <item x="299"/>
        <item x="240"/>
        <item x="561"/>
        <item x="59"/>
        <item x="515"/>
        <item x="316"/>
        <item x="247"/>
        <item x="358"/>
        <item x="28"/>
        <item x="167"/>
        <item x="418"/>
        <item x="483"/>
        <item x="42"/>
        <item x="282"/>
        <item x="409"/>
        <item x="395"/>
        <item x="293"/>
        <item x="68"/>
        <item x="151"/>
        <item x="90"/>
        <item x="70"/>
        <item x="547"/>
        <item x="315"/>
        <item x="552"/>
        <item x="490"/>
        <item x="447"/>
        <item x="197"/>
        <item x="4"/>
        <item x="502"/>
        <item x="285"/>
        <item x="192"/>
        <item x="45"/>
        <item x="331"/>
        <item x="82"/>
        <item x="310"/>
        <item x="125"/>
        <item x="480"/>
        <item x="286"/>
        <item x="207"/>
        <item x="377"/>
        <item x="594"/>
        <item x="326"/>
        <item x="199"/>
        <item x="568"/>
        <item x="618"/>
        <item x="323"/>
        <item x="237"/>
        <item x="493"/>
        <item x="451"/>
        <item x="87"/>
        <item x="144"/>
        <item x="380"/>
        <item x="39"/>
        <item x="478"/>
        <item x="352"/>
        <item x="220"/>
        <item x="390"/>
        <item x="109"/>
        <item x="236"/>
        <item x="513"/>
        <item x="141"/>
        <item x="580"/>
        <item x="453"/>
        <item x="521"/>
        <item x="541"/>
        <item x="550"/>
        <item x="411"/>
        <item x="250"/>
        <item x="557"/>
        <item x="376"/>
        <item x="397"/>
        <item x="546"/>
        <item x="525"/>
        <item x="280"/>
        <item x="113"/>
        <item x="41"/>
        <item x="216"/>
        <item x="132"/>
        <item x="91"/>
        <item x="369"/>
        <item x="298"/>
        <item x="606"/>
        <item x="436"/>
        <item x="427"/>
        <item x="542"/>
        <item x="252"/>
        <item x="486"/>
        <item x="36"/>
        <item x="25"/>
        <item x="201"/>
        <item x="537"/>
        <item x="420"/>
        <item x="456"/>
        <item x="438"/>
        <item x="294"/>
        <item x="356"/>
        <item x="136"/>
        <item x="244"/>
        <item x="155"/>
        <item x="288"/>
        <item x="95"/>
        <item x="15"/>
        <item x="200"/>
        <item x="295"/>
        <item x="55"/>
        <item x="153"/>
        <item x="292"/>
        <item x="614"/>
        <item x="461"/>
        <item x="424"/>
        <item x="8"/>
        <item x="312"/>
        <item x="616"/>
        <item x="115"/>
        <item x="375"/>
        <item x="430"/>
        <item x="152"/>
        <item x="283"/>
        <item x="584"/>
        <item x="9"/>
        <item x="533"/>
        <item x="234"/>
        <item x="328"/>
        <item x="72"/>
        <item x="44"/>
        <item x="601"/>
        <item x="63"/>
        <item x="178"/>
        <item x="473"/>
        <item x="538"/>
        <item x="170"/>
        <item x="57"/>
        <item x="222"/>
        <item x="354"/>
        <item x="605"/>
        <item x="291"/>
        <item x="75"/>
        <item x="396"/>
        <item x="446"/>
        <item x="196"/>
        <item x="519"/>
        <item x="50"/>
        <item x="10"/>
        <item x="528"/>
        <item x="289"/>
        <item x="185"/>
        <item x="287"/>
        <item x="256"/>
        <item x="543"/>
        <item x="322"/>
        <item x="448"/>
        <item x="6"/>
        <item x="518"/>
        <item x="308"/>
        <item x="309"/>
        <item x="505"/>
        <item x="339"/>
        <item x="426"/>
        <item x="169"/>
        <item x="74"/>
        <item x="210"/>
        <item x="579"/>
        <item x="439"/>
        <item x="529"/>
        <item x="567"/>
        <item x="433"/>
        <item x="347"/>
        <item x="303"/>
        <item x="379"/>
        <item x="516"/>
        <item x="467"/>
        <item x="129"/>
        <item x="12"/>
        <item x="470"/>
        <item x="79"/>
        <item x="22"/>
        <item x="370"/>
        <item x="128"/>
        <item x="96"/>
        <item x="186"/>
        <item x="31"/>
        <item x="421"/>
        <item x="119"/>
        <item x="120"/>
        <item x="415"/>
        <item x="279"/>
        <item x="11"/>
        <item x="474"/>
        <item x="405"/>
        <item x="432"/>
        <item x="267"/>
        <item x="165"/>
        <item x="373"/>
        <item x="425"/>
        <item x="555"/>
        <item x="114"/>
        <item x="266"/>
        <item x="205"/>
        <item x="535"/>
        <item x="549"/>
        <item x="101"/>
        <item x="558"/>
        <item x="183"/>
        <item x="482"/>
        <item x="107"/>
        <item x="472"/>
        <item x="392"/>
        <item x="184"/>
        <item x="62"/>
        <item x="344"/>
        <item x="435"/>
        <item x="179"/>
        <item x="69"/>
        <item x="487"/>
        <item x="213"/>
        <item x="193"/>
        <item x="619"/>
        <item x="268"/>
        <item x="324"/>
        <item x="297"/>
        <item x="526"/>
        <item x="242"/>
        <item x="361"/>
        <item x="14"/>
        <item x="5"/>
        <item x="583"/>
        <item x="189"/>
        <item x="202"/>
        <item x="65"/>
        <item x="585"/>
        <item x="218"/>
        <item t="default"/>
      </items>
    </pivotField>
    <pivotField axis="axisRow" showAll="0" measureFilter="1" sortType="descending">
      <items count="388">
        <item x="180"/>
        <item x="223"/>
        <item x="342"/>
        <item x="330"/>
        <item x="146"/>
        <item x="38"/>
        <item x="17"/>
        <item x="324"/>
        <item x="149"/>
        <item x="371"/>
        <item x="96"/>
        <item x="202"/>
        <item x="112"/>
        <item x="115"/>
        <item x="85"/>
        <item x="219"/>
        <item x="385"/>
        <item x="365"/>
        <item x="261"/>
        <item x="26"/>
        <item x="40"/>
        <item x="114"/>
        <item x="288"/>
        <item x="201"/>
        <item x="181"/>
        <item x="171"/>
        <item x="374"/>
        <item x="325"/>
        <item x="372"/>
        <item x="273"/>
        <item x="327"/>
        <item x="247"/>
        <item x="120"/>
        <item x="286"/>
        <item x="362"/>
        <item x="175"/>
        <item x="21"/>
        <item x="375"/>
        <item x="60"/>
        <item x="19"/>
        <item x="336"/>
        <item x="241"/>
        <item x="31"/>
        <item x="178"/>
        <item x="127"/>
        <item x="366"/>
        <item x="316"/>
        <item x="81"/>
        <item x="242"/>
        <item x="177"/>
        <item x="52"/>
        <item x="49"/>
        <item x="77"/>
        <item x="356"/>
        <item x="348"/>
        <item x="245"/>
        <item x="298"/>
        <item x="235"/>
        <item x="317"/>
        <item x="370"/>
        <item x="294"/>
        <item x="323"/>
        <item x="92"/>
        <item x="275"/>
        <item x="57"/>
        <item x="369"/>
        <item x="337"/>
        <item x="172"/>
        <item x="14"/>
        <item x="265"/>
        <item x="5"/>
        <item x="279"/>
        <item x="0"/>
        <item x="16"/>
        <item x="296"/>
        <item x="72"/>
        <item x="103"/>
        <item x="129"/>
        <item x="249"/>
        <item x="246"/>
        <item x="185"/>
        <item x="345"/>
        <item x="258"/>
        <item x="47"/>
        <item x="29"/>
        <item x="61"/>
        <item x="373"/>
        <item x="152"/>
        <item x="63"/>
        <item x="193"/>
        <item x="59"/>
        <item x="262"/>
        <item x="170"/>
        <item x="293"/>
        <item x="162"/>
        <item x="368"/>
        <item x="67"/>
        <item x="199"/>
        <item x="231"/>
        <item x="304"/>
        <item x="54"/>
        <item x="28"/>
        <item x="269"/>
        <item x="9"/>
        <item x="338"/>
        <item x="73"/>
        <item x="44"/>
        <item x="68"/>
        <item x="24"/>
        <item x="300"/>
        <item x="197"/>
        <item x="74"/>
        <item x="155"/>
        <item x="299"/>
        <item x="248"/>
        <item x="237"/>
        <item x="355"/>
        <item x="228"/>
        <item x="349"/>
        <item x="123"/>
        <item x="82"/>
        <item x="329"/>
        <item x="108"/>
        <item x="217"/>
        <item x="263"/>
        <item x="98"/>
        <item x="134"/>
        <item x="51"/>
        <item x="315"/>
        <item x="65"/>
        <item x="62"/>
        <item x="39"/>
        <item x="138"/>
        <item x="331"/>
        <item x="159"/>
        <item x="48"/>
        <item x="91"/>
        <item x="326"/>
        <item x="151"/>
        <item x="259"/>
        <item x="71"/>
        <item x="321"/>
        <item x="310"/>
        <item x="165"/>
        <item x="102"/>
        <item x="192"/>
        <item x="169"/>
        <item x="226"/>
        <item x="376"/>
        <item x="25"/>
        <item x="381"/>
        <item x="86"/>
        <item x="160"/>
        <item x="312"/>
        <item x="328"/>
        <item x="23"/>
        <item x="347"/>
        <item x="239"/>
        <item x="93"/>
        <item x="20"/>
        <item x="4"/>
        <item x="8"/>
        <item x="22"/>
        <item x="285"/>
        <item x="203"/>
        <item x="80"/>
        <item x="43"/>
        <item x="141"/>
        <item x="333"/>
        <item x="224"/>
        <item x="104"/>
        <item x="195"/>
        <item x="236"/>
        <item x="240"/>
        <item x="305"/>
        <item x="267"/>
        <item x="377"/>
        <item x="69"/>
        <item x="276"/>
        <item x="272"/>
        <item x="251"/>
        <item x="213"/>
        <item x="268"/>
        <item x="136"/>
        <item x="252"/>
        <item x="313"/>
        <item x="41"/>
        <item x="1"/>
        <item x="83"/>
        <item x="344"/>
        <item x="95"/>
        <item x="332"/>
        <item x="113"/>
        <item x="207"/>
        <item x="30"/>
        <item x="290"/>
        <item x="341"/>
        <item x="142"/>
        <item x="335"/>
        <item x="229"/>
        <item x="359"/>
        <item x="121"/>
        <item x="6"/>
        <item x="118"/>
        <item x="295"/>
        <item x="133"/>
        <item x="111"/>
        <item x="244"/>
        <item x="277"/>
        <item x="179"/>
        <item x="167"/>
        <item x="346"/>
        <item x="153"/>
        <item x="148"/>
        <item x="208"/>
        <item x="34"/>
        <item x="45"/>
        <item x="212"/>
        <item x="150"/>
        <item x="339"/>
        <item x="220"/>
        <item x="132"/>
        <item x="119"/>
        <item x="215"/>
        <item x="7"/>
        <item x="352"/>
        <item x="270"/>
        <item x="76"/>
        <item x="147"/>
        <item x="266"/>
        <item x="13"/>
        <item x="358"/>
        <item x="361"/>
        <item x="64"/>
        <item x="145"/>
        <item x="56"/>
        <item x="99"/>
        <item x="384"/>
        <item x="144"/>
        <item x="105"/>
        <item x="253"/>
        <item x="230"/>
        <item x="37"/>
        <item x="42"/>
        <item x="182"/>
        <item x="380"/>
        <item x="176"/>
        <item x="334"/>
        <item x="379"/>
        <item x="124"/>
        <item x="343"/>
        <item x="238"/>
        <item x="264"/>
        <item x="257"/>
        <item x="163"/>
        <item x="101"/>
        <item x="168"/>
        <item x="363"/>
        <item x="221"/>
        <item x="128"/>
        <item x="357"/>
        <item x="307"/>
        <item x="78"/>
        <item x="309"/>
        <item x="164"/>
        <item x="301"/>
        <item x="318"/>
        <item x="260"/>
        <item x="311"/>
        <item x="382"/>
        <item x="320"/>
        <item x="122"/>
        <item x="11"/>
        <item x="314"/>
        <item x="107"/>
        <item x="204"/>
        <item x="53"/>
        <item x="33"/>
        <item x="79"/>
        <item x="292"/>
        <item x="232"/>
        <item x="287"/>
        <item x="282"/>
        <item x="218"/>
        <item x="35"/>
        <item x="194"/>
        <item x="100"/>
        <item x="364"/>
        <item x="87"/>
        <item x="140"/>
        <item x="88"/>
        <item x="97"/>
        <item x="306"/>
        <item x="234"/>
        <item x="187"/>
        <item x="161"/>
        <item x="281"/>
        <item x="10"/>
        <item x="12"/>
        <item x="278"/>
        <item x="18"/>
        <item x="89"/>
        <item x="283"/>
        <item x="225"/>
        <item x="186"/>
        <item x="308"/>
        <item x="15"/>
        <item x="214"/>
        <item x="46"/>
        <item x="297"/>
        <item x="378"/>
        <item x="66"/>
        <item x="255"/>
        <item x="256"/>
        <item x="157"/>
        <item x="227"/>
        <item x="353"/>
        <item x="196"/>
        <item x="75"/>
        <item x="166"/>
        <item x="209"/>
        <item x="189"/>
        <item x="216"/>
        <item x="280"/>
        <item x="174"/>
        <item x="126"/>
        <item x="205"/>
        <item x="135"/>
        <item x="360"/>
        <item x="139"/>
        <item x="188"/>
        <item x="250"/>
        <item x="154"/>
        <item x="106"/>
        <item x="274"/>
        <item x="36"/>
        <item x="137"/>
        <item x="367"/>
        <item x="84"/>
        <item x="302"/>
        <item x="117"/>
        <item x="383"/>
        <item x="27"/>
        <item x="303"/>
        <item x="243"/>
        <item x="3"/>
        <item x="58"/>
        <item x="340"/>
        <item x="94"/>
        <item x="254"/>
        <item x="131"/>
        <item x="70"/>
        <item x="90"/>
        <item x="156"/>
        <item x="289"/>
        <item x="206"/>
        <item x="183"/>
        <item x="109"/>
        <item x="50"/>
        <item x="319"/>
        <item x="210"/>
        <item x="271"/>
        <item x="386"/>
        <item x="158"/>
        <item x="125"/>
        <item x="55"/>
        <item x="222"/>
        <item x="322"/>
        <item x="354"/>
        <item x="110"/>
        <item x="200"/>
        <item x="198"/>
        <item x="32"/>
        <item x="2"/>
        <item x="173"/>
        <item x="233"/>
        <item x="116"/>
        <item x="291"/>
        <item x="350"/>
        <item x="191"/>
        <item x="211"/>
        <item x="143"/>
        <item x="184"/>
        <item x="284"/>
        <item x="130"/>
        <item x="351"/>
        <item x="19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7">
        <item x="4"/>
        <item x="1"/>
        <item x="3"/>
        <item x="0"/>
        <item x="5"/>
        <item x="2"/>
        <item t="default"/>
      </items>
    </pivotField>
    <pivotField showAll="0"/>
    <pivotField showAll="0"/>
    <pivotField showAll="0"/>
    <pivotField showAll="0"/>
    <pivotField showAll="0"/>
    <pivotField showAll="0"/>
    <pivotField showAll="0"/>
    <pivotField axis="axisPage" multipleItemSelectionAllowed="1" showAll="0">
      <items count="6">
        <item h="1" x="3"/>
        <item x="2"/>
        <item h="1" x="1"/>
        <item h="1" x="0"/>
        <item h="1" x="4"/>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v="269"/>
    </i>
    <i>
      <x v="357"/>
    </i>
    <i>
      <x v="383"/>
    </i>
    <i>
      <x v="325"/>
    </i>
    <i>
      <x v="277"/>
    </i>
    <i t="grand">
      <x/>
    </i>
  </rowItems>
  <colItems count="1">
    <i/>
  </colItems>
  <pageFields count="1">
    <pageField fld="15" hier="-1"/>
  </pageFields>
  <dataFields count="1">
    <dataField name="Sum of Revenue" fld="16" baseField="0" baseItem="0" numFmtId="164"/>
  </dataFields>
  <chartFormats count="3">
    <chartFormat chart="2" format="3"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048C6E2-3785-4C87-9A29-085DACF82DF9}" name="Total_revenu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G41:H42" firstHeaderRow="1" firstDataRow="1" firstDataCol="1"/>
  <pivotFields count="20">
    <pivotField showAll="0"/>
    <pivotField showAll="0"/>
    <pivotField showAll="0">
      <items count="624">
        <item x="341"/>
        <item x="37"/>
        <item x="93"/>
        <item x="363"/>
        <item x="1"/>
        <item x="16"/>
        <item x="514"/>
        <item x="350"/>
        <item x="378"/>
        <item x="460"/>
        <item x="566"/>
        <item x="84"/>
        <item x="306"/>
        <item x="357"/>
        <item x="81"/>
        <item x="168"/>
        <item x="489"/>
        <item x="553"/>
        <item x="161"/>
        <item x="317"/>
        <item x="501"/>
        <item x="464"/>
        <item x="204"/>
        <item x="140"/>
        <item x="406"/>
        <item x="66"/>
        <item x="278"/>
        <item x="89"/>
        <item x="335"/>
        <item x="540"/>
        <item x="442"/>
        <item x="621"/>
        <item x="21"/>
        <item x="468"/>
        <item x="548"/>
        <item x="100"/>
        <item x="88"/>
        <item x="131"/>
        <item x="275"/>
        <item x="304"/>
        <item x="498"/>
        <item x="177"/>
        <item x="24"/>
        <item x="198"/>
        <item x="67"/>
        <item x="284"/>
        <item x="229"/>
        <item x="398"/>
        <item x="238"/>
        <item x="620"/>
        <item x="407"/>
        <item x="80"/>
        <item x="340"/>
        <item x="544"/>
        <item x="476"/>
        <item x="455"/>
        <item x="592"/>
        <item x="477"/>
        <item x="232"/>
        <item x="281"/>
        <item x="612"/>
        <item x="532"/>
        <item x="58"/>
        <item x="609"/>
        <item x="458"/>
        <item x="445"/>
        <item x="116"/>
        <item x="500"/>
        <item x="410"/>
        <item x="416"/>
        <item x="231"/>
        <item x="77"/>
        <item x="78"/>
        <item x="412"/>
        <item x="307"/>
        <item x="393"/>
        <item x="401"/>
        <item x="47"/>
        <item x="313"/>
        <item x="336"/>
        <item x="437"/>
        <item x="262"/>
        <item x="590"/>
        <item x="34"/>
        <item x="40"/>
        <item x="64"/>
        <item x="85"/>
        <item x="48"/>
        <item x="206"/>
        <item x="108"/>
        <item x="7"/>
        <item x="296"/>
        <item x="264"/>
        <item x="600"/>
        <item x="86"/>
        <item x="117"/>
        <item x="318"/>
        <item x="364"/>
        <item x="102"/>
        <item x="214"/>
        <item x="226"/>
        <item x="587"/>
        <item x="611"/>
        <item x="608"/>
        <item x="314"/>
        <item x="174"/>
        <item x="565"/>
        <item x="142"/>
        <item x="454"/>
        <item x="599"/>
        <item x="459"/>
        <item x="225"/>
        <item x="83"/>
        <item x="30"/>
        <item x="400"/>
        <item x="35"/>
        <item x="491"/>
        <item x="353"/>
        <item x="105"/>
        <item x="469"/>
        <item x="29"/>
        <item x="176"/>
        <item x="221"/>
        <item x="327"/>
        <item x="586"/>
        <item x="203"/>
        <item x="157"/>
        <item x="622"/>
        <item x="522"/>
        <item x="450"/>
        <item x="127"/>
        <item x="26"/>
        <item x="387"/>
        <item x="593"/>
        <item x="99"/>
        <item x="465"/>
        <item x="123"/>
        <item x="408"/>
        <item x="332"/>
        <item x="604"/>
        <item x="122"/>
        <item x="145"/>
        <item x="589"/>
        <item x="271"/>
        <item x="595"/>
        <item x="573"/>
        <item x="560"/>
        <item x="195"/>
        <item x="139"/>
        <item x="345"/>
        <item x="402"/>
        <item x="209"/>
        <item x="257"/>
        <item x="577"/>
        <item x="338"/>
        <item x="51"/>
        <item x="404"/>
        <item x="104"/>
        <item x="348"/>
        <item x="564"/>
        <item x="382"/>
        <item x="94"/>
        <item x="359"/>
        <item x="386"/>
        <item x="166"/>
        <item x="355"/>
        <item x="524"/>
        <item x="241"/>
        <item x="246"/>
        <item x="371"/>
        <item x="457"/>
        <item x="576"/>
        <item x="149"/>
        <item x="479"/>
        <item x="23"/>
        <item x="351"/>
        <item x="319"/>
        <item x="574"/>
        <item x="499"/>
        <item x="603"/>
        <item x="212"/>
        <item x="190"/>
        <item x="18"/>
        <item x="276"/>
        <item x="181"/>
        <item x="443"/>
        <item x="551"/>
        <item x="466"/>
        <item x="536"/>
        <item x="54"/>
        <item x="211"/>
        <item x="346"/>
        <item x="512"/>
        <item x="581"/>
        <item x="360"/>
        <item x="559"/>
        <item x="2"/>
        <item x="228"/>
        <item x="277"/>
        <item x="118"/>
        <item x="506"/>
        <item x="343"/>
        <item x="124"/>
        <item x="194"/>
        <item x="503"/>
        <item x="374"/>
        <item x="452"/>
        <item x="111"/>
        <item x="325"/>
        <item x="305"/>
        <item x="73"/>
        <item x="150"/>
        <item x="492"/>
        <item x="272"/>
        <item x="488"/>
        <item x="413"/>
        <item x="504"/>
        <item x="135"/>
        <item x="320"/>
        <item x="143"/>
        <item x="481"/>
        <item x="333"/>
        <item x="265"/>
        <item x="49"/>
        <item x="562"/>
        <item x="334"/>
        <item x="607"/>
        <item x="223"/>
        <item x="163"/>
        <item x="617"/>
        <item x="569"/>
        <item x="235"/>
        <item x="219"/>
        <item x="517"/>
        <item x="582"/>
        <item x="255"/>
        <item x="188"/>
        <item x="180"/>
        <item x="527"/>
        <item x="399"/>
        <item x="511"/>
        <item x="172"/>
        <item x="417"/>
        <item x="494"/>
        <item x="434"/>
        <item x="429"/>
        <item x="258"/>
        <item x="463"/>
        <item x="365"/>
        <item x="162"/>
        <item x="556"/>
        <item x="38"/>
        <item x="76"/>
        <item x="269"/>
        <item x="156"/>
        <item x="523"/>
        <item x="154"/>
        <item x="381"/>
        <item x="462"/>
        <item x="588"/>
        <item x="389"/>
        <item x="301"/>
        <item x="530"/>
        <item x="507"/>
        <item x="253"/>
        <item x="3"/>
        <item x="300"/>
        <item x="130"/>
        <item x="610"/>
        <item x="484"/>
        <item x="602"/>
        <item x="383"/>
        <item x="61"/>
        <item x="249"/>
        <item x="43"/>
        <item x="571"/>
        <item x="191"/>
        <item x="485"/>
        <item x="508"/>
        <item x="591"/>
        <item x="245"/>
        <item x="138"/>
        <item x="19"/>
        <item x="554"/>
        <item x="121"/>
        <item x="97"/>
        <item x="422"/>
        <item x="217"/>
        <item x="431"/>
        <item x="148"/>
        <item x="495"/>
        <item x="342"/>
        <item x="534"/>
        <item x="531"/>
        <item x="164"/>
        <item x="227"/>
        <item x="92"/>
        <item x="423"/>
        <item x="510"/>
        <item x="302"/>
        <item x="175"/>
        <item x="367"/>
        <item x="545"/>
        <item x="260"/>
        <item x="230"/>
        <item x="509"/>
        <item x="146"/>
        <item x="391"/>
        <item x="441"/>
        <item x="578"/>
        <item x="53"/>
        <item x="598"/>
        <item x="46"/>
        <item x="248"/>
        <item x="233"/>
        <item x="372"/>
        <item x="52"/>
        <item x="337"/>
        <item x="520"/>
        <item x="273"/>
        <item x="261"/>
        <item x="394"/>
        <item x="147"/>
        <item x="263"/>
        <item x="563"/>
        <item x="270"/>
        <item x="475"/>
        <item x="160"/>
        <item x="440"/>
        <item x="330"/>
        <item x="171"/>
        <item x="385"/>
        <item x="103"/>
        <item x="187"/>
        <item x="615"/>
        <item x="428"/>
        <item x="215"/>
        <item x="403"/>
        <item x="112"/>
        <item x="259"/>
        <item x="224"/>
        <item x="71"/>
        <item x="444"/>
        <item x="539"/>
        <item x="414"/>
        <item x="496"/>
        <item x="239"/>
        <item x="243"/>
        <item x="137"/>
        <item x="182"/>
        <item x="368"/>
        <item x="449"/>
        <item x="419"/>
        <item x="613"/>
        <item x="570"/>
        <item x="106"/>
        <item x="572"/>
        <item x="173"/>
        <item x="596"/>
        <item x="134"/>
        <item x="366"/>
        <item x="133"/>
        <item x="17"/>
        <item x="384"/>
        <item x="208"/>
        <item x="388"/>
        <item x="126"/>
        <item x="98"/>
        <item x="110"/>
        <item x="321"/>
        <item x="290"/>
        <item x="0"/>
        <item x="33"/>
        <item x="60"/>
        <item x="56"/>
        <item x="575"/>
        <item x="274"/>
        <item x="329"/>
        <item x="311"/>
        <item x="13"/>
        <item x="159"/>
        <item x="20"/>
        <item x="597"/>
        <item x="254"/>
        <item x="362"/>
        <item x="471"/>
        <item x="27"/>
        <item x="158"/>
        <item x="32"/>
        <item x="251"/>
        <item x="349"/>
        <item x="497"/>
        <item x="299"/>
        <item x="240"/>
        <item x="561"/>
        <item x="59"/>
        <item x="515"/>
        <item x="316"/>
        <item x="247"/>
        <item x="358"/>
        <item x="28"/>
        <item x="167"/>
        <item x="418"/>
        <item x="483"/>
        <item x="42"/>
        <item x="282"/>
        <item x="409"/>
        <item x="395"/>
        <item x="293"/>
        <item x="68"/>
        <item x="151"/>
        <item x="90"/>
        <item x="70"/>
        <item x="547"/>
        <item x="315"/>
        <item x="552"/>
        <item x="490"/>
        <item x="447"/>
        <item x="197"/>
        <item x="4"/>
        <item x="502"/>
        <item x="285"/>
        <item x="192"/>
        <item x="45"/>
        <item x="331"/>
        <item x="82"/>
        <item x="310"/>
        <item x="125"/>
        <item x="480"/>
        <item x="286"/>
        <item x="207"/>
        <item x="377"/>
        <item x="594"/>
        <item x="326"/>
        <item x="199"/>
        <item x="568"/>
        <item x="618"/>
        <item x="323"/>
        <item x="237"/>
        <item x="493"/>
        <item x="451"/>
        <item x="87"/>
        <item x="144"/>
        <item x="380"/>
        <item x="39"/>
        <item x="478"/>
        <item x="352"/>
        <item x="220"/>
        <item x="390"/>
        <item x="109"/>
        <item x="236"/>
        <item x="513"/>
        <item x="141"/>
        <item x="580"/>
        <item x="453"/>
        <item x="521"/>
        <item x="541"/>
        <item x="550"/>
        <item x="411"/>
        <item x="250"/>
        <item x="557"/>
        <item x="376"/>
        <item x="397"/>
        <item x="546"/>
        <item x="525"/>
        <item x="280"/>
        <item x="113"/>
        <item x="41"/>
        <item x="216"/>
        <item x="132"/>
        <item x="91"/>
        <item x="369"/>
        <item x="298"/>
        <item x="606"/>
        <item x="436"/>
        <item x="427"/>
        <item x="542"/>
        <item x="252"/>
        <item x="486"/>
        <item x="36"/>
        <item x="25"/>
        <item x="201"/>
        <item x="537"/>
        <item x="420"/>
        <item x="456"/>
        <item x="438"/>
        <item x="294"/>
        <item x="356"/>
        <item x="136"/>
        <item x="244"/>
        <item x="155"/>
        <item x="288"/>
        <item x="95"/>
        <item x="15"/>
        <item x="200"/>
        <item x="295"/>
        <item x="55"/>
        <item x="153"/>
        <item x="292"/>
        <item x="614"/>
        <item x="461"/>
        <item x="424"/>
        <item x="8"/>
        <item x="312"/>
        <item x="616"/>
        <item x="115"/>
        <item x="375"/>
        <item x="430"/>
        <item x="152"/>
        <item x="283"/>
        <item x="584"/>
        <item x="9"/>
        <item x="533"/>
        <item x="234"/>
        <item x="328"/>
        <item x="72"/>
        <item x="44"/>
        <item x="601"/>
        <item x="63"/>
        <item x="178"/>
        <item x="473"/>
        <item x="538"/>
        <item x="170"/>
        <item x="57"/>
        <item x="222"/>
        <item x="354"/>
        <item x="605"/>
        <item x="291"/>
        <item x="75"/>
        <item x="396"/>
        <item x="446"/>
        <item x="196"/>
        <item x="519"/>
        <item x="50"/>
        <item x="10"/>
        <item x="528"/>
        <item x="289"/>
        <item x="185"/>
        <item x="287"/>
        <item x="256"/>
        <item x="543"/>
        <item x="322"/>
        <item x="448"/>
        <item x="6"/>
        <item x="518"/>
        <item x="308"/>
        <item x="309"/>
        <item x="505"/>
        <item x="339"/>
        <item x="426"/>
        <item x="169"/>
        <item x="74"/>
        <item x="210"/>
        <item x="579"/>
        <item x="439"/>
        <item x="529"/>
        <item x="567"/>
        <item x="433"/>
        <item x="347"/>
        <item x="303"/>
        <item x="379"/>
        <item x="516"/>
        <item x="467"/>
        <item x="129"/>
        <item x="12"/>
        <item x="470"/>
        <item x="79"/>
        <item x="22"/>
        <item x="370"/>
        <item x="128"/>
        <item x="96"/>
        <item x="186"/>
        <item x="31"/>
        <item x="421"/>
        <item x="119"/>
        <item x="120"/>
        <item x="415"/>
        <item x="279"/>
        <item x="11"/>
        <item x="474"/>
        <item x="405"/>
        <item x="432"/>
        <item x="267"/>
        <item x="165"/>
        <item x="373"/>
        <item x="425"/>
        <item x="555"/>
        <item x="114"/>
        <item x="266"/>
        <item x="205"/>
        <item x="535"/>
        <item x="549"/>
        <item x="101"/>
        <item x="558"/>
        <item x="183"/>
        <item x="482"/>
        <item x="107"/>
        <item x="472"/>
        <item x="392"/>
        <item x="184"/>
        <item x="62"/>
        <item x="344"/>
        <item x="435"/>
        <item x="179"/>
        <item x="69"/>
        <item x="487"/>
        <item x="213"/>
        <item x="193"/>
        <item x="619"/>
        <item x="268"/>
        <item x="324"/>
        <item x="297"/>
        <item x="526"/>
        <item x="242"/>
        <item x="361"/>
        <item x="14"/>
        <item x="5"/>
        <item x="583"/>
        <item x="189"/>
        <item x="202"/>
        <item x="65"/>
        <item x="585"/>
        <item x="218"/>
        <item t="default"/>
      </items>
    </pivotField>
    <pivotField showAll="0"/>
    <pivotField showAll="0"/>
    <pivotField showAll="0"/>
    <pivotField showAll="0"/>
    <pivotField showAll="0">
      <items count="7">
        <item x="4"/>
        <item x="1"/>
        <item x="3"/>
        <item x="0"/>
        <item x="5"/>
        <item x="2"/>
        <item t="default"/>
      </items>
    </pivotField>
    <pivotField showAll="0"/>
    <pivotField showAll="0"/>
    <pivotField showAll="0"/>
    <pivotField showAll="0"/>
    <pivotField showAll="0"/>
    <pivotField showAll="0"/>
    <pivotField showAll="0"/>
    <pivotField axis="axisRow" showAll="0" sortType="descending">
      <items count="6">
        <item h="1" x="3"/>
        <item x="2"/>
        <item h="1" x="1"/>
        <item h="1" x="0"/>
        <item h="1" x="4"/>
        <item t="default"/>
      </items>
      <autoSortScope>
        <pivotArea dataOnly="0" outline="0" fieldPosition="0">
          <references count="1">
            <reference field="4294967294" count="1" selected="0">
              <x v="0"/>
            </reference>
          </references>
        </pivotArea>
      </autoSortScope>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5"/>
  </rowFields>
  <rowItems count="1">
    <i>
      <x v="1"/>
    </i>
  </rowItems>
  <colItems count="1">
    <i/>
  </colItems>
  <dataFields count="1">
    <dataField name="Sum of Revenue" fld="1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6DD7864-45A1-49E8-98F4-F93E3ED285E7}" name="Revenue by Year"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21:B24" firstHeaderRow="1" firstDataRow="1" firstDataCol="1" rowPageCount="1" colPageCount="1"/>
  <pivotFields count="20">
    <pivotField showAll="0"/>
    <pivotField showAll="0"/>
    <pivotField showAll="0">
      <items count="624">
        <item x="341"/>
        <item x="37"/>
        <item x="93"/>
        <item x="363"/>
        <item x="1"/>
        <item x="16"/>
        <item x="514"/>
        <item x="350"/>
        <item x="378"/>
        <item x="460"/>
        <item x="566"/>
        <item x="84"/>
        <item x="306"/>
        <item x="357"/>
        <item x="81"/>
        <item x="168"/>
        <item x="489"/>
        <item x="553"/>
        <item x="161"/>
        <item x="317"/>
        <item x="501"/>
        <item x="464"/>
        <item x="204"/>
        <item x="140"/>
        <item x="406"/>
        <item x="66"/>
        <item x="278"/>
        <item x="89"/>
        <item x="335"/>
        <item x="540"/>
        <item x="442"/>
        <item x="621"/>
        <item x="21"/>
        <item x="468"/>
        <item x="548"/>
        <item x="100"/>
        <item x="88"/>
        <item x="131"/>
        <item x="275"/>
        <item x="304"/>
        <item x="498"/>
        <item x="177"/>
        <item x="24"/>
        <item x="198"/>
        <item x="67"/>
        <item x="284"/>
        <item x="229"/>
        <item x="398"/>
        <item x="238"/>
        <item x="620"/>
        <item x="407"/>
        <item x="80"/>
        <item x="340"/>
        <item x="544"/>
        <item x="476"/>
        <item x="455"/>
        <item x="592"/>
        <item x="477"/>
        <item x="232"/>
        <item x="281"/>
        <item x="612"/>
        <item x="532"/>
        <item x="58"/>
        <item x="609"/>
        <item x="458"/>
        <item x="445"/>
        <item x="116"/>
        <item x="500"/>
        <item x="410"/>
        <item x="416"/>
        <item x="231"/>
        <item x="77"/>
        <item x="78"/>
        <item x="412"/>
        <item x="307"/>
        <item x="393"/>
        <item x="401"/>
        <item x="47"/>
        <item x="313"/>
        <item x="336"/>
        <item x="437"/>
        <item x="262"/>
        <item x="590"/>
        <item x="34"/>
        <item x="40"/>
        <item x="64"/>
        <item x="85"/>
        <item x="48"/>
        <item x="206"/>
        <item x="108"/>
        <item x="7"/>
        <item x="296"/>
        <item x="264"/>
        <item x="600"/>
        <item x="86"/>
        <item x="117"/>
        <item x="318"/>
        <item x="364"/>
        <item x="102"/>
        <item x="214"/>
        <item x="226"/>
        <item x="587"/>
        <item x="611"/>
        <item x="608"/>
        <item x="314"/>
        <item x="174"/>
        <item x="565"/>
        <item x="142"/>
        <item x="454"/>
        <item x="599"/>
        <item x="459"/>
        <item x="225"/>
        <item x="83"/>
        <item x="30"/>
        <item x="400"/>
        <item x="35"/>
        <item x="491"/>
        <item x="353"/>
        <item x="105"/>
        <item x="469"/>
        <item x="29"/>
        <item x="176"/>
        <item x="221"/>
        <item x="327"/>
        <item x="586"/>
        <item x="203"/>
        <item x="157"/>
        <item x="622"/>
        <item x="522"/>
        <item x="450"/>
        <item x="127"/>
        <item x="26"/>
        <item x="387"/>
        <item x="593"/>
        <item x="99"/>
        <item x="465"/>
        <item x="123"/>
        <item x="408"/>
        <item x="332"/>
        <item x="604"/>
        <item x="122"/>
        <item x="145"/>
        <item x="589"/>
        <item x="271"/>
        <item x="595"/>
        <item x="573"/>
        <item x="560"/>
        <item x="195"/>
        <item x="139"/>
        <item x="345"/>
        <item x="402"/>
        <item x="209"/>
        <item x="257"/>
        <item x="577"/>
        <item x="338"/>
        <item x="51"/>
        <item x="404"/>
        <item x="104"/>
        <item x="348"/>
        <item x="564"/>
        <item x="382"/>
        <item x="94"/>
        <item x="359"/>
        <item x="386"/>
        <item x="166"/>
        <item x="355"/>
        <item x="524"/>
        <item x="241"/>
        <item x="246"/>
        <item x="371"/>
        <item x="457"/>
        <item x="576"/>
        <item x="149"/>
        <item x="479"/>
        <item x="23"/>
        <item x="351"/>
        <item x="319"/>
        <item x="574"/>
        <item x="499"/>
        <item x="603"/>
        <item x="212"/>
        <item x="190"/>
        <item x="18"/>
        <item x="276"/>
        <item x="181"/>
        <item x="443"/>
        <item x="551"/>
        <item x="466"/>
        <item x="536"/>
        <item x="54"/>
        <item x="211"/>
        <item x="346"/>
        <item x="512"/>
        <item x="581"/>
        <item x="360"/>
        <item x="559"/>
        <item x="2"/>
        <item x="228"/>
        <item x="277"/>
        <item x="118"/>
        <item x="506"/>
        <item x="343"/>
        <item x="124"/>
        <item x="194"/>
        <item x="503"/>
        <item x="374"/>
        <item x="452"/>
        <item x="111"/>
        <item x="325"/>
        <item x="305"/>
        <item x="73"/>
        <item x="150"/>
        <item x="492"/>
        <item x="272"/>
        <item x="488"/>
        <item x="413"/>
        <item x="504"/>
        <item x="135"/>
        <item x="320"/>
        <item x="143"/>
        <item x="481"/>
        <item x="333"/>
        <item x="265"/>
        <item x="49"/>
        <item x="562"/>
        <item x="334"/>
        <item x="607"/>
        <item x="223"/>
        <item x="163"/>
        <item x="617"/>
        <item x="569"/>
        <item x="235"/>
        <item x="219"/>
        <item x="517"/>
        <item x="582"/>
        <item x="255"/>
        <item x="188"/>
        <item x="180"/>
        <item x="527"/>
        <item x="399"/>
        <item x="511"/>
        <item x="172"/>
        <item x="417"/>
        <item x="494"/>
        <item x="434"/>
        <item x="429"/>
        <item x="258"/>
        <item x="463"/>
        <item x="365"/>
        <item x="162"/>
        <item x="556"/>
        <item x="38"/>
        <item x="76"/>
        <item x="269"/>
        <item x="156"/>
        <item x="523"/>
        <item x="154"/>
        <item x="381"/>
        <item x="462"/>
        <item x="588"/>
        <item x="389"/>
        <item x="301"/>
        <item x="530"/>
        <item x="507"/>
        <item x="253"/>
        <item x="3"/>
        <item x="300"/>
        <item x="130"/>
        <item x="610"/>
        <item x="484"/>
        <item x="602"/>
        <item x="383"/>
        <item x="61"/>
        <item x="249"/>
        <item x="43"/>
        <item x="571"/>
        <item x="191"/>
        <item x="485"/>
        <item x="508"/>
        <item x="591"/>
        <item x="245"/>
        <item x="138"/>
        <item x="19"/>
        <item x="554"/>
        <item x="121"/>
        <item x="97"/>
        <item x="422"/>
        <item x="217"/>
        <item x="431"/>
        <item x="148"/>
        <item x="495"/>
        <item x="342"/>
        <item x="534"/>
        <item x="531"/>
        <item x="164"/>
        <item x="227"/>
        <item x="92"/>
        <item x="423"/>
        <item x="510"/>
        <item x="302"/>
        <item x="175"/>
        <item x="367"/>
        <item x="545"/>
        <item x="260"/>
        <item x="230"/>
        <item x="509"/>
        <item x="146"/>
        <item x="391"/>
        <item x="441"/>
        <item x="578"/>
        <item x="53"/>
        <item x="598"/>
        <item x="46"/>
        <item x="248"/>
        <item x="233"/>
        <item x="372"/>
        <item x="52"/>
        <item x="337"/>
        <item x="520"/>
        <item x="273"/>
        <item x="261"/>
        <item x="394"/>
        <item x="147"/>
        <item x="263"/>
        <item x="563"/>
        <item x="270"/>
        <item x="475"/>
        <item x="160"/>
        <item x="440"/>
        <item x="330"/>
        <item x="171"/>
        <item x="385"/>
        <item x="103"/>
        <item x="187"/>
        <item x="615"/>
        <item x="428"/>
        <item x="215"/>
        <item x="403"/>
        <item x="112"/>
        <item x="259"/>
        <item x="224"/>
        <item x="71"/>
        <item x="444"/>
        <item x="539"/>
        <item x="414"/>
        <item x="496"/>
        <item x="239"/>
        <item x="243"/>
        <item x="137"/>
        <item x="182"/>
        <item x="368"/>
        <item x="449"/>
        <item x="419"/>
        <item x="613"/>
        <item x="570"/>
        <item x="106"/>
        <item x="572"/>
        <item x="173"/>
        <item x="596"/>
        <item x="134"/>
        <item x="366"/>
        <item x="133"/>
        <item x="17"/>
        <item x="384"/>
        <item x="208"/>
        <item x="388"/>
        <item x="126"/>
        <item x="98"/>
        <item x="110"/>
        <item x="321"/>
        <item x="290"/>
        <item x="0"/>
        <item x="33"/>
        <item x="60"/>
        <item x="56"/>
        <item x="575"/>
        <item x="274"/>
        <item x="329"/>
        <item x="311"/>
        <item x="13"/>
        <item x="159"/>
        <item x="20"/>
        <item x="597"/>
        <item x="254"/>
        <item x="362"/>
        <item x="471"/>
        <item x="27"/>
        <item x="158"/>
        <item x="32"/>
        <item x="251"/>
        <item x="349"/>
        <item x="497"/>
        <item x="299"/>
        <item x="240"/>
        <item x="561"/>
        <item x="59"/>
        <item x="515"/>
        <item x="316"/>
        <item x="247"/>
        <item x="358"/>
        <item x="28"/>
        <item x="167"/>
        <item x="418"/>
        <item x="483"/>
        <item x="42"/>
        <item x="282"/>
        <item x="409"/>
        <item x="395"/>
        <item x="293"/>
        <item x="68"/>
        <item x="151"/>
        <item x="90"/>
        <item x="70"/>
        <item x="547"/>
        <item x="315"/>
        <item x="552"/>
        <item x="490"/>
        <item x="447"/>
        <item x="197"/>
        <item x="4"/>
        <item x="502"/>
        <item x="285"/>
        <item x="192"/>
        <item x="45"/>
        <item x="331"/>
        <item x="82"/>
        <item x="310"/>
        <item x="125"/>
        <item x="480"/>
        <item x="286"/>
        <item x="207"/>
        <item x="377"/>
        <item x="594"/>
        <item x="326"/>
        <item x="199"/>
        <item x="568"/>
        <item x="618"/>
        <item x="323"/>
        <item x="237"/>
        <item x="493"/>
        <item x="451"/>
        <item x="87"/>
        <item x="144"/>
        <item x="380"/>
        <item x="39"/>
        <item x="478"/>
        <item x="352"/>
        <item x="220"/>
        <item x="390"/>
        <item x="109"/>
        <item x="236"/>
        <item x="513"/>
        <item x="141"/>
        <item x="580"/>
        <item x="453"/>
        <item x="521"/>
        <item x="541"/>
        <item x="550"/>
        <item x="411"/>
        <item x="250"/>
        <item x="557"/>
        <item x="376"/>
        <item x="397"/>
        <item x="546"/>
        <item x="525"/>
        <item x="280"/>
        <item x="113"/>
        <item x="41"/>
        <item x="216"/>
        <item x="132"/>
        <item x="91"/>
        <item x="369"/>
        <item x="298"/>
        <item x="606"/>
        <item x="436"/>
        <item x="427"/>
        <item x="542"/>
        <item x="252"/>
        <item x="486"/>
        <item x="36"/>
        <item x="25"/>
        <item x="201"/>
        <item x="537"/>
        <item x="420"/>
        <item x="456"/>
        <item x="438"/>
        <item x="294"/>
        <item x="356"/>
        <item x="136"/>
        <item x="244"/>
        <item x="155"/>
        <item x="288"/>
        <item x="95"/>
        <item x="15"/>
        <item x="200"/>
        <item x="295"/>
        <item x="55"/>
        <item x="153"/>
        <item x="292"/>
        <item x="614"/>
        <item x="461"/>
        <item x="424"/>
        <item x="8"/>
        <item x="312"/>
        <item x="616"/>
        <item x="115"/>
        <item x="375"/>
        <item x="430"/>
        <item x="152"/>
        <item x="283"/>
        <item x="584"/>
        <item x="9"/>
        <item x="533"/>
        <item x="234"/>
        <item x="328"/>
        <item x="72"/>
        <item x="44"/>
        <item x="601"/>
        <item x="63"/>
        <item x="178"/>
        <item x="473"/>
        <item x="538"/>
        <item x="170"/>
        <item x="57"/>
        <item x="222"/>
        <item x="354"/>
        <item x="605"/>
        <item x="291"/>
        <item x="75"/>
        <item x="396"/>
        <item x="446"/>
        <item x="196"/>
        <item x="519"/>
        <item x="50"/>
        <item x="10"/>
        <item x="528"/>
        <item x="289"/>
        <item x="185"/>
        <item x="287"/>
        <item x="256"/>
        <item x="543"/>
        <item x="322"/>
        <item x="448"/>
        <item x="6"/>
        <item x="518"/>
        <item x="308"/>
        <item x="309"/>
        <item x="505"/>
        <item x="339"/>
        <item x="426"/>
        <item x="169"/>
        <item x="74"/>
        <item x="210"/>
        <item x="579"/>
        <item x="439"/>
        <item x="529"/>
        <item x="567"/>
        <item x="433"/>
        <item x="347"/>
        <item x="303"/>
        <item x="379"/>
        <item x="516"/>
        <item x="467"/>
        <item x="129"/>
        <item x="12"/>
        <item x="470"/>
        <item x="79"/>
        <item x="22"/>
        <item x="370"/>
        <item x="128"/>
        <item x="96"/>
        <item x="186"/>
        <item x="31"/>
        <item x="421"/>
        <item x="119"/>
        <item x="120"/>
        <item x="415"/>
        <item x="279"/>
        <item x="11"/>
        <item x="474"/>
        <item x="405"/>
        <item x="432"/>
        <item x="267"/>
        <item x="165"/>
        <item x="373"/>
        <item x="425"/>
        <item x="555"/>
        <item x="114"/>
        <item x="266"/>
        <item x="205"/>
        <item x="535"/>
        <item x="549"/>
        <item x="101"/>
        <item x="558"/>
        <item x="183"/>
        <item x="482"/>
        <item x="107"/>
        <item x="472"/>
        <item x="392"/>
        <item x="184"/>
        <item x="62"/>
        <item x="344"/>
        <item x="435"/>
        <item x="179"/>
        <item x="69"/>
        <item x="487"/>
        <item x="213"/>
        <item x="193"/>
        <item x="619"/>
        <item x="268"/>
        <item x="324"/>
        <item x="297"/>
        <item x="526"/>
        <item x="242"/>
        <item x="361"/>
        <item x="14"/>
        <item x="5"/>
        <item x="583"/>
        <item x="189"/>
        <item x="202"/>
        <item x="65"/>
        <item x="585"/>
        <item x="21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6">
        <item h="1" x="3"/>
        <item x="2"/>
        <item h="1" x="1"/>
        <item h="1" x="0"/>
        <item h="1" x="4"/>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h="1" sd="0" x="0"/>
        <item sd="0" x="1"/>
        <item sd="0" x="2"/>
        <item sd="0" x="3"/>
        <item h="1" sd="0" x="4"/>
        <item t="default"/>
      </items>
    </pivotField>
  </pivotFields>
  <rowFields count="1">
    <field x="19"/>
  </rowFields>
  <rowItems count="3">
    <i>
      <x v="1"/>
    </i>
    <i>
      <x v="2"/>
    </i>
    <i t="grand">
      <x/>
    </i>
  </rowItems>
  <colItems count="1">
    <i/>
  </colItems>
  <pageFields count="1">
    <pageField fld="15" hier="-1"/>
  </pageFields>
  <dataFields count="1">
    <dataField name="Sum of Revenue" fld="1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0191ABE-0BB5-42B5-9209-251F8AA56414}" name="Revenue by count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E15" firstHeaderRow="1" firstDataRow="1" firstDataCol="1" rowPageCount="1" colPageCount="1"/>
  <pivotFields count="20">
    <pivotField showAll="0"/>
    <pivotField showAll="0"/>
    <pivotField showAll="0">
      <items count="624">
        <item x="341"/>
        <item x="37"/>
        <item x="93"/>
        <item x="363"/>
        <item x="1"/>
        <item x="16"/>
        <item x="514"/>
        <item x="350"/>
        <item x="378"/>
        <item x="460"/>
        <item x="566"/>
        <item x="84"/>
        <item x="306"/>
        <item x="357"/>
        <item x="81"/>
        <item x="168"/>
        <item x="489"/>
        <item x="553"/>
        <item x="161"/>
        <item x="317"/>
        <item x="501"/>
        <item x="464"/>
        <item x="204"/>
        <item x="140"/>
        <item x="406"/>
        <item x="66"/>
        <item x="278"/>
        <item x="89"/>
        <item x="335"/>
        <item x="540"/>
        <item x="442"/>
        <item x="621"/>
        <item x="21"/>
        <item x="468"/>
        <item x="548"/>
        <item x="100"/>
        <item x="88"/>
        <item x="131"/>
        <item x="275"/>
        <item x="304"/>
        <item x="498"/>
        <item x="177"/>
        <item x="24"/>
        <item x="198"/>
        <item x="67"/>
        <item x="284"/>
        <item x="229"/>
        <item x="398"/>
        <item x="238"/>
        <item x="620"/>
        <item x="407"/>
        <item x="80"/>
        <item x="340"/>
        <item x="544"/>
        <item x="476"/>
        <item x="455"/>
        <item x="592"/>
        <item x="477"/>
        <item x="232"/>
        <item x="281"/>
        <item x="612"/>
        <item x="532"/>
        <item x="58"/>
        <item x="609"/>
        <item x="458"/>
        <item x="445"/>
        <item x="116"/>
        <item x="500"/>
        <item x="410"/>
        <item x="416"/>
        <item x="231"/>
        <item x="77"/>
        <item x="78"/>
        <item x="412"/>
        <item x="307"/>
        <item x="393"/>
        <item x="401"/>
        <item x="47"/>
        <item x="313"/>
        <item x="336"/>
        <item x="437"/>
        <item x="262"/>
        <item x="590"/>
        <item x="34"/>
        <item x="40"/>
        <item x="64"/>
        <item x="85"/>
        <item x="48"/>
        <item x="206"/>
        <item x="108"/>
        <item x="7"/>
        <item x="296"/>
        <item x="264"/>
        <item x="600"/>
        <item x="86"/>
        <item x="117"/>
        <item x="318"/>
        <item x="364"/>
        <item x="102"/>
        <item x="214"/>
        <item x="226"/>
        <item x="587"/>
        <item x="611"/>
        <item x="608"/>
        <item x="314"/>
        <item x="174"/>
        <item x="565"/>
        <item x="142"/>
        <item x="454"/>
        <item x="599"/>
        <item x="459"/>
        <item x="225"/>
        <item x="83"/>
        <item x="30"/>
        <item x="400"/>
        <item x="35"/>
        <item x="491"/>
        <item x="353"/>
        <item x="105"/>
        <item x="469"/>
        <item x="29"/>
        <item x="176"/>
        <item x="221"/>
        <item x="327"/>
        <item x="586"/>
        <item x="203"/>
        <item x="157"/>
        <item x="622"/>
        <item x="522"/>
        <item x="450"/>
        <item x="127"/>
        <item x="26"/>
        <item x="387"/>
        <item x="593"/>
        <item x="99"/>
        <item x="465"/>
        <item x="123"/>
        <item x="408"/>
        <item x="332"/>
        <item x="604"/>
        <item x="122"/>
        <item x="145"/>
        <item x="589"/>
        <item x="271"/>
        <item x="595"/>
        <item x="573"/>
        <item x="560"/>
        <item x="195"/>
        <item x="139"/>
        <item x="345"/>
        <item x="402"/>
        <item x="209"/>
        <item x="257"/>
        <item x="577"/>
        <item x="338"/>
        <item x="51"/>
        <item x="404"/>
        <item x="104"/>
        <item x="348"/>
        <item x="564"/>
        <item x="382"/>
        <item x="94"/>
        <item x="359"/>
        <item x="386"/>
        <item x="166"/>
        <item x="355"/>
        <item x="524"/>
        <item x="241"/>
        <item x="246"/>
        <item x="371"/>
        <item x="457"/>
        <item x="576"/>
        <item x="149"/>
        <item x="479"/>
        <item x="23"/>
        <item x="351"/>
        <item x="319"/>
        <item x="574"/>
        <item x="499"/>
        <item x="603"/>
        <item x="212"/>
        <item x="190"/>
        <item x="18"/>
        <item x="276"/>
        <item x="181"/>
        <item x="443"/>
        <item x="551"/>
        <item x="466"/>
        <item x="536"/>
        <item x="54"/>
        <item x="211"/>
        <item x="346"/>
        <item x="512"/>
        <item x="581"/>
        <item x="360"/>
        <item x="559"/>
        <item x="2"/>
        <item x="228"/>
        <item x="277"/>
        <item x="118"/>
        <item x="506"/>
        <item x="343"/>
        <item x="124"/>
        <item x="194"/>
        <item x="503"/>
        <item x="374"/>
        <item x="452"/>
        <item x="111"/>
        <item x="325"/>
        <item x="305"/>
        <item x="73"/>
        <item x="150"/>
        <item x="492"/>
        <item x="272"/>
        <item x="488"/>
        <item x="413"/>
        <item x="504"/>
        <item x="135"/>
        <item x="320"/>
        <item x="143"/>
        <item x="481"/>
        <item x="333"/>
        <item x="265"/>
        <item x="49"/>
        <item x="562"/>
        <item x="334"/>
        <item x="607"/>
        <item x="223"/>
        <item x="163"/>
        <item x="617"/>
        <item x="569"/>
        <item x="235"/>
        <item x="219"/>
        <item x="517"/>
        <item x="582"/>
        <item x="255"/>
        <item x="188"/>
        <item x="180"/>
        <item x="527"/>
        <item x="399"/>
        <item x="511"/>
        <item x="172"/>
        <item x="417"/>
        <item x="494"/>
        <item x="434"/>
        <item x="429"/>
        <item x="258"/>
        <item x="463"/>
        <item x="365"/>
        <item x="162"/>
        <item x="556"/>
        <item x="38"/>
        <item x="76"/>
        <item x="269"/>
        <item x="156"/>
        <item x="523"/>
        <item x="154"/>
        <item x="381"/>
        <item x="462"/>
        <item x="588"/>
        <item x="389"/>
        <item x="301"/>
        <item x="530"/>
        <item x="507"/>
        <item x="253"/>
        <item x="3"/>
        <item x="300"/>
        <item x="130"/>
        <item x="610"/>
        <item x="484"/>
        <item x="602"/>
        <item x="383"/>
        <item x="61"/>
        <item x="249"/>
        <item x="43"/>
        <item x="571"/>
        <item x="191"/>
        <item x="485"/>
        <item x="508"/>
        <item x="591"/>
        <item x="245"/>
        <item x="138"/>
        <item x="19"/>
        <item x="554"/>
        <item x="121"/>
        <item x="97"/>
        <item x="422"/>
        <item x="217"/>
        <item x="431"/>
        <item x="148"/>
        <item x="495"/>
        <item x="342"/>
        <item x="534"/>
        <item x="531"/>
        <item x="164"/>
        <item x="227"/>
        <item x="92"/>
        <item x="423"/>
        <item x="510"/>
        <item x="302"/>
        <item x="175"/>
        <item x="367"/>
        <item x="545"/>
        <item x="260"/>
        <item x="230"/>
        <item x="509"/>
        <item x="146"/>
        <item x="391"/>
        <item x="441"/>
        <item x="578"/>
        <item x="53"/>
        <item x="598"/>
        <item x="46"/>
        <item x="248"/>
        <item x="233"/>
        <item x="372"/>
        <item x="52"/>
        <item x="337"/>
        <item x="520"/>
        <item x="273"/>
        <item x="261"/>
        <item x="394"/>
        <item x="147"/>
        <item x="263"/>
        <item x="563"/>
        <item x="270"/>
        <item x="475"/>
        <item x="160"/>
        <item x="440"/>
        <item x="330"/>
        <item x="171"/>
        <item x="385"/>
        <item x="103"/>
        <item x="187"/>
        <item x="615"/>
        <item x="428"/>
        <item x="215"/>
        <item x="403"/>
        <item x="112"/>
        <item x="259"/>
        <item x="224"/>
        <item x="71"/>
        <item x="444"/>
        <item x="539"/>
        <item x="414"/>
        <item x="496"/>
        <item x="239"/>
        <item x="243"/>
        <item x="137"/>
        <item x="182"/>
        <item x="368"/>
        <item x="449"/>
        <item x="419"/>
        <item x="613"/>
        <item x="570"/>
        <item x="106"/>
        <item x="572"/>
        <item x="173"/>
        <item x="596"/>
        <item x="134"/>
        <item x="366"/>
        <item x="133"/>
        <item x="17"/>
        <item x="384"/>
        <item x="208"/>
        <item x="388"/>
        <item x="126"/>
        <item x="98"/>
        <item x="110"/>
        <item x="321"/>
        <item x="290"/>
        <item x="0"/>
        <item x="33"/>
        <item x="60"/>
        <item x="56"/>
        <item x="575"/>
        <item x="274"/>
        <item x="329"/>
        <item x="311"/>
        <item x="13"/>
        <item x="159"/>
        <item x="20"/>
        <item x="597"/>
        <item x="254"/>
        <item x="362"/>
        <item x="471"/>
        <item x="27"/>
        <item x="158"/>
        <item x="32"/>
        <item x="251"/>
        <item x="349"/>
        <item x="497"/>
        <item x="299"/>
        <item x="240"/>
        <item x="561"/>
        <item x="59"/>
        <item x="515"/>
        <item x="316"/>
        <item x="247"/>
        <item x="358"/>
        <item x="28"/>
        <item x="167"/>
        <item x="418"/>
        <item x="483"/>
        <item x="42"/>
        <item x="282"/>
        <item x="409"/>
        <item x="395"/>
        <item x="293"/>
        <item x="68"/>
        <item x="151"/>
        <item x="90"/>
        <item x="70"/>
        <item x="547"/>
        <item x="315"/>
        <item x="552"/>
        <item x="490"/>
        <item x="447"/>
        <item x="197"/>
        <item x="4"/>
        <item x="502"/>
        <item x="285"/>
        <item x="192"/>
        <item x="45"/>
        <item x="331"/>
        <item x="82"/>
        <item x="310"/>
        <item x="125"/>
        <item x="480"/>
        <item x="286"/>
        <item x="207"/>
        <item x="377"/>
        <item x="594"/>
        <item x="326"/>
        <item x="199"/>
        <item x="568"/>
        <item x="618"/>
        <item x="323"/>
        <item x="237"/>
        <item x="493"/>
        <item x="451"/>
        <item x="87"/>
        <item x="144"/>
        <item x="380"/>
        <item x="39"/>
        <item x="478"/>
        <item x="352"/>
        <item x="220"/>
        <item x="390"/>
        <item x="109"/>
        <item x="236"/>
        <item x="513"/>
        <item x="141"/>
        <item x="580"/>
        <item x="453"/>
        <item x="521"/>
        <item x="541"/>
        <item x="550"/>
        <item x="411"/>
        <item x="250"/>
        <item x="557"/>
        <item x="376"/>
        <item x="397"/>
        <item x="546"/>
        <item x="525"/>
        <item x="280"/>
        <item x="113"/>
        <item x="41"/>
        <item x="216"/>
        <item x="132"/>
        <item x="91"/>
        <item x="369"/>
        <item x="298"/>
        <item x="606"/>
        <item x="436"/>
        <item x="427"/>
        <item x="542"/>
        <item x="252"/>
        <item x="486"/>
        <item x="36"/>
        <item x="25"/>
        <item x="201"/>
        <item x="537"/>
        <item x="420"/>
        <item x="456"/>
        <item x="438"/>
        <item x="294"/>
        <item x="356"/>
        <item x="136"/>
        <item x="244"/>
        <item x="155"/>
        <item x="288"/>
        <item x="95"/>
        <item x="15"/>
        <item x="200"/>
        <item x="295"/>
        <item x="55"/>
        <item x="153"/>
        <item x="292"/>
        <item x="614"/>
        <item x="461"/>
        <item x="424"/>
        <item x="8"/>
        <item x="312"/>
        <item x="616"/>
        <item x="115"/>
        <item x="375"/>
        <item x="430"/>
        <item x="152"/>
        <item x="283"/>
        <item x="584"/>
        <item x="9"/>
        <item x="533"/>
        <item x="234"/>
        <item x="328"/>
        <item x="72"/>
        <item x="44"/>
        <item x="601"/>
        <item x="63"/>
        <item x="178"/>
        <item x="473"/>
        <item x="538"/>
        <item x="170"/>
        <item x="57"/>
        <item x="222"/>
        <item x="354"/>
        <item x="605"/>
        <item x="291"/>
        <item x="75"/>
        <item x="396"/>
        <item x="446"/>
        <item x="196"/>
        <item x="519"/>
        <item x="50"/>
        <item x="10"/>
        <item x="528"/>
        <item x="289"/>
        <item x="185"/>
        <item x="287"/>
        <item x="256"/>
        <item x="543"/>
        <item x="322"/>
        <item x="448"/>
        <item x="6"/>
        <item x="518"/>
        <item x="308"/>
        <item x="309"/>
        <item x="505"/>
        <item x="339"/>
        <item x="426"/>
        <item x="169"/>
        <item x="74"/>
        <item x="210"/>
        <item x="579"/>
        <item x="439"/>
        <item x="529"/>
        <item x="567"/>
        <item x="433"/>
        <item x="347"/>
        <item x="303"/>
        <item x="379"/>
        <item x="516"/>
        <item x="467"/>
        <item x="129"/>
        <item x="12"/>
        <item x="470"/>
        <item x="79"/>
        <item x="22"/>
        <item x="370"/>
        <item x="128"/>
        <item x="96"/>
        <item x="186"/>
        <item x="31"/>
        <item x="421"/>
        <item x="119"/>
        <item x="120"/>
        <item x="415"/>
        <item x="279"/>
        <item x="11"/>
        <item x="474"/>
        <item x="405"/>
        <item x="432"/>
        <item x="267"/>
        <item x="165"/>
        <item x="373"/>
        <item x="425"/>
        <item x="555"/>
        <item x="114"/>
        <item x="266"/>
        <item x="205"/>
        <item x="535"/>
        <item x="549"/>
        <item x="101"/>
        <item x="558"/>
        <item x="183"/>
        <item x="482"/>
        <item x="107"/>
        <item x="472"/>
        <item x="392"/>
        <item x="184"/>
        <item x="62"/>
        <item x="344"/>
        <item x="435"/>
        <item x="179"/>
        <item x="69"/>
        <item x="487"/>
        <item x="213"/>
        <item x="193"/>
        <item x="619"/>
        <item x="268"/>
        <item x="324"/>
        <item x="297"/>
        <item x="526"/>
        <item x="242"/>
        <item x="361"/>
        <item x="14"/>
        <item x="5"/>
        <item x="583"/>
        <item x="189"/>
        <item x="202"/>
        <item x="65"/>
        <item x="585"/>
        <item x="218"/>
        <item t="default"/>
      </items>
    </pivotField>
    <pivotField showAll="0"/>
    <pivotField showAll="0"/>
    <pivotField showAll="0"/>
    <pivotField axis="axisRow" showAll="0" sortType="descending">
      <items count="13">
        <item x="1"/>
        <item x="2"/>
        <item x="4"/>
        <item h="1" x="10"/>
        <item x="11"/>
        <item x="0"/>
        <item x="8"/>
        <item x="3"/>
        <item x="7"/>
        <item x="9"/>
        <item x="6"/>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axis="axisPage" multipleItemSelectionAllowed="1" showAll="0">
      <items count="6">
        <item h="1" x="3"/>
        <item x="2"/>
        <item h="1" x="1"/>
        <item h="1" x="0"/>
        <item h="1" x="4"/>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12">
    <i>
      <x/>
    </i>
    <i>
      <x v="10"/>
    </i>
    <i>
      <x v="1"/>
    </i>
    <i>
      <x v="9"/>
    </i>
    <i>
      <x v="2"/>
    </i>
    <i>
      <x v="5"/>
    </i>
    <i>
      <x v="4"/>
    </i>
    <i>
      <x v="8"/>
    </i>
    <i>
      <x v="7"/>
    </i>
    <i>
      <x v="11"/>
    </i>
    <i>
      <x v="6"/>
    </i>
    <i t="grand">
      <x/>
    </i>
  </rowItems>
  <colItems count="1">
    <i/>
  </colItems>
  <pageFields count="1">
    <pageField fld="15" hier="-1"/>
  </pageFields>
  <dataFields count="1">
    <dataField name="Sum of Revenue" fld="16" baseField="0" baseItem="0" numFmtId="164"/>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1867063-60AE-4CCE-A75E-398C9FA0BE51}" name="Revenue by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G3:H9" firstHeaderRow="1" firstDataRow="1" firstDataCol="1" rowPageCount="1" colPageCount="1"/>
  <pivotFields count="20">
    <pivotField showAll="0"/>
    <pivotField showAll="0"/>
    <pivotField showAll="0">
      <items count="624">
        <item x="341"/>
        <item x="37"/>
        <item x="93"/>
        <item x="363"/>
        <item x="1"/>
        <item x="16"/>
        <item x="514"/>
        <item x="350"/>
        <item x="378"/>
        <item x="460"/>
        <item x="566"/>
        <item x="84"/>
        <item x="306"/>
        <item x="357"/>
        <item x="81"/>
        <item x="168"/>
        <item x="489"/>
        <item x="553"/>
        <item x="161"/>
        <item x="317"/>
        <item x="501"/>
        <item x="464"/>
        <item x="204"/>
        <item x="140"/>
        <item x="406"/>
        <item x="66"/>
        <item x="278"/>
        <item x="89"/>
        <item x="335"/>
        <item x="540"/>
        <item x="442"/>
        <item x="621"/>
        <item x="21"/>
        <item x="468"/>
        <item x="548"/>
        <item x="100"/>
        <item x="88"/>
        <item x="131"/>
        <item x="275"/>
        <item x="304"/>
        <item x="498"/>
        <item x="177"/>
        <item x="24"/>
        <item x="198"/>
        <item x="67"/>
        <item x="284"/>
        <item x="229"/>
        <item x="398"/>
        <item x="238"/>
        <item x="620"/>
        <item x="407"/>
        <item x="80"/>
        <item x="340"/>
        <item x="544"/>
        <item x="476"/>
        <item x="455"/>
        <item x="592"/>
        <item x="477"/>
        <item x="232"/>
        <item x="281"/>
        <item x="612"/>
        <item x="532"/>
        <item x="58"/>
        <item x="609"/>
        <item x="458"/>
        <item x="445"/>
        <item x="116"/>
        <item x="500"/>
        <item x="410"/>
        <item x="416"/>
        <item x="231"/>
        <item x="77"/>
        <item x="78"/>
        <item x="412"/>
        <item x="307"/>
        <item x="393"/>
        <item x="401"/>
        <item x="47"/>
        <item x="313"/>
        <item x="336"/>
        <item x="437"/>
        <item x="262"/>
        <item x="590"/>
        <item x="34"/>
        <item x="40"/>
        <item x="64"/>
        <item x="85"/>
        <item x="48"/>
        <item x="206"/>
        <item x="108"/>
        <item x="7"/>
        <item x="296"/>
        <item x="264"/>
        <item x="600"/>
        <item x="86"/>
        <item x="117"/>
        <item x="318"/>
        <item x="364"/>
        <item x="102"/>
        <item x="214"/>
        <item x="226"/>
        <item x="587"/>
        <item x="611"/>
        <item x="608"/>
        <item x="314"/>
        <item x="174"/>
        <item x="565"/>
        <item x="142"/>
        <item x="454"/>
        <item x="599"/>
        <item x="459"/>
        <item x="225"/>
        <item x="83"/>
        <item x="30"/>
        <item x="400"/>
        <item x="35"/>
        <item x="491"/>
        <item x="353"/>
        <item x="105"/>
        <item x="469"/>
        <item x="29"/>
        <item x="176"/>
        <item x="221"/>
        <item x="327"/>
        <item x="586"/>
        <item x="203"/>
        <item x="157"/>
        <item x="622"/>
        <item x="522"/>
        <item x="450"/>
        <item x="127"/>
        <item x="26"/>
        <item x="387"/>
        <item x="593"/>
        <item x="99"/>
        <item x="465"/>
        <item x="123"/>
        <item x="408"/>
        <item x="332"/>
        <item x="604"/>
        <item x="122"/>
        <item x="145"/>
        <item x="589"/>
        <item x="271"/>
        <item x="595"/>
        <item x="573"/>
        <item x="560"/>
        <item x="195"/>
        <item x="139"/>
        <item x="345"/>
        <item x="402"/>
        <item x="209"/>
        <item x="257"/>
        <item x="577"/>
        <item x="338"/>
        <item x="51"/>
        <item x="404"/>
        <item x="104"/>
        <item x="348"/>
        <item x="564"/>
        <item x="382"/>
        <item x="94"/>
        <item x="359"/>
        <item x="386"/>
        <item x="166"/>
        <item x="355"/>
        <item x="524"/>
        <item x="241"/>
        <item x="246"/>
        <item x="371"/>
        <item x="457"/>
        <item x="576"/>
        <item x="149"/>
        <item x="479"/>
        <item x="23"/>
        <item x="351"/>
        <item x="319"/>
        <item x="574"/>
        <item x="499"/>
        <item x="603"/>
        <item x="212"/>
        <item x="190"/>
        <item x="18"/>
        <item x="276"/>
        <item x="181"/>
        <item x="443"/>
        <item x="551"/>
        <item x="466"/>
        <item x="536"/>
        <item x="54"/>
        <item x="211"/>
        <item x="346"/>
        <item x="512"/>
        <item x="581"/>
        <item x="360"/>
        <item x="559"/>
        <item x="2"/>
        <item x="228"/>
        <item x="277"/>
        <item x="118"/>
        <item x="506"/>
        <item x="343"/>
        <item x="124"/>
        <item x="194"/>
        <item x="503"/>
        <item x="374"/>
        <item x="452"/>
        <item x="111"/>
        <item x="325"/>
        <item x="305"/>
        <item x="73"/>
        <item x="150"/>
        <item x="492"/>
        <item x="272"/>
        <item x="488"/>
        <item x="413"/>
        <item x="504"/>
        <item x="135"/>
        <item x="320"/>
        <item x="143"/>
        <item x="481"/>
        <item x="333"/>
        <item x="265"/>
        <item x="49"/>
        <item x="562"/>
        <item x="334"/>
        <item x="607"/>
        <item x="223"/>
        <item x="163"/>
        <item x="617"/>
        <item x="569"/>
        <item x="235"/>
        <item x="219"/>
        <item x="517"/>
        <item x="582"/>
        <item x="255"/>
        <item x="188"/>
        <item x="180"/>
        <item x="527"/>
        <item x="399"/>
        <item x="511"/>
        <item x="172"/>
        <item x="417"/>
        <item x="494"/>
        <item x="434"/>
        <item x="429"/>
        <item x="258"/>
        <item x="463"/>
        <item x="365"/>
        <item x="162"/>
        <item x="556"/>
        <item x="38"/>
        <item x="76"/>
        <item x="269"/>
        <item x="156"/>
        <item x="523"/>
        <item x="154"/>
        <item x="381"/>
        <item x="462"/>
        <item x="588"/>
        <item x="389"/>
        <item x="301"/>
        <item x="530"/>
        <item x="507"/>
        <item x="253"/>
        <item x="3"/>
        <item x="300"/>
        <item x="130"/>
        <item x="610"/>
        <item x="484"/>
        <item x="602"/>
        <item x="383"/>
        <item x="61"/>
        <item x="249"/>
        <item x="43"/>
        <item x="571"/>
        <item x="191"/>
        <item x="485"/>
        <item x="508"/>
        <item x="591"/>
        <item x="245"/>
        <item x="138"/>
        <item x="19"/>
        <item x="554"/>
        <item x="121"/>
        <item x="97"/>
        <item x="422"/>
        <item x="217"/>
        <item x="431"/>
        <item x="148"/>
        <item x="495"/>
        <item x="342"/>
        <item x="534"/>
        <item x="531"/>
        <item x="164"/>
        <item x="227"/>
        <item x="92"/>
        <item x="423"/>
        <item x="510"/>
        <item x="302"/>
        <item x="175"/>
        <item x="367"/>
        <item x="545"/>
        <item x="260"/>
        <item x="230"/>
        <item x="509"/>
        <item x="146"/>
        <item x="391"/>
        <item x="441"/>
        <item x="578"/>
        <item x="53"/>
        <item x="598"/>
        <item x="46"/>
        <item x="248"/>
        <item x="233"/>
        <item x="372"/>
        <item x="52"/>
        <item x="337"/>
        <item x="520"/>
        <item x="273"/>
        <item x="261"/>
        <item x="394"/>
        <item x="147"/>
        <item x="263"/>
        <item x="563"/>
        <item x="270"/>
        <item x="475"/>
        <item x="160"/>
        <item x="440"/>
        <item x="330"/>
        <item x="171"/>
        <item x="385"/>
        <item x="103"/>
        <item x="187"/>
        <item x="615"/>
        <item x="428"/>
        <item x="215"/>
        <item x="403"/>
        <item x="112"/>
        <item x="259"/>
        <item x="224"/>
        <item x="71"/>
        <item x="444"/>
        <item x="539"/>
        <item x="414"/>
        <item x="496"/>
        <item x="239"/>
        <item x="243"/>
        <item x="137"/>
        <item x="182"/>
        <item x="368"/>
        <item x="449"/>
        <item x="419"/>
        <item x="613"/>
        <item x="570"/>
        <item x="106"/>
        <item x="572"/>
        <item x="173"/>
        <item x="596"/>
        <item x="134"/>
        <item x="366"/>
        <item x="133"/>
        <item x="17"/>
        <item x="384"/>
        <item x="208"/>
        <item x="388"/>
        <item x="126"/>
        <item x="98"/>
        <item x="110"/>
        <item x="321"/>
        <item x="290"/>
        <item x="0"/>
        <item x="33"/>
        <item x="60"/>
        <item x="56"/>
        <item x="575"/>
        <item x="274"/>
        <item x="329"/>
        <item x="311"/>
        <item x="13"/>
        <item x="159"/>
        <item x="20"/>
        <item x="597"/>
        <item x="254"/>
        <item x="362"/>
        <item x="471"/>
        <item x="27"/>
        <item x="158"/>
        <item x="32"/>
        <item x="251"/>
        <item x="349"/>
        <item x="497"/>
        <item x="299"/>
        <item x="240"/>
        <item x="561"/>
        <item x="59"/>
        <item x="515"/>
        <item x="316"/>
        <item x="247"/>
        <item x="358"/>
        <item x="28"/>
        <item x="167"/>
        <item x="418"/>
        <item x="483"/>
        <item x="42"/>
        <item x="282"/>
        <item x="409"/>
        <item x="395"/>
        <item x="293"/>
        <item x="68"/>
        <item x="151"/>
        <item x="90"/>
        <item x="70"/>
        <item x="547"/>
        <item x="315"/>
        <item x="552"/>
        <item x="490"/>
        <item x="447"/>
        <item x="197"/>
        <item x="4"/>
        <item x="502"/>
        <item x="285"/>
        <item x="192"/>
        <item x="45"/>
        <item x="331"/>
        <item x="82"/>
        <item x="310"/>
        <item x="125"/>
        <item x="480"/>
        <item x="286"/>
        <item x="207"/>
        <item x="377"/>
        <item x="594"/>
        <item x="326"/>
        <item x="199"/>
        <item x="568"/>
        <item x="618"/>
        <item x="323"/>
        <item x="237"/>
        <item x="493"/>
        <item x="451"/>
        <item x="87"/>
        <item x="144"/>
        <item x="380"/>
        <item x="39"/>
        <item x="478"/>
        <item x="352"/>
        <item x="220"/>
        <item x="390"/>
        <item x="109"/>
        <item x="236"/>
        <item x="513"/>
        <item x="141"/>
        <item x="580"/>
        <item x="453"/>
        <item x="521"/>
        <item x="541"/>
        <item x="550"/>
        <item x="411"/>
        <item x="250"/>
        <item x="557"/>
        <item x="376"/>
        <item x="397"/>
        <item x="546"/>
        <item x="525"/>
        <item x="280"/>
        <item x="113"/>
        <item x="41"/>
        <item x="216"/>
        <item x="132"/>
        <item x="91"/>
        <item x="369"/>
        <item x="298"/>
        <item x="606"/>
        <item x="436"/>
        <item x="427"/>
        <item x="542"/>
        <item x="252"/>
        <item x="486"/>
        <item x="36"/>
        <item x="25"/>
        <item x="201"/>
        <item x="537"/>
        <item x="420"/>
        <item x="456"/>
        <item x="438"/>
        <item x="294"/>
        <item x="356"/>
        <item x="136"/>
        <item x="244"/>
        <item x="155"/>
        <item x="288"/>
        <item x="95"/>
        <item x="15"/>
        <item x="200"/>
        <item x="295"/>
        <item x="55"/>
        <item x="153"/>
        <item x="292"/>
        <item x="614"/>
        <item x="461"/>
        <item x="424"/>
        <item x="8"/>
        <item x="312"/>
        <item x="616"/>
        <item x="115"/>
        <item x="375"/>
        <item x="430"/>
        <item x="152"/>
        <item x="283"/>
        <item x="584"/>
        <item x="9"/>
        <item x="533"/>
        <item x="234"/>
        <item x="328"/>
        <item x="72"/>
        <item x="44"/>
        <item x="601"/>
        <item x="63"/>
        <item x="178"/>
        <item x="473"/>
        <item x="538"/>
        <item x="170"/>
        <item x="57"/>
        <item x="222"/>
        <item x="354"/>
        <item x="605"/>
        <item x="291"/>
        <item x="75"/>
        <item x="396"/>
        <item x="446"/>
        <item x="196"/>
        <item x="519"/>
        <item x="50"/>
        <item x="10"/>
        <item x="528"/>
        <item x="289"/>
        <item x="185"/>
        <item x="287"/>
        <item x="256"/>
        <item x="543"/>
        <item x="322"/>
        <item x="448"/>
        <item x="6"/>
        <item x="518"/>
        <item x="308"/>
        <item x="309"/>
        <item x="505"/>
        <item x="339"/>
        <item x="426"/>
        <item x="169"/>
        <item x="74"/>
        <item x="210"/>
        <item x="579"/>
        <item x="439"/>
        <item x="529"/>
        <item x="567"/>
        <item x="433"/>
        <item x="347"/>
        <item x="303"/>
        <item x="379"/>
        <item x="516"/>
        <item x="467"/>
        <item x="129"/>
        <item x="12"/>
        <item x="470"/>
        <item x="79"/>
        <item x="22"/>
        <item x="370"/>
        <item x="128"/>
        <item x="96"/>
        <item x="186"/>
        <item x="31"/>
        <item x="421"/>
        <item x="119"/>
        <item x="120"/>
        <item x="415"/>
        <item x="279"/>
        <item x="11"/>
        <item x="474"/>
        <item x="405"/>
        <item x="432"/>
        <item x="267"/>
        <item x="165"/>
        <item x="373"/>
        <item x="425"/>
        <item x="555"/>
        <item x="114"/>
        <item x="266"/>
        <item x="205"/>
        <item x="535"/>
        <item x="549"/>
        <item x="101"/>
        <item x="558"/>
        <item x="183"/>
        <item x="482"/>
        <item x="107"/>
        <item x="472"/>
        <item x="392"/>
        <item x="184"/>
        <item x="62"/>
        <item x="344"/>
        <item x="435"/>
        <item x="179"/>
        <item x="69"/>
        <item x="487"/>
        <item x="213"/>
        <item x="193"/>
        <item x="619"/>
        <item x="268"/>
        <item x="324"/>
        <item x="297"/>
        <item x="526"/>
        <item x="242"/>
        <item x="361"/>
        <item x="14"/>
        <item x="5"/>
        <item x="583"/>
        <item x="189"/>
        <item x="202"/>
        <item x="65"/>
        <item x="585"/>
        <item x="218"/>
        <item t="default"/>
      </items>
    </pivotField>
    <pivotField showAll="0"/>
    <pivotField showAll="0"/>
    <pivotField showAll="0"/>
    <pivotField showAll="0"/>
    <pivotField axis="axisRow" showAll="0" sortType="descending">
      <items count="7">
        <item x="4"/>
        <item x="1"/>
        <item x="3"/>
        <item x="0"/>
        <item h="1" x="5"/>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axis="axisPage" multipleItemSelectionAllowed="1" showAll="0">
      <items count="6">
        <item h="1" x="3"/>
        <item x="2"/>
        <item h="1" x="1"/>
        <item h="1" x="0"/>
        <item h="1" x="4"/>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6">
    <i>
      <x v="2"/>
    </i>
    <i>
      <x v="1"/>
    </i>
    <i>
      <x v="3"/>
    </i>
    <i>
      <x/>
    </i>
    <i>
      <x v="5"/>
    </i>
    <i t="grand">
      <x/>
    </i>
  </rowItems>
  <colItems count="1">
    <i/>
  </colItems>
  <pageFields count="1">
    <pageField fld="15" hier="-1"/>
  </pageFields>
  <dataFields count="1">
    <dataField name="Sum of Revenue" fld="16" baseField="0" baseItem="0" numFmtId="164"/>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666FAE6-C2FA-47B8-9467-B4F620AABCFD}" name="Order fullfilment" cacheId="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38:B39" firstHeaderRow="1" firstDataRow="1" firstDataCol="0"/>
  <pivotFields count="3">
    <pivotField numFmtId="165" showAll="0"/>
    <pivotField numFmtId="166" showAll="0"/>
    <pivotField dataField="1" numFmtId="9" showAll="0">
      <items count="2">
        <item x="0"/>
        <item t="default"/>
      </items>
    </pivotField>
  </pivotFields>
  <rowItems count="1">
    <i/>
  </rowItems>
  <colItems count="1">
    <i/>
  </colItems>
  <dataFields count="1">
    <dataField name="Sum of Order fulfillment rate" fld="2"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ECC8AAA-AE6E-4538-A631-0BB10118672F}" name="Cancelled order " cacheId="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D38:D39" firstHeaderRow="1" firstDataRow="1" firstDataCol="0"/>
  <pivotFields count="3">
    <pivotField numFmtId="165" showAll="0"/>
    <pivotField dataField="1" numFmtId="166" showAll="0"/>
    <pivotField numFmtId="9" showAll="0"/>
  </pivotFields>
  <rowItems count="1">
    <i/>
  </rowItems>
  <colItems count="1">
    <i/>
  </colItems>
  <dataFields count="1">
    <dataField name="Sum of Cancelled Order Value" fld="1"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744F6A6-1BA8-4B1E-9012-2C57282D7835}"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G45:H46" firstHeaderRow="1" firstDataRow="1" firstDataCol="1"/>
  <pivotFields count="20">
    <pivotField showAll="0"/>
    <pivotField showAll="0"/>
    <pivotField showAll="0">
      <items count="624">
        <item x="341"/>
        <item x="37"/>
        <item x="93"/>
        <item x="363"/>
        <item x="1"/>
        <item x="16"/>
        <item x="514"/>
        <item x="350"/>
        <item x="378"/>
        <item x="460"/>
        <item x="566"/>
        <item x="84"/>
        <item x="306"/>
        <item x="357"/>
        <item x="81"/>
        <item x="168"/>
        <item x="489"/>
        <item x="553"/>
        <item x="161"/>
        <item x="317"/>
        <item x="501"/>
        <item x="464"/>
        <item x="204"/>
        <item x="140"/>
        <item x="406"/>
        <item x="66"/>
        <item x="278"/>
        <item x="89"/>
        <item x="335"/>
        <item x="540"/>
        <item x="442"/>
        <item x="621"/>
        <item x="21"/>
        <item x="468"/>
        <item x="548"/>
        <item x="100"/>
        <item x="88"/>
        <item x="131"/>
        <item x="275"/>
        <item x="304"/>
        <item x="498"/>
        <item x="177"/>
        <item x="24"/>
        <item x="198"/>
        <item x="67"/>
        <item x="284"/>
        <item x="229"/>
        <item x="398"/>
        <item x="238"/>
        <item x="620"/>
        <item x="407"/>
        <item x="80"/>
        <item x="340"/>
        <item x="544"/>
        <item x="476"/>
        <item x="455"/>
        <item x="592"/>
        <item x="477"/>
        <item x="232"/>
        <item x="281"/>
        <item x="612"/>
        <item x="532"/>
        <item x="58"/>
        <item x="609"/>
        <item x="458"/>
        <item x="445"/>
        <item x="116"/>
        <item x="500"/>
        <item x="410"/>
        <item x="416"/>
        <item x="231"/>
        <item x="77"/>
        <item x="78"/>
        <item x="412"/>
        <item x="307"/>
        <item x="393"/>
        <item x="401"/>
        <item x="47"/>
        <item x="313"/>
        <item x="336"/>
        <item x="437"/>
        <item x="262"/>
        <item x="590"/>
        <item x="34"/>
        <item x="40"/>
        <item x="64"/>
        <item x="85"/>
        <item x="48"/>
        <item x="206"/>
        <item x="108"/>
        <item x="7"/>
        <item x="296"/>
        <item x="264"/>
        <item x="600"/>
        <item x="86"/>
        <item x="117"/>
        <item x="318"/>
        <item x="364"/>
        <item x="102"/>
        <item x="214"/>
        <item x="226"/>
        <item x="587"/>
        <item x="611"/>
        <item x="608"/>
        <item x="314"/>
        <item x="174"/>
        <item x="565"/>
        <item x="142"/>
        <item x="454"/>
        <item x="599"/>
        <item x="459"/>
        <item x="225"/>
        <item x="83"/>
        <item x="30"/>
        <item x="400"/>
        <item x="35"/>
        <item x="491"/>
        <item x="353"/>
        <item x="105"/>
        <item x="469"/>
        <item x="29"/>
        <item x="176"/>
        <item x="221"/>
        <item x="327"/>
        <item x="586"/>
        <item x="203"/>
        <item x="157"/>
        <item x="622"/>
        <item x="522"/>
        <item x="450"/>
        <item x="127"/>
        <item x="26"/>
        <item x="387"/>
        <item x="593"/>
        <item x="99"/>
        <item x="465"/>
        <item x="123"/>
        <item x="408"/>
        <item x="332"/>
        <item x="604"/>
        <item x="122"/>
        <item x="145"/>
        <item x="589"/>
        <item x="271"/>
        <item x="595"/>
        <item x="573"/>
        <item x="560"/>
        <item x="195"/>
        <item x="139"/>
        <item x="345"/>
        <item x="402"/>
        <item x="209"/>
        <item x="257"/>
        <item x="577"/>
        <item x="338"/>
        <item x="51"/>
        <item x="404"/>
        <item x="104"/>
        <item x="348"/>
        <item x="564"/>
        <item x="382"/>
        <item x="94"/>
        <item x="359"/>
        <item x="386"/>
        <item x="166"/>
        <item x="355"/>
        <item x="524"/>
        <item x="241"/>
        <item x="246"/>
        <item x="371"/>
        <item x="457"/>
        <item x="576"/>
        <item x="149"/>
        <item x="479"/>
        <item x="23"/>
        <item x="351"/>
        <item x="319"/>
        <item x="574"/>
        <item x="499"/>
        <item x="603"/>
        <item x="212"/>
        <item x="190"/>
        <item x="18"/>
        <item x="276"/>
        <item x="181"/>
        <item x="443"/>
        <item x="551"/>
        <item x="466"/>
        <item x="536"/>
        <item x="54"/>
        <item x="211"/>
        <item x="346"/>
        <item x="512"/>
        <item x="581"/>
        <item x="360"/>
        <item x="559"/>
        <item x="2"/>
        <item x="228"/>
        <item x="277"/>
        <item x="118"/>
        <item x="506"/>
        <item x="343"/>
        <item x="124"/>
        <item x="194"/>
        <item x="503"/>
        <item x="374"/>
        <item x="452"/>
        <item x="111"/>
        <item x="325"/>
        <item x="305"/>
        <item x="73"/>
        <item x="150"/>
        <item x="492"/>
        <item x="272"/>
        <item x="488"/>
        <item x="413"/>
        <item x="504"/>
        <item x="135"/>
        <item x="320"/>
        <item x="143"/>
        <item x="481"/>
        <item x="333"/>
        <item x="265"/>
        <item x="49"/>
        <item x="562"/>
        <item x="334"/>
        <item x="607"/>
        <item x="223"/>
        <item x="163"/>
        <item x="617"/>
        <item x="569"/>
        <item x="235"/>
        <item x="219"/>
        <item x="517"/>
        <item x="582"/>
        <item x="255"/>
        <item x="188"/>
        <item x="180"/>
        <item x="527"/>
        <item x="399"/>
        <item x="511"/>
        <item x="172"/>
        <item x="417"/>
        <item x="494"/>
        <item x="434"/>
        <item x="429"/>
        <item x="258"/>
        <item x="463"/>
        <item x="365"/>
        <item x="162"/>
        <item x="556"/>
        <item x="38"/>
        <item x="76"/>
        <item x="269"/>
        <item x="156"/>
        <item x="523"/>
        <item x="154"/>
        <item x="381"/>
        <item x="462"/>
        <item x="588"/>
        <item x="389"/>
        <item x="301"/>
        <item x="530"/>
        <item x="507"/>
        <item x="253"/>
        <item x="3"/>
        <item x="300"/>
        <item x="130"/>
        <item x="610"/>
        <item x="484"/>
        <item x="602"/>
        <item x="383"/>
        <item x="61"/>
        <item x="249"/>
        <item x="43"/>
        <item x="571"/>
        <item x="191"/>
        <item x="485"/>
        <item x="508"/>
        <item x="591"/>
        <item x="245"/>
        <item x="138"/>
        <item x="19"/>
        <item x="554"/>
        <item x="121"/>
        <item x="97"/>
        <item x="422"/>
        <item x="217"/>
        <item x="431"/>
        <item x="148"/>
        <item x="495"/>
        <item x="342"/>
        <item x="534"/>
        <item x="531"/>
        <item x="164"/>
        <item x="227"/>
        <item x="92"/>
        <item x="423"/>
        <item x="510"/>
        <item x="302"/>
        <item x="175"/>
        <item x="367"/>
        <item x="545"/>
        <item x="260"/>
        <item x="230"/>
        <item x="509"/>
        <item x="146"/>
        <item x="391"/>
        <item x="441"/>
        <item x="578"/>
        <item x="53"/>
        <item x="598"/>
        <item x="46"/>
        <item x="248"/>
        <item x="233"/>
        <item x="372"/>
        <item x="52"/>
        <item x="337"/>
        <item x="520"/>
        <item x="273"/>
        <item x="261"/>
        <item x="394"/>
        <item x="147"/>
        <item x="263"/>
        <item x="563"/>
        <item x="270"/>
        <item x="475"/>
        <item x="160"/>
        <item x="440"/>
        <item x="330"/>
        <item x="171"/>
        <item x="385"/>
        <item x="103"/>
        <item x="187"/>
        <item x="615"/>
        <item x="428"/>
        <item x="215"/>
        <item x="403"/>
        <item x="112"/>
        <item x="259"/>
        <item x="224"/>
        <item x="71"/>
        <item x="444"/>
        <item x="539"/>
        <item x="414"/>
        <item x="496"/>
        <item x="239"/>
        <item x="243"/>
        <item x="137"/>
        <item x="182"/>
        <item x="368"/>
        <item x="449"/>
        <item x="419"/>
        <item x="613"/>
        <item x="570"/>
        <item x="106"/>
        <item x="572"/>
        <item x="173"/>
        <item x="596"/>
        <item x="134"/>
        <item x="366"/>
        <item x="133"/>
        <item x="17"/>
        <item x="384"/>
        <item x="208"/>
        <item x="388"/>
        <item x="126"/>
        <item x="98"/>
        <item x="110"/>
        <item x="321"/>
        <item x="290"/>
        <item x="0"/>
        <item x="33"/>
        <item x="60"/>
        <item x="56"/>
        <item x="575"/>
        <item x="274"/>
        <item x="329"/>
        <item x="311"/>
        <item x="13"/>
        <item x="159"/>
        <item x="20"/>
        <item x="597"/>
        <item x="254"/>
        <item x="362"/>
        <item x="471"/>
        <item x="27"/>
        <item x="158"/>
        <item x="32"/>
        <item x="251"/>
        <item x="349"/>
        <item x="497"/>
        <item x="299"/>
        <item x="240"/>
        <item x="561"/>
        <item x="59"/>
        <item x="515"/>
        <item x="316"/>
        <item x="247"/>
        <item x="358"/>
        <item x="28"/>
        <item x="167"/>
        <item x="418"/>
        <item x="483"/>
        <item x="42"/>
        <item x="282"/>
        <item x="409"/>
        <item x="395"/>
        <item x="293"/>
        <item x="68"/>
        <item x="151"/>
        <item x="90"/>
        <item x="70"/>
        <item x="547"/>
        <item x="315"/>
        <item x="552"/>
        <item x="490"/>
        <item x="447"/>
        <item x="197"/>
        <item x="4"/>
        <item x="502"/>
        <item x="285"/>
        <item x="192"/>
        <item x="45"/>
        <item x="331"/>
        <item x="82"/>
        <item x="310"/>
        <item x="125"/>
        <item x="480"/>
        <item x="286"/>
        <item x="207"/>
        <item x="377"/>
        <item x="594"/>
        <item x="326"/>
        <item x="199"/>
        <item x="568"/>
        <item x="618"/>
        <item x="323"/>
        <item x="237"/>
        <item x="493"/>
        <item x="451"/>
        <item x="87"/>
        <item x="144"/>
        <item x="380"/>
        <item x="39"/>
        <item x="478"/>
        <item x="352"/>
        <item x="220"/>
        <item x="390"/>
        <item x="109"/>
        <item x="236"/>
        <item x="513"/>
        <item x="141"/>
        <item x="580"/>
        <item x="453"/>
        <item x="521"/>
        <item x="541"/>
        <item x="550"/>
        <item x="411"/>
        <item x="250"/>
        <item x="557"/>
        <item x="376"/>
        <item x="397"/>
        <item x="546"/>
        <item x="525"/>
        <item x="280"/>
        <item x="113"/>
        <item x="41"/>
        <item x="216"/>
        <item x="132"/>
        <item x="91"/>
        <item x="369"/>
        <item x="298"/>
        <item x="606"/>
        <item x="436"/>
        <item x="427"/>
        <item x="542"/>
        <item x="252"/>
        <item x="486"/>
        <item x="36"/>
        <item x="25"/>
        <item x="201"/>
        <item x="537"/>
        <item x="420"/>
        <item x="456"/>
        <item x="438"/>
        <item x="294"/>
        <item x="356"/>
        <item x="136"/>
        <item x="244"/>
        <item x="155"/>
        <item x="288"/>
        <item x="95"/>
        <item x="15"/>
        <item x="200"/>
        <item x="295"/>
        <item x="55"/>
        <item x="153"/>
        <item x="292"/>
        <item x="614"/>
        <item x="461"/>
        <item x="424"/>
        <item x="8"/>
        <item x="312"/>
        <item x="616"/>
        <item x="115"/>
        <item x="375"/>
        <item x="430"/>
        <item x="152"/>
        <item x="283"/>
        <item x="584"/>
        <item x="9"/>
        <item x="533"/>
        <item x="234"/>
        <item x="328"/>
        <item x="72"/>
        <item x="44"/>
        <item x="601"/>
        <item x="63"/>
        <item x="178"/>
        <item x="473"/>
        <item x="538"/>
        <item x="170"/>
        <item x="57"/>
        <item x="222"/>
        <item x="354"/>
        <item x="605"/>
        <item x="291"/>
        <item x="75"/>
        <item x="396"/>
        <item x="446"/>
        <item x="196"/>
        <item x="519"/>
        <item x="50"/>
        <item x="10"/>
        <item x="528"/>
        <item x="289"/>
        <item x="185"/>
        <item x="287"/>
        <item x="256"/>
        <item x="543"/>
        <item x="322"/>
        <item x="448"/>
        <item x="6"/>
        <item x="518"/>
        <item x="308"/>
        <item x="309"/>
        <item x="505"/>
        <item x="339"/>
        <item x="426"/>
        <item x="169"/>
        <item x="74"/>
        <item x="210"/>
        <item x="579"/>
        <item x="439"/>
        <item x="529"/>
        <item x="567"/>
        <item x="433"/>
        <item x="347"/>
        <item x="303"/>
        <item x="379"/>
        <item x="516"/>
        <item x="467"/>
        <item x="129"/>
        <item x="12"/>
        <item x="470"/>
        <item x="79"/>
        <item x="22"/>
        <item x="370"/>
        <item x="128"/>
        <item x="96"/>
        <item x="186"/>
        <item x="31"/>
        <item x="421"/>
        <item x="119"/>
        <item x="120"/>
        <item x="415"/>
        <item x="279"/>
        <item x="11"/>
        <item x="474"/>
        <item x="405"/>
        <item x="432"/>
        <item x="267"/>
        <item x="165"/>
        <item x="373"/>
        <item x="425"/>
        <item x="555"/>
        <item x="114"/>
        <item x="266"/>
        <item x="205"/>
        <item x="535"/>
        <item x="549"/>
        <item x="101"/>
        <item x="558"/>
        <item x="183"/>
        <item x="482"/>
        <item x="107"/>
        <item x="472"/>
        <item x="392"/>
        <item x="184"/>
        <item x="62"/>
        <item x="344"/>
        <item x="435"/>
        <item x="179"/>
        <item x="69"/>
        <item x="487"/>
        <item x="213"/>
        <item x="193"/>
        <item x="619"/>
        <item x="268"/>
        <item x="324"/>
        <item x="297"/>
        <item x="526"/>
        <item x="242"/>
        <item x="361"/>
        <item x="14"/>
        <item x="5"/>
        <item x="583"/>
        <item x="189"/>
        <item x="202"/>
        <item x="65"/>
        <item x="585"/>
        <item x="218"/>
        <item t="default"/>
      </items>
    </pivotField>
    <pivotField showAll="0"/>
    <pivotField showAll="0"/>
    <pivotField showAll="0"/>
    <pivotField showAll="0"/>
    <pivotField showAll="0">
      <items count="7">
        <item x="4"/>
        <item x="1"/>
        <item x="3"/>
        <item x="0"/>
        <item x="5"/>
        <item x="2"/>
        <item t="default"/>
      </items>
    </pivotField>
    <pivotField showAll="0"/>
    <pivotField showAll="0"/>
    <pivotField showAll="0"/>
    <pivotField showAll="0"/>
    <pivotField showAll="0"/>
    <pivotField showAll="0"/>
    <pivotField showAll="0"/>
    <pivotField axis="axisRow" showAll="0">
      <items count="6">
        <item h="1" x="3"/>
        <item x="2"/>
        <item h="1" x="1"/>
        <item h="1" x="0"/>
        <item h="1" x="4"/>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5"/>
  </rowFields>
  <rowItems count="1">
    <i>
      <x v="1"/>
    </i>
  </rowItems>
  <colItems count="1">
    <i/>
  </colItems>
  <dataFields count="1">
    <dataField name="Sum of Revenue"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7BEDCEA-4EB4-4CBE-8854-78B0958BA2D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7:H23" firstHeaderRow="1" firstDataRow="1" firstDataCol="1" rowPageCount="1" colPageCount="1"/>
  <pivotFields count="20">
    <pivotField showAll="0"/>
    <pivotField showAll="0"/>
    <pivotField showAll="0">
      <items count="624">
        <item x="341"/>
        <item x="37"/>
        <item x="93"/>
        <item x="363"/>
        <item x="1"/>
        <item x="16"/>
        <item x="514"/>
        <item x="350"/>
        <item x="378"/>
        <item x="460"/>
        <item x="566"/>
        <item x="84"/>
        <item x="306"/>
        <item x="357"/>
        <item x="81"/>
        <item x="168"/>
        <item x="489"/>
        <item x="553"/>
        <item x="161"/>
        <item x="317"/>
        <item x="501"/>
        <item x="464"/>
        <item x="204"/>
        <item x="140"/>
        <item x="406"/>
        <item x="66"/>
        <item x="278"/>
        <item x="89"/>
        <item x="335"/>
        <item x="540"/>
        <item x="442"/>
        <item x="621"/>
        <item x="21"/>
        <item x="468"/>
        <item x="548"/>
        <item x="100"/>
        <item x="88"/>
        <item x="131"/>
        <item x="275"/>
        <item x="304"/>
        <item x="498"/>
        <item x="177"/>
        <item x="24"/>
        <item x="198"/>
        <item x="67"/>
        <item x="284"/>
        <item x="229"/>
        <item x="398"/>
        <item x="238"/>
        <item x="620"/>
        <item x="407"/>
        <item x="80"/>
        <item x="340"/>
        <item x="544"/>
        <item x="476"/>
        <item x="455"/>
        <item x="592"/>
        <item x="477"/>
        <item x="232"/>
        <item x="281"/>
        <item x="612"/>
        <item x="532"/>
        <item x="58"/>
        <item x="609"/>
        <item x="458"/>
        <item x="445"/>
        <item x="116"/>
        <item x="500"/>
        <item x="410"/>
        <item x="416"/>
        <item x="231"/>
        <item x="77"/>
        <item x="78"/>
        <item x="412"/>
        <item x="307"/>
        <item x="393"/>
        <item x="401"/>
        <item x="47"/>
        <item x="313"/>
        <item x="336"/>
        <item x="437"/>
        <item x="262"/>
        <item x="590"/>
        <item x="34"/>
        <item x="40"/>
        <item x="64"/>
        <item x="85"/>
        <item x="48"/>
        <item x="206"/>
        <item x="108"/>
        <item x="7"/>
        <item x="296"/>
        <item x="264"/>
        <item x="600"/>
        <item x="86"/>
        <item x="117"/>
        <item x="318"/>
        <item x="364"/>
        <item x="102"/>
        <item x="214"/>
        <item x="226"/>
        <item x="587"/>
        <item x="611"/>
        <item x="608"/>
        <item x="314"/>
        <item x="174"/>
        <item x="565"/>
        <item x="142"/>
        <item x="454"/>
        <item x="599"/>
        <item x="459"/>
        <item x="225"/>
        <item x="83"/>
        <item x="30"/>
        <item x="400"/>
        <item x="35"/>
        <item x="491"/>
        <item x="353"/>
        <item x="105"/>
        <item x="469"/>
        <item x="29"/>
        <item x="176"/>
        <item x="221"/>
        <item x="327"/>
        <item x="586"/>
        <item x="203"/>
        <item x="157"/>
        <item x="622"/>
        <item x="522"/>
        <item x="450"/>
        <item x="127"/>
        <item x="26"/>
        <item x="387"/>
        <item x="593"/>
        <item x="99"/>
        <item x="465"/>
        <item x="123"/>
        <item x="408"/>
        <item x="332"/>
        <item x="604"/>
        <item x="122"/>
        <item x="145"/>
        <item x="589"/>
        <item x="271"/>
        <item x="595"/>
        <item x="573"/>
        <item x="560"/>
        <item x="195"/>
        <item x="139"/>
        <item x="345"/>
        <item x="402"/>
        <item x="209"/>
        <item x="257"/>
        <item x="577"/>
        <item x="338"/>
        <item x="51"/>
        <item x="404"/>
        <item x="104"/>
        <item x="348"/>
        <item x="564"/>
        <item x="382"/>
        <item x="94"/>
        <item x="359"/>
        <item x="386"/>
        <item x="166"/>
        <item x="355"/>
        <item x="524"/>
        <item x="241"/>
        <item x="246"/>
        <item x="371"/>
        <item x="457"/>
        <item x="576"/>
        <item x="149"/>
        <item x="479"/>
        <item x="23"/>
        <item x="351"/>
        <item x="319"/>
        <item x="574"/>
        <item x="499"/>
        <item x="603"/>
        <item x="212"/>
        <item x="190"/>
        <item x="18"/>
        <item x="276"/>
        <item x="181"/>
        <item x="443"/>
        <item x="551"/>
        <item x="466"/>
        <item x="536"/>
        <item x="54"/>
        <item x="211"/>
        <item x="346"/>
        <item x="512"/>
        <item x="581"/>
        <item x="360"/>
        <item x="559"/>
        <item x="2"/>
        <item x="228"/>
        <item x="277"/>
        <item x="118"/>
        <item x="506"/>
        <item x="343"/>
        <item x="124"/>
        <item x="194"/>
        <item x="503"/>
        <item x="374"/>
        <item x="452"/>
        <item x="111"/>
        <item x="325"/>
        <item x="305"/>
        <item x="73"/>
        <item x="150"/>
        <item x="492"/>
        <item x="272"/>
        <item x="488"/>
        <item x="413"/>
        <item x="504"/>
        <item x="135"/>
        <item x="320"/>
        <item x="143"/>
        <item x="481"/>
        <item x="333"/>
        <item x="265"/>
        <item x="49"/>
        <item x="562"/>
        <item x="334"/>
        <item x="607"/>
        <item x="223"/>
        <item x="163"/>
        <item x="617"/>
        <item x="569"/>
        <item x="235"/>
        <item x="219"/>
        <item x="517"/>
        <item x="582"/>
        <item x="255"/>
        <item x="188"/>
        <item x="180"/>
        <item x="527"/>
        <item x="399"/>
        <item x="511"/>
        <item x="172"/>
        <item x="417"/>
        <item x="494"/>
        <item x="434"/>
        <item x="429"/>
        <item x="258"/>
        <item x="463"/>
        <item x="365"/>
        <item x="162"/>
        <item x="556"/>
        <item x="38"/>
        <item x="76"/>
        <item x="269"/>
        <item x="156"/>
        <item x="523"/>
        <item x="154"/>
        <item x="381"/>
        <item x="462"/>
        <item x="588"/>
        <item x="389"/>
        <item x="301"/>
        <item x="530"/>
        <item x="507"/>
        <item x="253"/>
        <item x="3"/>
        <item x="300"/>
        <item x="130"/>
        <item x="610"/>
        <item x="484"/>
        <item x="602"/>
        <item x="383"/>
        <item x="61"/>
        <item x="249"/>
        <item x="43"/>
        <item x="571"/>
        <item x="191"/>
        <item x="485"/>
        <item x="508"/>
        <item x="591"/>
        <item x="245"/>
        <item x="138"/>
        <item x="19"/>
        <item x="554"/>
        <item x="121"/>
        <item x="97"/>
        <item x="422"/>
        <item x="217"/>
        <item x="431"/>
        <item x="148"/>
        <item x="495"/>
        <item x="342"/>
        <item x="534"/>
        <item x="531"/>
        <item x="164"/>
        <item x="227"/>
        <item x="92"/>
        <item x="423"/>
        <item x="510"/>
        <item x="302"/>
        <item x="175"/>
        <item x="367"/>
        <item x="545"/>
        <item x="260"/>
        <item x="230"/>
        <item x="509"/>
        <item x="146"/>
        <item x="391"/>
        <item x="441"/>
        <item x="578"/>
        <item x="53"/>
        <item x="598"/>
        <item x="46"/>
        <item x="248"/>
        <item x="233"/>
        <item x="372"/>
        <item x="52"/>
        <item x="337"/>
        <item x="520"/>
        <item x="273"/>
        <item x="261"/>
        <item x="394"/>
        <item x="147"/>
        <item x="263"/>
        <item x="563"/>
        <item x="270"/>
        <item x="475"/>
        <item x="160"/>
        <item x="440"/>
        <item x="330"/>
        <item x="171"/>
        <item x="385"/>
        <item x="103"/>
        <item x="187"/>
        <item x="615"/>
        <item x="428"/>
        <item x="215"/>
        <item x="403"/>
        <item x="112"/>
        <item x="259"/>
        <item x="224"/>
        <item x="71"/>
        <item x="444"/>
        <item x="539"/>
        <item x="414"/>
        <item x="496"/>
        <item x="239"/>
        <item x="243"/>
        <item x="137"/>
        <item x="182"/>
        <item x="368"/>
        <item x="449"/>
        <item x="419"/>
        <item x="613"/>
        <item x="570"/>
        <item x="106"/>
        <item x="572"/>
        <item x="173"/>
        <item x="596"/>
        <item x="134"/>
        <item x="366"/>
        <item x="133"/>
        <item x="17"/>
        <item x="384"/>
        <item x="208"/>
        <item x="388"/>
        <item x="126"/>
        <item x="98"/>
        <item x="110"/>
        <item x="321"/>
        <item x="290"/>
        <item x="0"/>
        <item x="33"/>
        <item x="60"/>
        <item x="56"/>
        <item x="575"/>
        <item x="274"/>
        <item x="329"/>
        <item x="311"/>
        <item x="13"/>
        <item x="159"/>
        <item x="20"/>
        <item x="597"/>
        <item x="254"/>
        <item x="362"/>
        <item x="471"/>
        <item x="27"/>
        <item x="158"/>
        <item x="32"/>
        <item x="251"/>
        <item x="349"/>
        <item x="497"/>
        <item x="299"/>
        <item x="240"/>
        <item x="561"/>
        <item x="59"/>
        <item x="515"/>
        <item x="316"/>
        <item x="247"/>
        <item x="358"/>
        <item x="28"/>
        <item x="167"/>
        <item x="418"/>
        <item x="483"/>
        <item x="42"/>
        <item x="282"/>
        <item x="409"/>
        <item x="395"/>
        <item x="293"/>
        <item x="68"/>
        <item x="151"/>
        <item x="90"/>
        <item x="70"/>
        <item x="547"/>
        <item x="315"/>
        <item x="552"/>
        <item x="490"/>
        <item x="447"/>
        <item x="197"/>
        <item x="4"/>
        <item x="502"/>
        <item x="285"/>
        <item x="192"/>
        <item x="45"/>
        <item x="331"/>
        <item x="82"/>
        <item x="310"/>
        <item x="125"/>
        <item x="480"/>
        <item x="286"/>
        <item x="207"/>
        <item x="377"/>
        <item x="594"/>
        <item x="326"/>
        <item x="199"/>
        <item x="568"/>
        <item x="618"/>
        <item x="323"/>
        <item x="237"/>
        <item x="493"/>
        <item x="451"/>
        <item x="87"/>
        <item x="144"/>
        <item x="380"/>
        <item x="39"/>
        <item x="478"/>
        <item x="352"/>
        <item x="220"/>
        <item x="390"/>
        <item x="109"/>
        <item x="236"/>
        <item x="513"/>
        <item x="141"/>
        <item x="580"/>
        <item x="453"/>
        <item x="521"/>
        <item x="541"/>
        <item x="550"/>
        <item x="411"/>
        <item x="250"/>
        <item x="557"/>
        <item x="376"/>
        <item x="397"/>
        <item x="546"/>
        <item x="525"/>
        <item x="280"/>
        <item x="113"/>
        <item x="41"/>
        <item x="216"/>
        <item x="132"/>
        <item x="91"/>
        <item x="369"/>
        <item x="298"/>
        <item x="606"/>
        <item x="436"/>
        <item x="427"/>
        <item x="542"/>
        <item x="252"/>
        <item x="486"/>
        <item x="36"/>
        <item x="25"/>
        <item x="201"/>
        <item x="537"/>
        <item x="420"/>
        <item x="456"/>
        <item x="438"/>
        <item x="294"/>
        <item x="356"/>
        <item x="136"/>
        <item x="244"/>
        <item x="155"/>
        <item x="288"/>
        <item x="95"/>
        <item x="15"/>
        <item x="200"/>
        <item x="295"/>
        <item x="55"/>
        <item x="153"/>
        <item x="292"/>
        <item x="614"/>
        <item x="461"/>
        <item x="424"/>
        <item x="8"/>
        <item x="312"/>
        <item x="616"/>
        <item x="115"/>
        <item x="375"/>
        <item x="430"/>
        <item x="152"/>
        <item x="283"/>
        <item x="584"/>
        <item x="9"/>
        <item x="533"/>
        <item x="234"/>
        <item x="328"/>
        <item x="72"/>
        <item x="44"/>
        <item x="601"/>
        <item x="63"/>
        <item x="178"/>
        <item x="473"/>
        <item x="538"/>
        <item x="170"/>
        <item x="57"/>
        <item x="222"/>
        <item x="354"/>
        <item x="605"/>
        <item x="291"/>
        <item x="75"/>
        <item x="396"/>
        <item x="446"/>
        <item x="196"/>
        <item x="519"/>
        <item x="50"/>
        <item x="10"/>
        <item x="528"/>
        <item x="289"/>
        <item x="185"/>
        <item x="287"/>
        <item x="256"/>
        <item x="543"/>
        <item x="322"/>
        <item x="448"/>
        <item x="6"/>
        <item x="518"/>
        <item x="308"/>
        <item x="309"/>
        <item x="505"/>
        <item x="339"/>
        <item x="426"/>
        <item x="169"/>
        <item x="74"/>
        <item x="210"/>
        <item x="579"/>
        <item x="439"/>
        <item x="529"/>
        <item x="567"/>
        <item x="433"/>
        <item x="347"/>
        <item x="303"/>
        <item x="379"/>
        <item x="516"/>
        <item x="467"/>
        <item x="129"/>
        <item x="12"/>
        <item x="470"/>
        <item x="79"/>
        <item x="22"/>
        <item x="370"/>
        <item x="128"/>
        <item x="96"/>
        <item x="186"/>
        <item x="31"/>
        <item x="421"/>
        <item x="119"/>
        <item x="120"/>
        <item x="415"/>
        <item x="279"/>
        <item x="11"/>
        <item x="474"/>
        <item x="405"/>
        <item x="432"/>
        <item x="267"/>
        <item x="165"/>
        <item x="373"/>
        <item x="425"/>
        <item x="555"/>
        <item x="114"/>
        <item x="266"/>
        <item x="205"/>
        <item x="535"/>
        <item x="549"/>
        <item x="101"/>
        <item x="558"/>
        <item x="183"/>
        <item x="482"/>
        <item x="107"/>
        <item x="472"/>
        <item x="392"/>
        <item x="184"/>
        <item x="62"/>
        <item x="344"/>
        <item x="435"/>
        <item x="179"/>
        <item x="69"/>
        <item x="487"/>
        <item x="213"/>
        <item x="193"/>
        <item x="619"/>
        <item x="268"/>
        <item x="324"/>
        <item x="297"/>
        <item x="526"/>
        <item x="242"/>
        <item x="361"/>
        <item x="14"/>
        <item x="5"/>
        <item x="583"/>
        <item x="189"/>
        <item x="202"/>
        <item x="65"/>
        <item x="585"/>
        <item x="218"/>
        <item t="default"/>
      </items>
    </pivotField>
    <pivotField showAll="0"/>
    <pivotField showAll="0"/>
    <pivotField showAll="0"/>
    <pivotField showAll="0"/>
    <pivotField axis="axisRow" showAll="0" sortType="descending">
      <items count="7">
        <item x="4"/>
        <item x="1"/>
        <item x="3"/>
        <item x="0"/>
        <item h="1" x="5"/>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axis="axisPage" multipleItemSelectionAllowed="1" showAll="0">
      <items count="6">
        <item h="1" x="3"/>
        <item x="2"/>
        <item h="1" x="1"/>
        <item h="1" x="0"/>
        <item h="1" x="4"/>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6">
    <i>
      <x v="2"/>
    </i>
    <i>
      <x v="1"/>
    </i>
    <i>
      <x v="3"/>
    </i>
    <i>
      <x/>
    </i>
    <i>
      <x v="5"/>
    </i>
    <i t="grand">
      <x/>
    </i>
  </rowItems>
  <colItems count="1">
    <i/>
  </colItems>
  <pageFields count="1">
    <pageField fld="15" hier="-1"/>
  </pageFields>
  <dataFields count="1">
    <dataField name="Sum of Revenue" fld="1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796B155-DBCA-41A3-A848-9F5EF96BC49D}" name="Total_sales"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8:E39" firstHeaderRow="1" firstDataRow="1" firstDataCol="0"/>
  <pivotFields count="3">
    <pivotField dataField="1" numFmtId="165" showAll="0"/>
    <pivotField numFmtId="166" showAll="0"/>
    <pivotField numFmtId="9" showAll="0"/>
  </pivotFields>
  <rowItems count="1">
    <i/>
  </rowItems>
  <colItems count="1">
    <i/>
  </colItems>
  <dataFields count="1">
    <dataField name="Sum of Total Sales" fld="0"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7CF07B1-CD0E-4C82-899A-552E750098DB}" name="Revenue by 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3:K14" firstHeaderRow="1" firstDataRow="1" firstDataCol="1" rowPageCount="1" colPageCount="1"/>
  <pivotFields count="20">
    <pivotField showAll="0"/>
    <pivotField showAll="0"/>
    <pivotField showAll="0">
      <items count="624">
        <item x="341"/>
        <item x="37"/>
        <item x="93"/>
        <item x="363"/>
        <item x="1"/>
        <item x="16"/>
        <item x="514"/>
        <item x="350"/>
        <item x="378"/>
        <item x="460"/>
        <item x="566"/>
        <item x="84"/>
        <item x="306"/>
        <item x="357"/>
        <item x="81"/>
        <item x="168"/>
        <item x="489"/>
        <item x="553"/>
        <item x="161"/>
        <item x="317"/>
        <item x="501"/>
        <item x="464"/>
        <item x="204"/>
        <item x="140"/>
        <item x="406"/>
        <item x="66"/>
        <item x="278"/>
        <item x="89"/>
        <item x="335"/>
        <item x="540"/>
        <item x="442"/>
        <item x="621"/>
        <item x="21"/>
        <item x="468"/>
        <item x="548"/>
        <item x="100"/>
        <item x="88"/>
        <item x="131"/>
        <item x="275"/>
        <item x="304"/>
        <item x="498"/>
        <item x="177"/>
        <item x="24"/>
        <item x="198"/>
        <item x="67"/>
        <item x="284"/>
        <item x="229"/>
        <item x="398"/>
        <item x="238"/>
        <item x="620"/>
        <item x="407"/>
        <item x="80"/>
        <item x="340"/>
        <item x="544"/>
        <item x="476"/>
        <item x="455"/>
        <item x="592"/>
        <item x="477"/>
        <item x="232"/>
        <item x="281"/>
        <item x="612"/>
        <item x="532"/>
        <item x="58"/>
        <item x="609"/>
        <item x="458"/>
        <item x="445"/>
        <item x="116"/>
        <item x="500"/>
        <item x="410"/>
        <item x="416"/>
        <item x="231"/>
        <item x="77"/>
        <item x="78"/>
        <item x="412"/>
        <item x="307"/>
        <item x="393"/>
        <item x="401"/>
        <item x="47"/>
        <item x="313"/>
        <item x="336"/>
        <item x="437"/>
        <item x="262"/>
        <item x="590"/>
        <item x="34"/>
        <item x="40"/>
        <item x="64"/>
        <item x="85"/>
        <item x="48"/>
        <item x="206"/>
        <item x="108"/>
        <item x="7"/>
        <item x="296"/>
        <item x="264"/>
        <item x="600"/>
        <item x="86"/>
        <item x="117"/>
        <item x="318"/>
        <item x="364"/>
        <item x="102"/>
        <item x="214"/>
        <item x="226"/>
        <item x="587"/>
        <item x="611"/>
        <item x="608"/>
        <item x="314"/>
        <item x="174"/>
        <item x="565"/>
        <item x="142"/>
        <item x="454"/>
        <item x="599"/>
        <item x="459"/>
        <item x="225"/>
        <item x="83"/>
        <item x="30"/>
        <item x="400"/>
        <item x="35"/>
        <item x="491"/>
        <item x="353"/>
        <item x="105"/>
        <item x="469"/>
        <item x="29"/>
        <item x="176"/>
        <item x="221"/>
        <item x="327"/>
        <item x="586"/>
        <item x="203"/>
        <item x="157"/>
        <item x="622"/>
        <item x="522"/>
        <item x="450"/>
        <item x="127"/>
        <item x="26"/>
        <item x="387"/>
        <item x="593"/>
        <item x="99"/>
        <item x="465"/>
        <item x="123"/>
        <item x="408"/>
        <item x="332"/>
        <item x="604"/>
        <item x="122"/>
        <item x="145"/>
        <item x="589"/>
        <item x="271"/>
        <item x="595"/>
        <item x="573"/>
        <item x="560"/>
        <item x="195"/>
        <item x="139"/>
        <item x="345"/>
        <item x="402"/>
        <item x="209"/>
        <item x="257"/>
        <item x="577"/>
        <item x="338"/>
        <item x="51"/>
        <item x="404"/>
        <item x="104"/>
        <item x="348"/>
        <item x="564"/>
        <item x="382"/>
        <item x="94"/>
        <item x="359"/>
        <item x="386"/>
        <item x="166"/>
        <item x="355"/>
        <item x="524"/>
        <item x="241"/>
        <item x="246"/>
        <item x="371"/>
        <item x="457"/>
        <item x="576"/>
        <item x="149"/>
        <item x="479"/>
        <item x="23"/>
        <item x="351"/>
        <item x="319"/>
        <item x="574"/>
        <item x="499"/>
        <item x="603"/>
        <item x="212"/>
        <item x="190"/>
        <item x="18"/>
        <item x="276"/>
        <item x="181"/>
        <item x="443"/>
        <item x="551"/>
        <item x="466"/>
        <item x="536"/>
        <item x="54"/>
        <item x="211"/>
        <item x="346"/>
        <item x="512"/>
        <item x="581"/>
        <item x="360"/>
        <item x="559"/>
        <item x="2"/>
        <item x="228"/>
        <item x="277"/>
        <item x="118"/>
        <item x="506"/>
        <item x="343"/>
        <item x="124"/>
        <item x="194"/>
        <item x="503"/>
        <item x="374"/>
        <item x="452"/>
        <item x="111"/>
        <item x="325"/>
        <item x="305"/>
        <item x="73"/>
        <item x="150"/>
        <item x="492"/>
        <item x="272"/>
        <item x="488"/>
        <item x="413"/>
        <item x="504"/>
        <item x="135"/>
        <item x="320"/>
        <item x="143"/>
        <item x="481"/>
        <item x="333"/>
        <item x="265"/>
        <item x="49"/>
        <item x="562"/>
        <item x="334"/>
        <item x="607"/>
        <item x="223"/>
        <item x="163"/>
        <item x="617"/>
        <item x="569"/>
        <item x="235"/>
        <item x="219"/>
        <item x="517"/>
        <item x="582"/>
        <item x="255"/>
        <item x="188"/>
        <item x="180"/>
        <item x="527"/>
        <item x="399"/>
        <item x="511"/>
        <item x="172"/>
        <item x="417"/>
        <item x="494"/>
        <item x="434"/>
        <item x="429"/>
        <item x="258"/>
        <item x="463"/>
        <item x="365"/>
        <item x="162"/>
        <item x="556"/>
        <item x="38"/>
        <item x="76"/>
        <item x="269"/>
        <item x="156"/>
        <item x="523"/>
        <item x="154"/>
        <item x="381"/>
        <item x="462"/>
        <item x="588"/>
        <item x="389"/>
        <item x="301"/>
        <item x="530"/>
        <item x="507"/>
        <item x="253"/>
        <item x="3"/>
        <item x="300"/>
        <item x="130"/>
        <item x="610"/>
        <item x="484"/>
        <item x="602"/>
        <item x="383"/>
        <item x="61"/>
        <item x="249"/>
        <item x="43"/>
        <item x="571"/>
        <item x="191"/>
        <item x="485"/>
        <item x="508"/>
        <item x="591"/>
        <item x="245"/>
        <item x="138"/>
        <item x="19"/>
        <item x="554"/>
        <item x="121"/>
        <item x="97"/>
        <item x="422"/>
        <item x="217"/>
        <item x="431"/>
        <item x="148"/>
        <item x="495"/>
        <item x="342"/>
        <item x="534"/>
        <item x="531"/>
        <item x="164"/>
        <item x="227"/>
        <item x="92"/>
        <item x="423"/>
        <item x="510"/>
        <item x="302"/>
        <item x="175"/>
        <item x="367"/>
        <item x="545"/>
        <item x="260"/>
        <item x="230"/>
        <item x="509"/>
        <item x="146"/>
        <item x="391"/>
        <item x="441"/>
        <item x="578"/>
        <item x="53"/>
        <item x="598"/>
        <item x="46"/>
        <item x="248"/>
        <item x="233"/>
        <item x="372"/>
        <item x="52"/>
        <item x="337"/>
        <item x="520"/>
        <item x="273"/>
        <item x="261"/>
        <item x="394"/>
        <item x="147"/>
        <item x="263"/>
        <item x="563"/>
        <item x="270"/>
        <item x="475"/>
        <item x="160"/>
        <item x="440"/>
        <item x="330"/>
        <item x="171"/>
        <item x="385"/>
        <item x="103"/>
        <item x="187"/>
        <item x="615"/>
        <item x="428"/>
        <item x="215"/>
        <item x="403"/>
        <item x="112"/>
        <item x="259"/>
        <item x="224"/>
        <item x="71"/>
        <item x="444"/>
        <item x="539"/>
        <item x="414"/>
        <item x="496"/>
        <item x="239"/>
        <item x="243"/>
        <item x="137"/>
        <item x="182"/>
        <item x="368"/>
        <item x="449"/>
        <item x="419"/>
        <item x="613"/>
        <item x="570"/>
        <item x="106"/>
        <item x="572"/>
        <item x="173"/>
        <item x="596"/>
        <item x="134"/>
        <item x="366"/>
        <item x="133"/>
        <item x="17"/>
        <item x="384"/>
        <item x="208"/>
        <item x="388"/>
        <item x="126"/>
        <item x="98"/>
        <item x="110"/>
        <item x="321"/>
        <item x="290"/>
        <item x="0"/>
        <item x="33"/>
        <item x="60"/>
        <item x="56"/>
        <item x="575"/>
        <item x="274"/>
        <item x="329"/>
        <item x="311"/>
        <item x="13"/>
        <item x="159"/>
        <item x="20"/>
        <item x="597"/>
        <item x="254"/>
        <item x="362"/>
        <item x="471"/>
        <item x="27"/>
        <item x="158"/>
        <item x="32"/>
        <item x="251"/>
        <item x="349"/>
        <item x="497"/>
        <item x="299"/>
        <item x="240"/>
        <item x="561"/>
        <item x="59"/>
        <item x="515"/>
        <item x="316"/>
        <item x="247"/>
        <item x="358"/>
        <item x="28"/>
        <item x="167"/>
        <item x="418"/>
        <item x="483"/>
        <item x="42"/>
        <item x="282"/>
        <item x="409"/>
        <item x="395"/>
        <item x="293"/>
        <item x="68"/>
        <item x="151"/>
        <item x="90"/>
        <item x="70"/>
        <item x="547"/>
        <item x="315"/>
        <item x="552"/>
        <item x="490"/>
        <item x="447"/>
        <item x="197"/>
        <item x="4"/>
        <item x="502"/>
        <item x="285"/>
        <item x="192"/>
        <item x="45"/>
        <item x="331"/>
        <item x="82"/>
        <item x="310"/>
        <item x="125"/>
        <item x="480"/>
        <item x="286"/>
        <item x="207"/>
        <item x="377"/>
        <item x="594"/>
        <item x="326"/>
        <item x="199"/>
        <item x="568"/>
        <item x="618"/>
        <item x="323"/>
        <item x="237"/>
        <item x="493"/>
        <item x="451"/>
        <item x="87"/>
        <item x="144"/>
        <item x="380"/>
        <item x="39"/>
        <item x="478"/>
        <item x="352"/>
        <item x="220"/>
        <item x="390"/>
        <item x="109"/>
        <item x="236"/>
        <item x="513"/>
        <item x="141"/>
        <item x="580"/>
        <item x="453"/>
        <item x="521"/>
        <item x="541"/>
        <item x="550"/>
        <item x="411"/>
        <item x="250"/>
        <item x="557"/>
        <item x="376"/>
        <item x="397"/>
        <item x="546"/>
        <item x="525"/>
        <item x="280"/>
        <item x="113"/>
        <item x="41"/>
        <item x="216"/>
        <item x="132"/>
        <item x="91"/>
        <item x="369"/>
        <item x="298"/>
        <item x="606"/>
        <item x="436"/>
        <item x="427"/>
        <item x="542"/>
        <item x="252"/>
        <item x="486"/>
        <item x="36"/>
        <item x="25"/>
        <item x="201"/>
        <item x="537"/>
        <item x="420"/>
        <item x="456"/>
        <item x="438"/>
        <item x="294"/>
        <item x="356"/>
        <item x="136"/>
        <item x="244"/>
        <item x="155"/>
        <item x="288"/>
        <item x="95"/>
        <item x="15"/>
        <item x="200"/>
        <item x="295"/>
        <item x="55"/>
        <item x="153"/>
        <item x="292"/>
        <item x="614"/>
        <item x="461"/>
        <item x="424"/>
        <item x="8"/>
        <item x="312"/>
        <item x="616"/>
        <item x="115"/>
        <item x="375"/>
        <item x="430"/>
        <item x="152"/>
        <item x="283"/>
        <item x="584"/>
        <item x="9"/>
        <item x="533"/>
        <item x="234"/>
        <item x="328"/>
        <item x="72"/>
        <item x="44"/>
        <item x="601"/>
        <item x="63"/>
        <item x="178"/>
        <item x="473"/>
        <item x="538"/>
        <item x="170"/>
        <item x="57"/>
        <item x="222"/>
        <item x="354"/>
        <item x="605"/>
        <item x="291"/>
        <item x="75"/>
        <item x="396"/>
        <item x="446"/>
        <item x="196"/>
        <item x="519"/>
        <item x="50"/>
        <item x="10"/>
        <item x="528"/>
        <item x="289"/>
        <item x="185"/>
        <item x="287"/>
        <item x="256"/>
        <item x="543"/>
        <item x="322"/>
        <item x="448"/>
        <item x="6"/>
        <item x="518"/>
        <item x="308"/>
        <item x="309"/>
        <item x="505"/>
        <item x="339"/>
        <item x="426"/>
        <item x="169"/>
        <item x="74"/>
        <item x="210"/>
        <item x="579"/>
        <item x="439"/>
        <item x="529"/>
        <item x="567"/>
        <item x="433"/>
        <item x="347"/>
        <item x="303"/>
        <item x="379"/>
        <item x="516"/>
        <item x="467"/>
        <item x="129"/>
        <item x="12"/>
        <item x="470"/>
        <item x="79"/>
        <item x="22"/>
        <item x="370"/>
        <item x="128"/>
        <item x="96"/>
        <item x="186"/>
        <item x="31"/>
        <item x="421"/>
        <item x="119"/>
        <item x="120"/>
        <item x="415"/>
        <item x="279"/>
        <item x="11"/>
        <item x="474"/>
        <item x="405"/>
        <item x="432"/>
        <item x="267"/>
        <item x="165"/>
        <item x="373"/>
        <item x="425"/>
        <item x="555"/>
        <item x="114"/>
        <item x="266"/>
        <item x="205"/>
        <item x="535"/>
        <item x="549"/>
        <item x="101"/>
        <item x="558"/>
        <item x="183"/>
        <item x="482"/>
        <item x="107"/>
        <item x="472"/>
        <item x="392"/>
        <item x="184"/>
        <item x="62"/>
        <item x="344"/>
        <item x="435"/>
        <item x="179"/>
        <item x="69"/>
        <item x="487"/>
        <item x="213"/>
        <item x="193"/>
        <item x="619"/>
        <item x="268"/>
        <item x="324"/>
        <item x="297"/>
        <item x="526"/>
        <item x="242"/>
        <item x="361"/>
        <item x="14"/>
        <item x="5"/>
        <item x="583"/>
        <item x="189"/>
        <item x="202"/>
        <item x="65"/>
        <item x="585"/>
        <item x="218"/>
        <item t="default"/>
      </items>
    </pivotField>
    <pivotField showAll="0"/>
    <pivotField showAll="0"/>
    <pivotField showAll="0"/>
    <pivotField showAll="0"/>
    <pivotField showAll="0"/>
    <pivotField axis="axisRow" showAll="0" measureFilter="1" sortType="ascending">
      <items count="25">
        <item x="13"/>
        <item x="22"/>
        <item x="14"/>
        <item x="8"/>
        <item x="0"/>
        <item x="7"/>
        <item x="9"/>
        <item x="17"/>
        <item x="12"/>
        <item x="16"/>
        <item x="2"/>
        <item x="5"/>
        <item x="18"/>
        <item x="19"/>
        <item x="4"/>
        <item x="21"/>
        <item x="6"/>
        <item x="11"/>
        <item x="3"/>
        <item x="10"/>
        <item x="15"/>
        <item x="1"/>
        <item x="20"/>
        <item x="2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axis="axisPage" multipleItemSelectionAllowed="1" showAll="0">
      <items count="6">
        <item h="1" x="3"/>
        <item x="2"/>
        <item h="1" x="1"/>
        <item h="1" x="0"/>
        <item h="1" x="4"/>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8"/>
  </rowFields>
  <rowItems count="11">
    <i>
      <x v="12"/>
    </i>
    <i>
      <x v="7"/>
    </i>
    <i>
      <x v="4"/>
    </i>
    <i>
      <x v="16"/>
    </i>
    <i>
      <x v="1"/>
    </i>
    <i>
      <x v="6"/>
    </i>
    <i>
      <x v="15"/>
    </i>
    <i>
      <x v="11"/>
    </i>
    <i>
      <x/>
    </i>
    <i>
      <x v="17"/>
    </i>
    <i t="grand">
      <x/>
    </i>
  </rowItems>
  <colItems count="1">
    <i/>
  </colItems>
  <pageFields count="1">
    <pageField fld="15" hier="-1"/>
  </pageFields>
  <dataFields count="1">
    <dataField name="Sum of Revenue" fld="16" baseField="0"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4479905-4BC8-47B6-9622-570AE0B0CCFC}" autoFormatId="16" applyNumberFormats="0" applyBorderFormats="0" applyFontFormats="0" applyPatternFormats="0" applyAlignmentFormats="0" applyWidthHeightFormats="0">
  <queryTableRefresh nextId="21">
    <queryTableFields count="17">
      <queryTableField id="1" name="OrderID" tableColumnId="1"/>
      <queryTableField id="2" name="OrderDate" tableColumnId="2"/>
      <queryTableField id="3" name="Order Date" tableColumnId="3"/>
      <queryTableField id="4" name="CustomerName" tableColumnId="4"/>
      <queryTableField id="5" name="CustomerEmail" tableColumnId="5"/>
      <queryTableField id="6" name="Region" tableColumnId="6"/>
      <queryTableField id="7" name="Country" tableColumnId="7"/>
      <queryTableField id="8" name="ProductCategory" tableColumnId="8"/>
      <queryTableField id="9" name="ProductName" tableColumnId="9"/>
      <queryTableField id="10" name="Quantity" tableColumnId="10"/>
      <queryTableField id="11" name="UnitPrice" tableColumnId="11"/>
      <queryTableField id="12" name="Discount" tableColumnId="12"/>
      <queryTableField id="13" name="ShippingCost" tableColumnId="13"/>
      <queryTableField id="14" name="SalesRep" tableColumnId="14"/>
      <queryTableField id="15" name="PaymentMethod" tableColumnId="15"/>
      <queryTableField id="16" name="OrderStatus" tableColumnId="16"/>
      <queryTableField id="17" name="Revenue"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BE2EF55A-D287-4A91-895B-1997F9935081}" sourceName="Years (Order Date)">
  <pivotTables>
    <pivotTable tabId="14" name="Revenue by country"/>
    <pivotTable tabId="14" name="Cancelled"/>
    <pivotTable tabId="14" name="Revenue by Category"/>
    <pivotTable tabId="14" name="Revenue by Product"/>
    <pivotTable tabId="14" name="Revenue by region"/>
    <pivotTable tabId="14" name="Revenue By RepSales"/>
    <pivotTable tabId="14" name="Total_revenue"/>
    <pivotTable tabId="14" name="Customer Name"/>
  </pivotTables>
  <data>
    <tabular pivotCacheId="2006445168">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65373E8B-F5BB-4822-94F2-E14F1BEAD7CA}" sourceName="Months (Order Date)">
  <pivotTables>
    <pivotTable tabId="14" name="Revenue by region"/>
    <pivotTable tabId="14" name="Cancelled"/>
    <pivotTable tabId="14" name="Revenue by Category"/>
    <pivotTable tabId="14" name="Revenue by country"/>
    <pivotTable tabId="14" name="Revenue by Product"/>
    <pivotTable tabId="14" name="Revenue By RepSales"/>
    <pivotTable tabId="14" name="Total_revenue"/>
    <pivotTable tabId="14" name="Customer Name"/>
  </pivotTables>
  <data>
    <tabular pivotCacheId="2006445168">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xr10:uid="{D41C88E6-0A13-45AD-8599-4D07D9F9E53A}" cache="Slicer_Years__Order_Date" caption="Years (Order Date)" style="SlicerStyleLight3" rowHeight="234950"/>
  <slicer name="Months (Order Date)" xr10:uid="{4F1D5DF0-FCE6-40E0-AD03-1A3EB4E81CA4}" cache="Slicer_Months__Order_Date" caption="Months (Order Date)" columnCount="3" style="SlicerStyleLight3"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49D82D-A5B8-41B4-9A4D-F095FE64B142}" name="Table1" displayName="Table1" ref="A1:O261" totalsRowShown="0">
  <autoFilter ref="A1:O261" xr:uid="{3E49D82D-A5B8-41B4-9A4D-F095FE64B142}"/>
  <tableColumns count="15">
    <tableColumn id="1" xr3:uid="{75E2AC13-DE9C-4A1C-913D-4A02AD240D74}" name="OrderID"/>
    <tableColumn id="2" xr3:uid="{4F132CCC-A938-433E-8EC5-921E8D1F99FD}" name="OrderDate"/>
    <tableColumn id="3" xr3:uid="{0E1D3E97-FAB2-4F80-B464-EBA70C6C8147}" name="CustomerName"/>
    <tableColumn id="4" xr3:uid="{A46D1C24-5428-413C-BB95-21C369849E5F}" name="CustomerEmail"/>
    <tableColumn id="5" xr3:uid="{567E8BDD-7737-47F8-9903-07BB63E8B934}" name="Region"/>
    <tableColumn id="6" xr3:uid="{AF3CF441-B8AB-4513-ACC6-537549B5CA8C}" name="Country"/>
    <tableColumn id="7" xr3:uid="{968908D8-3101-4A00-9C6D-CCEFC5602FE0}" name="ProductCategory"/>
    <tableColumn id="8" xr3:uid="{213E0CD9-2050-423B-B6D2-C809947832E8}" name="ProductName"/>
    <tableColumn id="9" xr3:uid="{1953BB78-AA5B-45CD-BF35-1F5E50352CAE}" name="Quantity"/>
    <tableColumn id="10" xr3:uid="{91B70EED-22FB-4C98-8C3A-09603F3A8DFA}" name="UnitPrice"/>
    <tableColumn id="11" xr3:uid="{4DAA6968-4653-45B3-B858-003F009D840B}" name="Discount"/>
    <tableColumn id="12" xr3:uid="{C2C11A41-0D81-450D-AB72-A2E79307CC9D}" name="ShippingCost"/>
    <tableColumn id="13" xr3:uid="{3EF91409-A92F-46A2-94F0-A893FF3C6439}" name="SalesRep"/>
    <tableColumn id="14" xr3:uid="{C67A5336-E205-40F7-B7B4-2B7A8DC80C89}" name="PaymentMethod"/>
    <tableColumn id="15" xr3:uid="{26D7FB50-3E8B-4F94-AE97-51BC170B969A}" name="OrderStatu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D669B4E-5B3F-4281-970C-0A88C6104ECD}" name="Raw_Sales" displayName="Raw_Sales" ref="A1:Q1455" tableType="queryTable" totalsRowShown="0">
  <autoFilter ref="A1:Q1455" xr:uid="{6D669B4E-5B3F-4281-970C-0A88C6104ECD}"/>
  <tableColumns count="17">
    <tableColumn id="1" xr3:uid="{2AA3BCEF-64D2-4539-BE16-5495A6A531F4}" uniqueName="1" name="OrderID" queryTableFieldId="1" dataDxfId="11"/>
    <tableColumn id="2" xr3:uid="{9FB0CCBB-EDF9-4F8B-96BF-2AC188A83A25}" uniqueName="2" name="OrderDate" queryTableFieldId="2" dataDxfId="10"/>
    <tableColumn id="3" xr3:uid="{FCA08FC2-C0BA-4621-9FEB-A78BBC1C7811}" uniqueName="3" name="Order Date" queryTableFieldId="3" dataDxfId="9"/>
    <tableColumn id="4" xr3:uid="{D26C6AE1-0806-434B-8BEB-2AEF39175858}" uniqueName="4" name="CustomerName" queryTableFieldId="4" dataDxfId="8"/>
    <tableColumn id="5" xr3:uid="{3D1C48FE-D0B3-4F64-BF2D-55E4350BA948}" uniqueName="5" name="CustomerEmail" queryTableFieldId="5" dataDxfId="7"/>
    <tableColumn id="6" xr3:uid="{0E3F4338-4DCE-4A41-8036-2D3422A0743D}" uniqueName="6" name="Region" queryTableFieldId="6"/>
    <tableColumn id="7" xr3:uid="{9ADE58E5-114B-45F2-8930-B6DDC141404B}" uniqueName="7" name="Country" queryTableFieldId="7" dataDxfId="6"/>
    <tableColumn id="8" xr3:uid="{15997E02-FB86-4CFA-97A8-DB8DF956800B}" uniqueName="8" name="ProductCategory" queryTableFieldId="8" dataDxfId="5"/>
    <tableColumn id="9" xr3:uid="{E7F2FAB0-9646-4FE5-9571-CC112E8EB4F9}" uniqueName="9" name="ProductName" queryTableFieldId="9" dataDxfId="4"/>
    <tableColumn id="10" xr3:uid="{5D9EA698-9F97-4084-9879-B9271D0D0407}" uniqueName="10" name="Quantity" queryTableFieldId="10"/>
    <tableColumn id="11" xr3:uid="{DEB3699B-F111-4F23-9258-912804693F2A}" uniqueName="11" name="UnitPrice" queryTableFieldId="11"/>
    <tableColumn id="12" xr3:uid="{2939C0DB-BC63-4A6D-A3BA-38C0CC415370}" uniqueName="12" name="Discount" queryTableFieldId="12"/>
    <tableColumn id="13" xr3:uid="{F08411B7-AD59-4A80-AE31-58CEFC74B2E2}" uniqueName="13" name="ShippingCost" queryTableFieldId="13"/>
    <tableColumn id="14" xr3:uid="{36326C01-FA95-4D84-8458-8A3187480E9C}" uniqueName="14" name="SalesRep" queryTableFieldId="14" dataDxfId="3"/>
    <tableColumn id="15" xr3:uid="{92161B38-1F50-404B-B359-76423A543A2E}" uniqueName="15" name="PaymentMethod" queryTableFieldId="15" dataDxfId="2"/>
    <tableColumn id="16" xr3:uid="{F2A7B0BF-8F8A-4B98-A1A2-C46B0B153A38}" uniqueName="16" name="OrderStatus" queryTableFieldId="16" dataDxfId="1"/>
    <tableColumn id="17" xr3:uid="{28B32225-24B2-4818-9E15-47861A2EFF3E}" uniqueName="17" name="Revenue" queryTableFieldId="17" dataDxfId="0"/>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13" Type="http://schemas.openxmlformats.org/officeDocument/2006/relationships/pivotTable" Target="../pivotTables/pivotTable16.xml"/><Relationship Id="rId3" Type="http://schemas.openxmlformats.org/officeDocument/2006/relationships/pivotTable" Target="../pivotTables/pivotTable6.xml"/><Relationship Id="rId7" Type="http://schemas.openxmlformats.org/officeDocument/2006/relationships/pivotTable" Target="../pivotTables/pivotTable10.xml"/><Relationship Id="rId12" Type="http://schemas.openxmlformats.org/officeDocument/2006/relationships/pivotTable" Target="../pivotTables/pivotTable15.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11" Type="http://schemas.openxmlformats.org/officeDocument/2006/relationships/pivotTable" Target="../pivotTables/pivotTable14.xml"/><Relationship Id="rId5" Type="http://schemas.openxmlformats.org/officeDocument/2006/relationships/pivotTable" Target="../pivotTables/pivotTable8.xml"/><Relationship Id="rId15" Type="http://schemas.openxmlformats.org/officeDocument/2006/relationships/pivotTable" Target="../pivotTables/pivotTable18.xml"/><Relationship Id="rId10" Type="http://schemas.openxmlformats.org/officeDocument/2006/relationships/pivotTable" Target="../pivotTables/pivotTable13.xml"/><Relationship Id="rId4" Type="http://schemas.openxmlformats.org/officeDocument/2006/relationships/pivotTable" Target="../pivotTables/pivotTable7.xml"/><Relationship Id="rId9" Type="http://schemas.openxmlformats.org/officeDocument/2006/relationships/pivotTable" Target="../pivotTables/pivotTable12.xml"/><Relationship Id="rId14" Type="http://schemas.openxmlformats.org/officeDocument/2006/relationships/pivotTable" Target="../pivotTables/pivotTable17.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455"/>
  <sheetViews>
    <sheetView workbookViewId="0">
      <selection activeCell="Q1435" sqref="Q1435"/>
    </sheetView>
  </sheetViews>
  <sheetFormatPr defaultRowHeight="14.4" x14ac:dyDescent="0.3"/>
  <cols>
    <col min="1" max="1" width="9.44140625" customWidth="1"/>
    <col min="2" max="2" width="11.5546875" customWidth="1"/>
    <col min="3" max="3" width="16" customWidth="1"/>
    <col min="4" max="4" width="15.5546875" customWidth="1"/>
    <col min="6" max="6" width="9.6640625" customWidth="1"/>
    <col min="7" max="7" width="17.109375" customWidth="1"/>
    <col min="8" max="8" width="14.5546875" customWidth="1"/>
    <col min="9" max="9" width="10.21875" customWidth="1"/>
    <col min="10" max="10" width="10.5546875" customWidth="1"/>
    <col min="11" max="11" width="10.21875" customWidth="1"/>
    <col min="12" max="12" width="13.88671875" customWidth="1"/>
    <col min="13" max="13" width="10.33203125" customWidth="1"/>
    <col min="14" max="14" width="17.21875" customWidth="1"/>
    <col min="15" max="15" width="12.88671875"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15</v>
      </c>
      <c r="B2" t="s">
        <v>1415</v>
      </c>
      <c r="C2" t="s">
        <v>2622</v>
      </c>
      <c r="D2" t="s">
        <v>3262</v>
      </c>
      <c r="E2" t="s">
        <v>4547</v>
      </c>
      <c r="F2" t="s">
        <v>4572</v>
      </c>
      <c r="G2" t="s">
        <v>4583</v>
      </c>
      <c r="H2" t="s">
        <v>4588</v>
      </c>
      <c r="I2">
        <v>2</v>
      </c>
      <c r="J2">
        <v>41.09</v>
      </c>
      <c r="K2" t="s">
        <v>5460</v>
      </c>
      <c r="L2">
        <v>2.41</v>
      </c>
      <c r="M2" t="s">
        <v>5462</v>
      </c>
      <c r="N2" t="s">
        <v>5469</v>
      </c>
      <c r="O2" t="s">
        <v>5475</v>
      </c>
    </row>
    <row r="3" spans="1:15" x14ac:dyDescent="0.3">
      <c r="A3" t="s">
        <v>16</v>
      </c>
      <c r="B3" t="s">
        <v>1416</v>
      </c>
      <c r="C3" t="s">
        <v>2623</v>
      </c>
      <c r="D3" t="s">
        <v>3263</v>
      </c>
      <c r="E3" t="s">
        <v>4548</v>
      </c>
      <c r="F3" t="s">
        <v>4573</v>
      </c>
      <c r="G3" t="s">
        <v>4584</v>
      </c>
      <c r="H3" t="s">
        <v>4589</v>
      </c>
      <c r="I3">
        <v>2</v>
      </c>
      <c r="J3">
        <v>35.159999999999997</v>
      </c>
      <c r="K3" t="s">
        <v>5461</v>
      </c>
      <c r="L3">
        <v>8.09</v>
      </c>
      <c r="M3" t="s">
        <v>5463</v>
      </c>
      <c r="N3" t="s">
        <v>5470</v>
      </c>
      <c r="O3" t="s">
        <v>5476</v>
      </c>
    </row>
    <row r="4" spans="1:15" x14ac:dyDescent="0.3">
      <c r="A4" t="s">
        <v>17</v>
      </c>
      <c r="B4" t="s">
        <v>1417</v>
      </c>
      <c r="C4" t="s">
        <v>2624</v>
      </c>
      <c r="D4" t="s">
        <v>3264</v>
      </c>
      <c r="E4" t="s">
        <v>4549</v>
      </c>
      <c r="F4" t="s">
        <v>4573</v>
      </c>
      <c r="G4" t="s">
        <v>4585</v>
      </c>
      <c r="H4" t="s">
        <v>4590</v>
      </c>
      <c r="I4">
        <v>2</v>
      </c>
      <c r="J4" t="s">
        <v>4611</v>
      </c>
      <c r="K4">
        <v>0.1</v>
      </c>
      <c r="L4">
        <v>3.25</v>
      </c>
      <c r="M4" t="s">
        <v>5464</v>
      </c>
      <c r="O4" t="s">
        <v>5475</v>
      </c>
    </row>
    <row r="5" spans="1:15" x14ac:dyDescent="0.3">
      <c r="A5" t="s">
        <v>18</v>
      </c>
      <c r="B5" t="s">
        <v>1418</v>
      </c>
      <c r="C5" t="s">
        <v>2625</v>
      </c>
      <c r="D5" t="s">
        <v>3265</v>
      </c>
      <c r="E5" t="s">
        <v>4550</v>
      </c>
      <c r="F5" t="s">
        <v>4574</v>
      </c>
      <c r="G5" t="s">
        <v>4585</v>
      </c>
      <c r="H5" t="s">
        <v>4591</v>
      </c>
      <c r="I5">
        <v>-1</v>
      </c>
      <c r="J5" t="s">
        <v>4612</v>
      </c>
      <c r="K5" t="s">
        <v>5460</v>
      </c>
      <c r="L5">
        <v>4.0999999999999996</v>
      </c>
      <c r="N5" t="s">
        <v>5471</v>
      </c>
      <c r="O5" t="s">
        <v>5477</v>
      </c>
    </row>
    <row r="6" spans="1:15" x14ac:dyDescent="0.3">
      <c r="A6" t="s">
        <v>19</v>
      </c>
      <c r="B6" t="s">
        <v>1419</v>
      </c>
      <c r="C6" t="s">
        <v>2626</v>
      </c>
      <c r="D6" t="s">
        <v>3266</v>
      </c>
      <c r="E6" t="s">
        <v>4551</v>
      </c>
      <c r="F6" t="s">
        <v>4575</v>
      </c>
      <c r="G6" t="s">
        <v>4585</v>
      </c>
      <c r="H6" t="s">
        <v>4592</v>
      </c>
      <c r="I6">
        <v>1</v>
      </c>
      <c r="J6">
        <v>6.7</v>
      </c>
      <c r="K6">
        <v>0.15</v>
      </c>
      <c r="L6">
        <v>13.27</v>
      </c>
      <c r="N6" t="s">
        <v>5472</v>
      </c>
      <c r="O6" t="s">
        <v>5477</v>
      </c>
    </row>
    <row r="7" spans="1:15" x14ac:dyDescent="0.3">
      <c r="A7" t="s">
        <v>20</v>
      </c>
      <c r="B7" t="s">
        <v>1420</v>
      </c>
      <c r="C7" t="s">
        <v>2627</v>
      </c>
      <c r="D7" t="s">
        <v>3267</v>
      </c>
      <c r="E7" t="s">
        <v>4552</v>
      </c>
      <c r="F7" t="s">
        <v>4576</v>
      </c>
      <c r="G7" t="s">
        <v>4586</v>
      </c>
      <c r="H7" t="s">
        <v>4593</v>
      </c>
      <c r="I7">
        <v>3</v>
      </c>
      <c r="J7" t="s">
        <v>4613</v>
      </c>
      <c r="K7">
        <v>0</v>
      </c>
      <c r="L7">
        <v>12.19</v>
      </c>
      <c r="N7" t="s">
        <v>5473</v>
      </c>
      <c r="O7" t="s">
        <v>5477</v>
      </c>
    </row>
    <row r="8" spans="1:15" x14ac:dyDescent="0.3">
      <c r="A8" t="s">
        <v>21</v>
      </c>
      <c r="B8" t="s">
        <v>1421</v>
      </c>
      <c r="C8" t="s">
        <v>2628</v>
      </c>
      <c r="D8" t="s">
        <v>3268</v>
      </c>
      <c r="E8" t="s">
        <v>4553</v>
      </c>
      <c r="F8" t="s">
        <v>4577</v>
      </c>
      <c r="G8" t="s">
        <v>4587</v>
      </c>
      <c r="H8" t="s">
        <v>4594</v>
      </c>
      <c r="I8">
        <v>-1</v>
      </c>
      <c r="J8" t="s">
        <v>4614</v>
      </c>
      <c r="K8">
        <v>0.05</v>
      </c>
      <c r="L8">
        <v>12.73</v>
      </c>
      <c r="M8" t="s">
        <v>5462</v>
      </c>
      <c r="N8" t="s">
        <v>5469</v>
      </c>
      <c r="O8" t="s">
        <v>5478</v>
      </c>
    </row>
    <row r="9" spans="1:15" x14ac:dyDescent="0.3">
      <c r="A9" t="s">
        <v>22</v>
      </c>
      <c r="B9" t="s">
        <v>1422</v>
      </c>
      <c r="C9" t="s">
        <v>2629</v>
      </c>
      <c r="D9" t="s">
        <v>3269</v>
      </c>
      <c r="E9" t="s">
        <v>4554</v>
      </c>
      <c r="F9" t="s">
        <v>4574</v>
      </c>
      <c r="G9" t="s">
        <v>4583</v>
      </c>
      <c r="H9" t="s">
        <v>4588</v>
      </c>
      <c r="I9">
        <v>1</v>
      </c>
      <c r="J9" t="s">
        <v>4615</v>
      </c>
      <c r="K9">
        <v>0</v>
      </c>
      <c r="L9">
        <v>10.210000000000001</v>
      </c>
      <c r="N9" t="s">
        <v>5472</v>
      </c>
      <c r="O9" t="s">
        <v>5479</v>
      </c>
    </row>
    <row r="10" spans="1:15" x14ac:dyDescent="0.3">
      <c r="A10" t="s">
        <v>23</v>
      </c>
      <c r="B10" t="s">
        <v>1423</v>
      </c>
      <c r="C10" t="s">
        <v>2630</v>
      </c>
      <c r="D10" t="s">
        <v>3270</v>
      </c>
      <c r="E10" t="s">
        <v>4555</v>
      </c>
      <c r="F10" t="s">
        <v>4578</v>
      </c>
      <c r="G10" t="s">
        <v>4584</v>
      </c>
      <c r="H10" t="s">
        <v>4595</v>
      </c>
      <c r="I10">
        <v>1</v>
      </c>
      <c r="J10" t="s">
        <v>4616</v>
      </c>
      <c r="K10">
        <v>0.15</v>
      </c>
      <c r="L10">
        <v>6.19</v>
      </c>
      <c r="M10" t="s">
        <v>5465</v>
      </c>
      <c r="N10" t="s">
        <v>5474</v>
      </c>
      <c r="O10" t="s">
        <v>5477</v>
      </c>
    </row>
    <row r="11" spans="1:15" x14ac:dyDescent="0.3">
      <c r="A11" t="s">
        <v>24</v>
      </c>
      <c r="B11" t="s">
        <v>1424</v>
      </c>
      <c r="C11" t="s">
        <v>2631</v>
      </c>
      <c r="D11" t="s">
        <v>3271</v>
      </c>
      <c r="E11" t="s">
        <v>4556</v>
      </c>
      <c r="F11" t="s">
        <v>4579</v>
      </c>
      <c r="G11" t="s">
        <v>4587</v>
      </c>
      <c r="H11" t="s">
        <v>4594</v>
      </c>
      <c r="I11">
        <v>1</v>
      </c>
      <c r="J11">
        <v>58.67</v>
      </c>
      <c r="K11" t="s">
        <v>5460</v>
      </c>
      <c r="L11">
        <v>4.76</v>
      </c>
      <c r="M11" t="s">
        <v>5462</v>
      </c>
      <c r="N11" t="s">
        <v>5474</v>
      </c>
      <c r="O11" t="s">
        <v>5480</v>
      </c>
    </row>
    <row r="12" spans="1:15" x14ac:dyDescent="0.3">
      <c r="A12" t="s">
        <v>25</v>
      </c>
      <c r="B12" t="s">
        <v>1425</v>
      </c>
      <c r="C12" t="s">
        <v>2632</v>
      </c>
      <c r="D12" t="s">
        <v>3272</v>
      </c>
      <c r="E12" t="s">
        <v>4557</v>
      </c>
      <c r="F12" t="s">
        <v>4572</v>
      </c>
      <c r="G12" t="s">
        <v>4587</v>
      </c>
      <c r="H12" t="s">
        <v>4596</v>
      </c>
      <c r="I12">
        <v>1</v>
      </c>
      <c r="J12">
        <v>15.36</v>
      </c>
      <c r="K12">
        <v>0</v>
      </c>
      <c r="L12">
        <v>10.23</v>
      </c>
      <c r="M12" t="s">
        <v>5466</v>
      </c>
      <c r="N12" t="s">
        <v>5473</v>
      </c>
      <c r="O12" t="s">
        <v>5478</v>
      </c>
    </row>
    <row r="13" spans="1:15" x14ac:dyDescent="0.3">
      <c r="A13" t="s">
        <v>26</v>
      </c>
      <c r="B13" t="s">
        <v>1426</v>
      </c>
      <c r="C13" t="s">
        <v>2633</v>
      </c>
      <c r="D13" t="s">
        <v>3273</v>
      </c>
      <c r="E13" t="s">
        <v>4554</v>
      </c>
      <c r="F13" t="s">
        <v>4573</v>
      </c>
      <c r="G13" t="s">
        <v>4584</v>
      </c>
      <c r="H13" t="s">
        <v>4595</v>
      </c>
      <c r="I13">
        <v>2</v>
      </c>
      <c r="J13" t="s">
        <v>4617</v>
      </c>
      <c r="K13">
        <v>0.15</v>
      </c>
      <c r="L13">
        <v>6.08</v>
      </c>
      <c r="M13" t="s">
        <v>5462</v>
      </c>
      <c r="N13" t="s">
        <v>5471</v>
      </c>
      <c r="O13" t="s">
        <v>5477</v>
      </c>
    </row>
    <row r="14" spans="1:15" x14ac:dyDescent="0.3">
      <c r="A14" t="s">
        <v>27</v>
      </c>
      <c r="B14" t="s">
        <v>1427</v>
      </c>
      <c r="C14" t="s">
        <v>2634</v>
      </c>
      <c r="D14" t="s">
        <v>3274</v>
      </c>
      <c r="E14" t="s">
        <v>4554</v>
      </c>
      <c r="F14" t="s">
        <v>4574</v>
      </c>
      <c r="G14" t="s">
        <v>4585</v>
      </c>
      <c r="H14" t="s">
        <v>4590</v>
      </c>
      <c r="I14">
        <v>3</v>
      </c>
      <c r="J14" t="s">
        <v>4618</v>
      </c>
      <c r="K14" t="s">
        <v>5460</v>
      </c>
      <c r="L14">
        <v>12</v>
      </c>
      <c r="M14" t="s">
        <v>5464</v>
      </c>
      <c r="N14" t="s">
        <v>5470</v>
      </c>
      <c r="O14" t="s">
        <v>5477</v>
      </c>
    </row>
    <row r="15" spans="1:15" x14ac:dyDescent="0.3">
      <c r="A15" t="s">
        <v>28</v>
      </c>
      <c r="B15" t="s">
        <v>1428</v>
      </c>
      <c r="C15" t="s">
        <v>2635</v>
      </c>
      <c r="D15" t="s">
        <v>3275</v>
      </c>
      <c r="E15" t="s">
        <v>4557</v>
      </c>
      <c r="F15" t="s">
        <v>4580</v>
      </c>
      <c r="G15" t="s">
        <v>4586</v>
      </c>
      <c r="H15" t="s">
        <v>4597</v>
      </c>
      <c r="I15">
        <v>1</v>
      </c>
      <c r="J15" t="s">
        <v>4619</v>
      </c>
      <c r="K15">
        <v>0</v>
      </c>
      <c r="L15">
        <v>14.07</v>
      </c>
      <c r="M15" t="s">
        <v>5466</v>
      </c>
      <c r="N15" t="s">
        <v>5471</v>
      </c>
      <c r="O15" t="s">
        <v>5480</v>
      </c>
    </row>
    <row r="16" spans="1:15" x14ac:dyDescent="0.3">
      <c r="A16" t="s">
        <v>29</v>
      </c>
      <c r="B16" t="s">
        <v>1429</v>
      </c>
      <c r="C16" t="s">
        <v>2636</v>
      </c>
      <c r="D16" t="s">
        <v>3276</v>
      </c>
      <c r="E16" t="s">
        <v>4551</v>
      </c>
      <c r="F16" t="s">
        <v>4579</v>
      </c>
      <c r="G16" t="s">
        <v>4585</v>
      </c>
      <c r="H16" t="s">
        <v>4590</v>
      </c>
      <c r="I16">
        <v>-1</v>
      </c>
      <c r="J16">
        <v>13.36</v>
      </c>
      <c r="K16" t="s">
        <v>5461</v>
      </c>
      <c r="L16">
        <v>6.24</v>
      </c>
      <c r="N16" t="s">
        <v>5471</v>
      </c>
      <c r="O16" t="s">
        <v>5477</v>
      </c>
    </row>
    <row r="17" spans="1:15" x14ac:dyDescent="0.3">
      <c r="A17" t="s">
        <v>30</v>
      </c>
      <c r="B17" t="s">
        <v>1430</v>
      </c>
      <c r="C17" t="s">
        <v>2637</v>
      </c>
      <c r="D17" t="s">
        <v>3277</v>
      </c>
      <c r="E17" t="s">
        <v>4558</v>
      </c>
      <c r="F17" t="s">
        <v>4581</v>
      </c>
      <c r="G17" t="s">
        <v>4585</v>
      </c>
      <c r="H17" t="s">
        <v>4598</v>
      </c>
      <c r="I17">
        <v>1</v>
      </c>
      <c r="J17" t="s">
        <v>4620</v>
      </c>
      <c r="K17">
        <v>0</v>
      </c>
      <c r="L17">
        <v>13.9</v>
      </c>
      <c r="M17" t="s">
        <v>5467</v>
      </c>
      <c r="N17" t="s">
        <v>5474</v>
      </c>
      <c r="O17" t="s">
        <v>5476</v>
      </c>
    </row>
    <row r="18" spans="1:15" x14ac:dyDescent="0.3">
      <c r="A18" t="s">
        <v>31</v>
      </c>
      <c r="B18" t="s">
        <v>1431</v>
      </c>
      <c r="C18" t="s">
        <v>2638</v>
      </c>
      <c r="D18" t="s">
        <v>3278</v>
      </c>
      <c r="E18" t="s">
        <v>4559</v>
      </c>
      <c r="F18" t="s">
        <v>4573</v>
      </c>
      <c r="G18" t="s">
        <v>4586</v>
      </c>
      <c r="H18" t="s">
        <v>4597</v>
      </c>
      <c r="I18">
        <v>2</v>
      </c>
      <c r="J18">
        <v>91.56</v>
      </c>
      <c r="K18">
        <v>0</v>
      </c>
      <c r="L18">
        <v>0.3</v>
      </c>
      <c r="N18" t="s">
        <v>5471</v>
      </c>
      <c r="O18" t="s">
        <v>5479</v>
      </c>
    </row>
    <row r="19" spans="1:15" x14ac:dyDescent="0.3">
      <c r="A19" t="s">
        <v>32</v>
      </c>
      <c r="B19" t="s">
        <v>1432</v>
      </c>
      <c r="C19" t="s">
        <v>2639</v>
      </c>
      <c r="D19" t="s">
        <v>3279</v>
      </c>
      <c r="E19" t="s">
        <v>4560</v>
      </c>
      <c r="F19" t="s">
        <v>4574</v>
      </c>
      <c r="G19" t="s">
        <v>4586</v>
      </c>
      <c r="H19" t="s">
        <v>4599</v>
      </c>
      <c r="I19">
        <v>-1</v>
      </c>
      <c r="J19" t="s">
        <v>4621</v>
      </c>
      <c r="K19">
        <v>0.15</v>
      </c>
      <c r="L19">
        <v>11.3</v>
      </c>
      <c r="M19" t="s">
        <v>5467</v>
      </c>
      <c r="N19" t="s">
        <v>5474</v>
      </c>
      <c r="O19" t="s">
        <v>5477</v>
      </c>
    </row>
    <row r="20" spans="1:15" x14ac:dyDescent="0.3">
      <c r="A20" t="s">
        <v>33</v>
      </c>
      <c r="B20" t="s">
        <v>1433</v>
      </c>
      <c r="C20" t="s">
        <v>2640</v>
      </c>
      <c r="D20" t="s">
        <v>3280</v>
      </c>
      <c r="E20" t="s">
        <v>4559</v>
      </c>
      <c r="F20" t="s">
        <v>4577</v>
      </c>
      <c r="G20" t="s">
        <v>4587</v>
      </c>
      <c r="H20" t="s">
        <v>4600</v>
      </c>
      <c r="I20">
        <v>1</v>
      </c>
      <c r="J20">
        <v>13.28</v>
      </c>
      <c r="L20">
        <v>10.38</v>
      </c>
      <c r="M20" t="s">
        <v>5464</v>
      </c>
      <c r="N20" t="s">
        <v>5471</v>
      </c>
      <c r="O20" t="s">
        <v>5477</v>
      </c>
    </row>
    <row r="21" spans="1:15" x14ac:dyDescent="0.3">
      <c r="A21" t="s">
        <v>34</v>
      </c>
      <c r="B21" t="s">
        <v>1434</v>
      </c>
      <c r="C21" t="s">
        <v>2641</v>
      </c>
      <c r="D21" t="s">
        <v>3281</v>
      </c>
      <c r="E21" t="s">
        <v>4561</v>
      </c>
      <c r="F21" t="s">
        <v>4581</v>
      </c>
      <c r="G21" t="s">
        <v>4587</v>
      </c>
      <c r="H21" t="s">
        <v>4596</v>
      </c>
      <c r="I21">
        <v>2</v>
      </c>
      <c r="J21" t="s">
        <v>4622</v>
      </c>
      <c r="K21">
        <v>0.05</v>
      </c>
      <c r="L21">
        <v>6.97</v>
      </c>
      <c r="M21" t="s">
        <v>5464</v>
      </c>
      <c r="N21" t="s">
        <v>5474</v>
      </c>
      <c r="O21" t="s">
        <v>5476</v>
      </c>
    </row>
    <row r="22" spans="1:15" x14ac:dyDescent="0.3">
      <c r="A22" t="s">
        <v>35</v>
      </c>
      <c r="B22" t="s">
        <v>1435</v>
      </c>
      <c r="C22" t="s">
        <v>2642</v>
      </c>
      <c r="D22" t="s">
        <v>3282</v>
      </c>
      <c r="E22" t="s">
        <v>4562</v>
      </c>
      <c r="F22" t="s">
        <v>4576</v>
      </c>
      <c r="G22" t="s">
        <v>4586</v>
      </c>
      <c r="H22" t="s">
        <v>4597</v>
      </c>
      <c r="I22">
        <v>10</v>
      </c>
      <c r="J22" t="s">
        <v>4623</v>
      </c>
      <c r="K22">
        <v>0</v>
      </c>
      <c r="L22">
        <v>11.72</v>
      </c>
      <c r="M22" t="s">
        <v>5468</v>
      </c>
      <c r="O22" t="s">
        <v>5477</v>
      </c>
    </row>
    <row r="23" spans="1:15" x14ac:dyDescent="0.3">
      <c r="A23" t="s">
        <v>36</v>
      </c>
      <c r="B23" t="s">
        <v>1436</v>
      </c>
      <c r="C23" t="s">
        <v>2643</v>
      </c>
      <c r="D23" t="s">
        <v>3283</v>
      </c>
      <c r="E23" t="s">
        <v>4563</v>
      </c>
      <c r="F23" t="s">
        <v>4578</v>
      </c>
      <c r="G23" t="s">
        <v>4584</v>
      </c>
      <c r="H23" t="s">
        <v>4601</v>
      </c>
      <c r="I23">
        <v>1</v>
      </c>
      <c r="J23" t="s">
        <v>4624</v>
      </c>
      <c r="L23">
        <v>0</v>
      </c>
      <c r="M23" t="s">
        <v>5465</v>
      </c>
      <c r="N23" t="s">
        <v>5470</v>
      </c>
      <c r="O23" t="s">
        <v>5477</v>
      </c>
    </row>
    <row r="24" spans="1:15" x14ac:dyDescent="0.3">
      <c r="A24" t="s">
        <v>37</v>
      </c>
      <c r="B24" t="s">
        <v>1437</v>
      </c>
      <c r="C24" t="s">
        <v>2644</v>
      </c>
      <c r="D24" t="s">
        <v>3284</v>
      </c>
      <c r="E24" t="s">
        <v>4564</v>
      </c>
      <c r="F24" t="s">
        <v>4578</v>
      </c>
      <c r="G24" t="s">
        <v>4586</v>
      </c>
      <c r="H24" t="s">
        <v>4597</v>
      </c>
      <c r="I24">
        <v>-1</v>
      </c>
      <c r="J24" t="s">
        <v>4625</v>
      </c>
      <c r="K24">
        <v>0.15</v>
      </c>
      <c r="L24">
        <v>2.2000000000000002</v>
      </c>
      <c r="M24" t="s">
        <v>5467</v>
      </c>
      <c r="N24" t="s">
        <v>5474</v>
      </c>
      <c r="O24" t="s">
        <v>5475</v>
      </c>
    </row>
    <row r="25" spans="1:15" x14ac:dyDescent="0.3">
      <c r="A25" t="s">
        <v>38</v>
      </c>
      <c r="B25" t="s">
        <v>1438</v>
      </c>
      <c r="C25" t="s">
        <v>2645</v>
      </c>
      <c r="D25" t="s">
        <v>3285</v>
      </c>
      <c r="E25" t="s">
        <v>4565</v>
      </c>
      <c r="F25" t="s">
        <v>4576</v>
      </c>
      <c r="G25" t="s">
        <v>4587</v>
      </c>
      <c r="H25" t="s">
        <v>4600</v>
      </c>
      <c r="I25">
        <v>-1</v>
      </c>
      <c r="J25" t="s">
        <v>4626</v>
      </c>
      <c r="K25">
        <v>0.15</v>
      </c>
      <c r="L25">
        <v>0.3</v>
      </c>
      <c r="M25" t="s">
        <v>5462</v>
      </c>
      <c r="N25" t="s">
        <v>5471</v>
      </c>
      <c r="O25" t="s">
        <v>5475</v>
      </c>
    </row>
    <row r="26" spans="1:15" x14ac:dyDescent="0.3">
      <c r="A26" t="s">
        <v>39</v>
      </c>
      <c r="B26" t="s">
        <v>1439</v>
      </c>
      <c r="C26" t="s">
        <v>2646</v>
      </c>
      <c r="D26" t="s">
        <v>3286</v>
      </c>
      <c r="E26" t="s">
        <v>4566</v>
      </c>
      <c r="F26" t="s">
        <v>4573</v>
      </c>
      <c r="G26" t="s">
        <v>4585</v>
      </c>
      <c r="H26" t="s">
        <v>4602</v>
      </c>
      <c r="I26">
        <v>2</v>
      </c>
      <c r="J26" t="s">
        <v>4627</v>
      </c>
      <c r="K26" t="s">
        <v>5460</v>
      </c>
      <c r="L26">
        <v>1.02</v>
      </c>
      <c r="M26" t="s">
        <v>5467</v>
      </c>
      <c r="N26" t="s">
        <v>5469</v>
      </c>
      <c r="O26" t="s">
        <v>5478</v>
      </c>
    </row>
    <row r="27" spans="1:15" x14ac:dyDescent="0.3">
      <c r="A27" t="s">
        <v>40</v>
      </c>
      <c r="B27" t="s">
        <v>1440</v>
      </c>
      <c r="C27" t="s">
        <v>2647</v>
      </c>
      <c r="D27" t="s">
        <v>3287</v>
      </c>
      <c r="E27" t="s">
        <v>4564</v>
      </c>
      <c r="F27" t="s">
        <v>4578</v>
      </c>
      <c r="G27" t="s">
        <v>4585</v>
      </c>
      <c r="H27" t="s">
        <v>4592</v>
      </c>
      <c r="I27">
        <v>-1</v>
      </c>
      <c r="J27" t="s">
        <v>4628</v>
      </c>
      <c r="K27" t="s">
        <v>5461</v>
      </c>
      <c r="L27">
        <v>8.7899999999999991</v>
      </c>
      <c r="M27" t="s">
        <v>5468</v>
      </c>
      <c r="N27" t="s">
        <v>5469</v>
      </c>
      <c r="O27" t="s">
        <v>5479</v>
      </c>
    </row>
    <row r="28" spans="1:15" x14ac:dyDescent="0.3">
      <c r="A28" t="s">
        <v>41</v>
      </c>
      <c r="B28" t="s">
        <v>1441</v>
      </c>
      <c r="C28" t="s">
        <v>2648</v>
      </c>
      <c r="D28" t="s">
        <v>3288</v>
      </c>
      <c r="E28" t="s">
        <v>4567</v>
      </c>
      <c r="F28" t="s">
        <v>4573</v>
      </c>
      <c r="G28" t="s">
        <v>4584</v>
      </c>
      <c r="H28" t="s">
        <v>4603</v>
      </c>
      <c r="I28">
        <v>5</v>
      </c>
      <c r="J28" t="s">
        <v>4629</v>
      </c>
      <c r="K28">
        <v>0</v>
      </c>
      <c r="L28">
        <v>0</v>
      </c>
      <c r="M28" t="s">
        <v>5465</v>
      </c>
      <c r="N28" t="s">
        <v>5474</v>
      </c>
      <c r="O28" t="s">
        <v>5476</v>
      </c>
    </row>
    <row r="29" spans="1:15" x14ac:dyDescent="0.3">
      <c r="A29" t="s">
        <v>42</v>
      </c>
      <c r="B29" t="s">
        <v>1442</v>
      </c>
      <c r="C29" t="s">
        <v>2649</v>
      </c>
      <c r="D29" t="s">
        <v>3289</v>
      </c>
      <c r="E29" t="s">
        <v>4568</v>
      </c>
      <c r="G29" t="s">
        <v>4583</v>
      </c>
      <c r="H29" t="s">
        <v>4588</v>
      </c>
      <c r="I29">
        <v>2</v>
      </c>
      <c r="J29">
        <v>41.17</v>
      </c>
      <c r="K29" t="s">
        <v>5460</v>
      </c>
      <c r="L29">
        <v>8.82</v>
      </c>
      <c r="M29" t="s">
        <v>5462</v>
      </c>
      <c r="N29" t="s">
        <v>5470</v>
      </c>
      <c r="O29" t="s">
        <v>5480</v>
      </c>
    </row>
    <row r="30" spans="1:15" x14ac:dyDescent="0.3">
      <c r="A30" t="s">
        <v>43</v>
      </c>
      <c r="B30" t="s">
        <v>1443</v>
      </c>
      <c r="C30" t="s">
        <v>2650</v>
      </c>
      <c r="D30" t="s">
        <v>3290</v>
      </c>
      <c r="E30" t="s">
        <v>4549</v>
      </c>
      <c r="F30" t="s">
        <v>4573</v>
      </c>
      <c r="G30" t="s">
        <v>4583</v>
      </c>
      <c r="H30" t="s">
        <v>4604</v>
      </c>
      <c r="I30">
        <v>2</v>
      </c>
      <c r="J30" t="s">
        <v>4630</v>
      </c>
      <c r="L30">
        <v>0.23</v>
      </c>
      <c r="M30" t="s">
        <v>5462</v>
      </c>
      <c r="N30" t="s">
        <v>5469</v>
      </c>
      <c r="O30" t="s">
        <v>5477</v>
      </c>
    </row>
    <row r="31" spans="1:15" x14ac:dyDescent="0.3">
      <c r="A31" t="s">
        <v>44</v>
      </c>
      <c r="B31" t="s">
        <v>1444</v>
      </c>
      <c r="C31" t="s">
        <v>2651</v>
      </c>
      <c r="D31" t="s">
        <v>3291</v>
      </c>
      <c r="E31" t="s">
        <v>4555</v>
      </c>
      <c r="F31" t="s">
        <v>4578</v>
      </c>
      <c r="G31" t="s">
        <v>4583</v>
      </c>
      <c r="H31" t="s">
        <v>4605</v>
      </c>
      <c r="I31">
        <v>1</v>
      </c>
      <c r="J31" t="s">
        <v>4631</v>
      </c>
      <c r="K31">
        <v>0.1</v>
      </c>
      <c r="L31">
        <v>2.1800000000000002</v>
      </c>
      <c r="M31" t="s">
        <v>5467</v>
      </c>
      <c r="N31" t="s">
        <v>5471</v>
      </c>
      <c r="O31" t="s">
        <v>5476</v>
      </c>
    </row>
    <row r="32" spans="1:15" x14ac:dyDescent="0.3">
      <c r="A32" t="s">
        <v>45</v>
      </c>
      <c r="B32" t="s">
        <v>1445</v>
      </c>
      <c r="C32" t="s">
        <v>2652</v>
      </c>
      <c r="D32" t="s">
        <v>3292</v>
      </c>
      <c r="E32" t="s">
        <v>4569</v>
      </c>
      <c r="G32" t="s">
        <v>4586</v>
      </c>
      <c r="H32" t="s">
        <v>4599</v>
      </c>
      <c r="I32">
        <v>1</v>
      </c>
      <c r="J32">
        <v>246.56</v>
      </c>
      <c r="K32" t="s">
        <v>5461</v>
      </c>
      <c r="L32">
        <v>9.85</v>
      </c>
      <c r="M32" t="s">
        <v>5463</v>
      </c>
      <c r="N32" t="s">
        <v>5473</v>
      </c>
      <c r="O32" t="s">
        <v>5476</v>
      </c>
    </row>
    <row r="33" spans="1:15" x14ac:dyDescent="0.3">
      <c r="A33" t="s">
        <v>46</v>
      </c>
      <c r="B33" t="s">
        <v>1446</v>
      </c>
      <c r="C33" t="s">
        <v>2653</v>
      </c>
      <c r="D33" t="s">
        <v>3293</v>
      </c>
      <c r="E33" t="s">
        <v>4563</v>
      </c>
      <c r="F33" t="s">
        <v>4573</v>
      </c>
      <c r="H33" t="s">
        <v>4591</v>
      </c>
      <c r="I33">
        <v>1</v>
      </c>
      <c r="J33">
        <v>7.45</v>
      </c>
      <c r="K33">
        <v>0</v>
      </c>
      <c r="L33">
        <v>11.57</v>
      </c>
      <c r="M33" t="s">
        <v>5466</v>
      </c>
      <c r="N33" t="s">
        <v>5469</v>
      </c>
      <c r="O33" t="s">
        <v>5477</v>
      </c>
    </row>
    <row r="34" spans="1:15" x14ac:dyDescent="0.3">
      <c r="A34" t="s">
        <v>47</v>
      </c>
      <c r="B34" t="s">
        <v>1447</v>
      </c>
      <c r="C34" t="s">
        <v>2654</v>
      </c>
      <c r="E34" t="s">
        <v>4570</v>
      </c>
      <c r="F34" t="s">
        <v>4573</v>
      </c>
      <c r="G34" t="s">
        <v>4586</v>
      </c>
      <c r="H34" t="s">
        <v>4599</v>
      </c>
      <c r="I34">
        <v>1</v>
      </c>
      <c r="J34" t="s">
        <v>4632</v>
      </c>
      <c r="K34">
        <v>0.05</v>
      </c>
      <c r="L34">
        <v>0</v>
      </c>
      <c r="M34" t="s">
        <v>5467</v>
      </c>
      <c r="N34" t="s">
        <v>5469</v>
      </c>
      <c r="O34" t="s">
        <v>5479</v>
      </c>
    </row>
    <row r="35" spans="1:15" x14ac:dyDescent="0.3">
      <c r="A35" t="s">
        <v>48</v>
      </c>
      <c r="B35" t="s">
        <v>1448</v>
      </c>
      <c r="C35" t="s">
        <v>2655</v>
      </c>
      <c r="D35" t="s">
        <v>3294</v>
      </c>
      <c r="E35" t="s">
        <v>4571</v>
      </c>
      <c r="F35" t="s">
        <v>4578</v>
      </c>
      <c r="G35" t="s">
        <v>4583</v>
      </c>
      <c r="H35" t="s">
        <v>4605</v>
      </c>
      <c r="I35">
        <v>1</v>
      </c>
      <c r="J35" t="s">
        <v>4633</v>
      </c>
      <c r="K35">
        <v>0</v>
      </c>
      <c r="L35">
        <v>0</v>
      </c>
      <c r="M35" t="s">
        <v>5463</v>
      </c>
      <c r="N35" t="s">
        <v>5471</v>
      </c>
      <c r="O35" t="s">
        <v>5479</v>
      </c>
    </row>
    <row r="36" spans="1:15" x14ac:dyDescent="0.3">
      <c r="A36" t="s">
        <v>49</v>
      </c>
      <c r="B36" t="s">
        <v>1449</v>
      </c>
      <c r="C36" t="s">
        <v>2656</v>
      </c>
      <c r="E36" t="s">
        <v>4555</v>
      </c>
      <c r="F36" t="s">
        <v>4578</v>
      </c>
      <c r="G36" t="s">
        <v>4586</v>
      </c>
      <c r="H36" t="s">
        <v>4597</v>
      </c>
      <c r="I36">
        <v>10</v>
      </c>
      <c r="J36" t="s">
        <v>4634</v>
      </c>
      <c r="K36">
        <v>0</v>
      </c>
      <c r="L36">
        <v>6.94</v>
      </c>
      <c r="M36" t="s">
        <v>5467</v>
      </c>
      <c r="N36" t="s">
        <v>5473</v>
      </c>
      <c r="O36" t="s">
        <v>5477</v>
      </c>
    </row>
    <row r="37" spans="1:15" x14ac:dyDescent="0.3">
      <c r="A37" t="s">
        <v>50</v>
      </c>
      <c r="B37" t="s">
        <v>1450</v>
      </c>
      <c r="C37" t="s">
        <v>2657</v>
      </c>
      <c r="D37" t="s">
        <v>3295</v>
      </c>
      <c r="E37" t="s">
        <v>4565</v>
      </c>
      <c r="F37" t="s">
        <v>4575</v>
      </c>
      <c r="G37" t="s">
        <v>4584</v>
      </c>
      <c r="H37" t="s">
        <v>4589</v>
      </c>
      <c r="I37">
        <v>1</v>
      </c>
      <c r="J37" t="s">
        <v>4635</v>
      </c>
      <c r="K37">
        <v>0</v>
      </c>
      <c r="L37">
        <v>0</v>
      </c>
      <c r="N37" t="s">
        <v>5472</v>
      </c>
      <c r="O37" t="s">
        <v>5476</v>
      </c>
    </row>
    <row r="38" spans="1:15" x14ac:dyDescent="0.3">
      <c r="A38" t="s">
        <v>51</v>
      </c>
      <c r="B38" t="s">
        <v>1451</v>
      </c>
      <c r="C38" t="s">
        <v>2658</v>
      </c>
      <c r="D38" t="s">
        <v>3296</v>
      </c>
      <c r="E38" t="s">
        <v>4560</v>
      </c>
      <c r="F38" t="s">
        <v>4573</v>
      </c>
      <c r="G38" t="s">
        <v>4583</v>
      </c>
      <c r="H38" t="s">
        <v>4605</v>
      </c>
      <c r="I38">
        <v>-1</v>
      </c>
      <c r="J38" t="s">
        <v>4636</v>
      </c>
      <c r="K38">
        <v>0.1</v>
      </c>
      <c r="L38">
        <v>0.34</v>
      </c>
      <c r="M38" t="s">
        <v>5465</v>
      </c>
      <c r="O38" t="s">
        <v>5477</v>
      </c>
    </row>
    <row r="39" spans="1:15" x14ac:dyDescent="0.3">
      <c r="A39" t="s">
        <v>52</v>
      </c>
      <c r="B39" t="s">
        <v>1452</v>
      </c>
      <c r="C39" t="s">
        <v>2659</v>
      </c>
      <c r="D39" t="s">
        <v>3297</v>
      </c>
      <c r="E39" t="s">
        <v>4561</v>
      </c>
      <c r="F39" t="s">
        <v>4581</v>
      </c>
      <c r="G39" t="s">
        <v>4587</v>
      </c>
      <c r="H39" t="s">
        <v>4606</v>
      </c>
      <c r="I39">
        <v>1</v>
      </c>
      <c r="J39" t="s">
        <v>4637</v>
      </c>
      <c r="K39">
        <v>0.1</v>
      </c>
      <c r="L39">
        <v>4.2300000000000004</v>
      </c>
      <c r="M39" t="s">
        <v>5467</v>
      </c>
      <c r="N39" t="s">
        <v>5471</v>
      </c>
      <c r="O39" t="s">
        <v>5477</v>
      </c>
    </row>
    <row r="40" spans="1:15" x14ac:dyDescent="0.3">
      <c r="A40" t="s">
        <v>53</v>
      </c>
      <c r="B40" t="s">
        <v>1453</v>
      </c>
      <c r="C40" t="s">
        <v>2660</v>
      </c>
      <c r="D40" t="s">
        <v>3298</v>
      </c>
      <c r="E40" t="s">
        <v>4563</v>
      </c>
      <c r="F40" t="s">
        <v>4573</v>
      </c>
      <c r="G40" t="s">
        <v>4587</v>
      </c>
      <c r="H40" t="s">
        <v>4596</v>
      </c>
      <c r="I40">
        <v>1</v>
      </c>
      <c r="J40" t="s">
        <v>4638</v>
      </c>
      <c r="K40">
        <v>0</v>
      </c>
      <c r="L40">
        <v>3.47</v>
      </c>
      <c r="N40" t="s">
        <v>5472</v>
      </c>
      <c r="O40" t="s">
        <v>5477</v>
      </c>
    </row>
    <row r="41" spans="1:15" x14ac:dyDescent="0.3">
      <c r="A41" t="s">
        <v>54</v>
      </c>
      <c r="B41" t="s">
        <v>1454</v>
      </c>
      <c r="C41" t="s">
        <v>2661</v>
      </c>
      <c r="D41" t="s">
        <v>3299</v>
      </c>
      <c r="E41" t="s">
        <v>4559</v>
      </c>
      <c r="F41" t="s">
        <v>4577</v>
      </c>
      <c r="G41" t="s">
        <v>4583</v>
      </c>
      <c r="H41" t="s">
        <v>4605</v>
      </c>
      <c r="I41">
        <v>-1</v>
      </c>
      <c r="J41" t="s">
        <v>4639</v>
      </c>
      <c r="L41">
        <v>2.56</v>
      </c>
      <c r="M41" t="s">
        <v>5467</v>
      </c>
      <c r="N41" t="s">
        <v>5474</v>
      </c>
      <c r="O41" t="s">
        <v>5476</v>
      </c>
    </row>
    <row r="42" spans="1:15" x14ac:dyDescent="0.3">
      <c r="A42" t="s">
        <v>55</v>
      </c>
      <c r="B42" t="s">
        <v>1455</v>
      </c>
      <c r="C42" t="s">
        <v>2662</v>
      </c>
      <c r="D42" t="s">
        <v>3300</v>
      </c>
      <c r="E42" t="s">
        <v>4563</v>
      </c>
      <c r="F42" t="s">
        <v>4578</v>
      </c>
      <c r="G42" t="s">
        <v>4587</v>
      </c>
      <c r="H42" t="s">
        <v>4600</v>
      </c>
      <c r="I42">
        <v>3</v>
      </c>
      <c r="J42">
        <v>12.98</v>
      </c>
      <c r="K42" t="s">
        <v>5461</v>
      </c>
      <c r="L42">
        <v>4.28</v>
      </c>
      <c r="M42" t="s">
        <v>5464</v>
      </c>
      <c r="N42" t="s">
        <v>5472</v>
      </c>
      <c r="O42" t="s">
        <v>5477</v>
      </c>
    </row>
    <row r="43" spans="1:15" x14ac:dyDescent="0.3">
      <c r="A43" t="s">
        <v>56</v>
      </c>
      <c r="B43" t="s">
        <v>1456</v>
      </c>
      <c r="C43" t="s">
        <v>2663</v>
      </c>
      <c r="D43" t="s">
        <v>3301</v>
      </c>
      <c r="E43" t="s">
        <v>4564</v>
      </c>
      <c r="F43" t="s">
        <v>4578</v>
      </c>
      <c r="G43" t="s">
        <v>4586</v>
      </c>
      <c r="H43" t="s">
        <v>4593</v>
      </c>
      <c r="I43">
        <v>3</v>
      </c>
      <c r="J43" t="s">
        <v>4640</v>
      </c>
      <c r="K43">
        <v>0</v>
      </c>
      <c r="L43">
        <v>14.09</v>
      </c>
      <c r="M43" t="s">
        <v>5463</v>
      </c>
      <c r="O43" t="s">
        <v>5477</v>
      </c>
    </row>
    <row r="44" spans="1:15" x14ac:dyDescent="0.3">
      <c r="A44" t="s">
        <v>57</v>
      </c>
      <c r="B44" t="s">
        <v>1457</v>
      </c>
      <c r="C44" t="s">
        <v>2664</v>
      </c>
      <c r="D44" t="s">
        <v>3302</v>
      </c>
      <c r="E44" t="s">
        <v>4560</v>
      </c>
      <c r="F44" t="s">
        <v>4574</v>
      </c>
      <c r="G44" t="s">
        <v>4587</v>
      </c>
      <c r="H44" t="s">
        <v>4596</v>
      </c>
      <c r="I44">
        <v>4</v>
      </c>
      <c r="J44">
        <v>15.09</v>
      </c>
      <c r="K44">
        <v>0</v>
      </c>
      <c r="L44">
        <v>12</v>
      </c>
      <c r="M44" t="s">
        <v>5464</v>
      </c>
      <c r="N44" t="s">
        <v>5470</v>
      </c>
      <c r="O44" t="s">
        <v>5480</v>
      </c>
    </row>
    <row r="45" spans="1:15" x14ac:dyDescent="0.3">
      <c r="A45" t="s">
        <v>58</v>
      </c>
      <c r="B45" t="s">
        <v>1458</v>
      </c>
      <c r="C45" t="s">
        <v>2665</v>
      </c>
      <c r="D45" t="s">
        <v>3303</v>
      </c>
      <c r="E45" t="s">
        <v>4570</v>
      </c>
      <c r="F45" t="s">
        <v>4573</v>
      </c>
      <c r="G45" t="s">
        <v>4586</v>
      </c>
      <c r="H45" t="s">
        <v>4599</v>
      </c>
      <c r="I45">
        <v>2</v>
      </c>
      <c r="J45" t="s">
        <v>4641</v>
      </c>
      <c r="K45">
        <v>0</v>
      </c>
      <c r="L45">
        <v>11.03</v>
      </c>
      <c r="M45" t="s">
        <v>5467</v>
      </c>
      <c r="N45" t="s">
        <v>5471</v>
      </c>
      <c r="O45" t="s">
        <v>5477</v>
      </c>
    </row>
    <row r="46" spans="1:15" x14ac:dyDescent="0.3">
      <c r="A46" t="s">
        <v>59</v>
      </c>
      <c r="B46" t="s">
        <v>1459</v>
      </c>
      <c r="C46" t="s">
        <v>2622</v>
      </c>
      <c r="D46" t="s">
        <v>3304</v>
      </c>
      <c r="E46" t="s">
        <v>4552</v>
      </c>
      <c r="F46" t="s">
        <v>4575</v>
      </c>
      <c r="G46" t="s">
        <v>4586</v>
      </c>
      <c r="H46" t="s">
        <v>4593</v>
      </c>
      <c r="I46">
        <v>1</v>
      </c>
      <c r="J46" t="s">
        <v>4642</v>
      </c>
      <c r="L46">
        <v>11.59</v>
      </c>
      <c r="M46" t="s">
        <v>5462</v>
      </c>
      <c r="N46" t="s">
        <v>5474</v>
      </c>
      <c r="O46" t="s">
        <v>5476</v>
      </c>
    </row>
    <row r="47" spans="1:15" x14ac:dyDescent="0.3">
      <c r="A47" t="s">
        <v>60</v>
      </c>
      <c r="B47" t="s">
        <v>1460</v>
      </c>
      <c r="C47" t="s">
        <v>2666</v>
      </c>
      <c r="D47" t="s">
        <v>3305</v>
      </c>
      <c r="E47" t="s">
        <v>4568</v>
      </c>
      <c r="F47" t="s">
        <v>4577</v>
      </c>
      <c r="G47" t="s">
        <v>4585</v>
      </c>
      <c r="H47" t="s">
        <v>4592</v>
      </c>
      <c r="I47">
        <v>2</v>
      </c>
      <c r="J47" t="s">
        <v>4643</v>
      </c>
      <c r="K47" t="s">
        <v>5461</v>
      </c>
      <c r="L47">
        <v>9.35</v>
      </c>
      <c r="M47" t="s">
        <v>5468</v>
      </c>
      <c r="N47" t="s">
        <v>5470</v>
      </c>
      <c r="O47" t="s">
        <v>5478</v>
      </c>
    </row>
    <row r="48" spans="1:15" x14ac:dyDescent="0.3">
      <c r="A48" t="s">
        <v>61</v>
      </c>
      <c r="B48" t="s">
        <v>1461</v>
      </c>
      <c r="C48" t="s">
        <v>2667</v>
      </c>
      <c r="D48" t="s">
        <v>3306</v>
      </c>
      <c r="E48" t="s">
        <v>4563</v>
      </c>
      <c r="F48" t="s">
        <v>4578</v>
      </c>
      <c r="H48" t="s">
        <v>4604</v>
      </c>
      <c r="I48">
        <v>10</v>
      </c>
      <c r="J48" t="s">
        <v>4644</v>
      </c>
      <c r="K48">
        <v>0.15</v>
      </c>
      <c r="L48">
        <v>5.57</v>
      </c>
      <c r="M48" t="s">
        <v>5464</v>
      </c>
      <c r="O48" t="s">
        <v>5475</v>
      </c>
    </row>
    <row r="49" spans="1:15" x14ac:dyDescent="0.3">
      <c r="A49" t="s">
        <v>62</v>
      </c>
      <c r="B49" t="s">
        <v>1462</v>
      </c>
      <c r="C49" t="s">
        <v>2668</v>
      </c>
      <c r="D49" t="s">
        <v>3307</v>
      </c>
      <c r="E49" t="s">
        <v>4555</v>
      </c>
      <c r="F49" t="s">
        <v>4573</v>
      </c>
      <c r="G49" t="s">
        <v>4585</v>
      </c>
      <c r="H49" t="s">
        <v>4590</v>
      </c>
      <c r="I49">
        <v>4</v>
      </c>
      <c r="J49">
        <v>13.81</v>
      </c>
      <c r="K49">
        <v>0</v>
      </c>
      <c r="L49">
        <v>0</v>
      </c>
      <c r="O49" t="s">
        <v>5479</v>
      </c>
    </row>
    <row r="50" spans="1:15" x14ac:dyDescent="0.3">
      <c r="A50" t="s">
        <v>63</v>
      </c>
      <c r="B50" t="s">
        <v>1463</v>
      </c>
      <c r="C50" t="s">
        <v>2669</v>
      </c>
      <c r="D50" t="s">
        <v>3308</v>
      </c>
      <c r="E50" t="s">
        <v>4571</v>
      </c>
      <c r="F50" t="s">
        <v>4578</v>
      </c>
      <c r="G50" t="s">
        <v>4587</v>
      </c>
      <c r="H50" t="s">
        <v>4606</v>
      </c>
      <c r="I50">
        <v>5</v>
      </c>
      <c r="J50" t="s">
        <v>4645</v>
      </c>
      <c r="K50">
        <v>0</v>
      </c>
      <c r="L50">
        <v>8.48</v>
      </c>
      <c r="N50" t="s">
        <v>5470</v>
      </c>
      <c r="O50" t="s">
        <v>5478</v>
      </c>
    </row>
    <row r="51" spans="1:15" x14ac:dyDescent="0.3">
      <c r="A51" t="s">
        <v>64</v>
      </c>
      <c r="B51" t="s">
        <v>1464</v>
      </c>
      <c r="C51" t="s">
        <v>2670</v>
      </c>
      <c r="D51" t="s">
        <v>3309</v>
      </c>
      <c r="E51" t="s">
        <v>4560</v>
      </c>
      <c r="G51" t="s">
        <v>4584</v>
      </c>
      <c r="H51" t="s">
        <v>4589</v>
      </c>
      <c r="I51">
        <v>4</v>
      </c>
      <c r="J51" t="s">
        <v>4646</v>
      </c>
      <c r="K51" t="s">
        <v>5460</v>
      </c>
      <c r="L51">
        <v>2.1</v>
      </c>
      <c r="M51" t="s">
        <v>5464</v>
      </c>
      <c r="N51" t="s">
        <v>5472</v>
      </c>
      <c r="O51" t="s">
        <v>5478</v>
      </c>
    </row>
    <row r="52" spans="1:15" x14ac:dyDescent="0.3">
      <c r="A52" t="s">
        <v>65</v>
      </c>
      <c r="B52" t="s">
        <v>1465</v>
      </c>
      <c r="C52" t="s">
        <v>2671</v>
      </c>
      <c r="D52" t="s">
        <v>3310</v>
      </c>
      <c r="E52" t="s">
        <v>4555</v>
      </c>
      <c r="F52" t="s">
        <v>4578</v>
      </c>
      <c r="G52" t="s">
        <v>4586</v>
      </c>
      <c r="H52" t="s">
        <v>4593</v>
      </c>
      <c r="I52">
        <v>10</v>
      </c>
      <c r="J52">
        <v>113.36</v>
      </c>
      <c r="L52">
        <v>3.09</v>
      </c>
      <c r="M52" t="s">
        <v>5467</v>
      </c>
      <c r="N52" t="s">
        <v>5473</v>
      </c>
      <c r="O52" t="s">
        <v>5477</v>
      </c>
    </row>
    <row r="53" spans="1:15" x14ac:dyDescent="0.3">
      <c r="A53" t="s">
        <v>66</v>
      </c>
      <c r="B53" t="s">
        <v>1466</v>
      </c>
      <c r="C53" t="s">
        <v>2672</v>
      </c>
      <c r="D53" t="s">
        <v>3311</v>
      </c>
      <c r="E53" t="s">
        <v>4556</v>
      </c>
      <c r="G53" t="s">
        <v>4584</v>
      </c>
      <c r="H53" t="s">
        <v>4603</v>
      </c>
      <c r="I53">
        <v>4</v>
      </c>
      <c r="J53" t="s">
        <v>4647</v>
      </c>
      <c r="K53">
        <v>0.15</v>
      </c>
      <c r="L53">
        <v>2.12</v>
      </c>
      <c r="M53" t="s">
        <v>5468</v>
      </c>
      <c r="N53" t="s">
        <v>5474</v>
      </c>
      <c r="O53" t="s">
        <v>5475</v>
      </c>
    </row>
    <row r="54" spans="1:15" x14ac:dyDescent="0.3">
      <c r="A54" t="s">
        <v>67</v>
      </c>
      <c r="B54" t="s">
        <v>1467</v>
      </c>
      <c r="C54" t="s">
        <v>2673</v>
      </c>
      <c r="D54" t="s">
        <v>3312</v>
      </c>
      <c r="E54" t="s">
        <v>4550</v>
      </c>
      <c r="F54" t="s">
        <v>4574</v>
      </c>
      <c r="G54" t="s">
        <v>4583</v>
      </c>
      <c r="H54" t="s">
        <v>4604</v>
      </c>
      <c r="I54">
        <v>4</v>
      </c>
      <c r="J54">
        <v>22.57</v>
      </c>
      <c r="K54">
        <v>0</v>
      </c>
      <c r="L54">
        <v>0.26</v>
      </c>
      <c r="N54" t="s">
        <v>5474</v>
      </c>
      <c r="O54" t="s">
        <v>5477</v>
      </c>
    </row>
    <row r="55" spans="1:15" x14ac:dyDescent="0.3">
      <c r="A55" t="s">
        <v>68</v>
      </c>
      <c r="B55" t="s">
        <v>1468</v>
      </c>
      <c r="C55" t="s">
        <v>2674</v>
      </c>
      <c r="D55" t="s">
        <v>3313</v>
      </c>
      <c r="E55" t="s">
        <v>4570</v>
      </c>
      <c r="F55" t="s">
        <v>4573</v>
      </c>
      <c r="G55" t="s">
        <v>4584</v>
      </c>
      <c r="H55" t="s">
        <v>4601</v>
      </c>
      <c r="I55">
        <v>2</v>
      </c>
      <c r="J55" t="s">
        <v>4648</v>
      </c>
      <c r="K55">
        <v>0</v>
      </c>
      <c r="L55">
        <v>13.29</v>
      </c>
      <c r="M55" t="s">
        <v>5466</v>
      </c>
      <c r="N55" t="s">
        <v>5473</v>
      </c>
      <c r="O55" t="s">
        <v>5477</v>
      </c>
    </row>
    <row r="56" spans="1:15" x14ac:dyDescent="0.3">
      <c r="A56" t="s">
        <v>69</v>
      </c>
      <c r="B56" t="s">
        <v>1469</v>
      </c>
      <c r="C56" t="s">
        <v>2675</v>
      </c>
      <c r="D56" t="s">
        <v>3314</v>
      </c>
      <c r="E56" t="s">
        <v>4560</v>
      </c>
      <c r="F56" t="s">
        <v>4573</v>
      </c>
      <c r="G56" t="s">
        <v>4586</v>
      </c>
      <c r="H56" t="s">
        <v>4599</v>
      </c>
      <c r="I56">
        <v>10</v>
      </c>
      <c r="J56">
        <v>258.27999999999997</v>
      </c>
      <c r="K56">
        <v>0</v>
      </c>
      <c r="L56">
        <v>7.71</v>
      </c>
      <c r="M56" t="s">
        <v>5468</v>
      </c>
      <c r="N56" t="s">
        <v>5470</v>
      </c>
      <c r="O56" t="s">
        <v>5479</v>
      </c>
    </row>
    <row r="57" spans="1:15" x14ac:dyDescent="0.3">
      <c r="A57" t="s">
        <v>70</v>
      </c>
      <c r="B57" t="s">
        <v>1470</v>
      </c>
      <c r="C57" t="s">
        <v>2676</v>
      </c>
      <c r="D57" t="s">
        <v>3315</v>
      </c>
      <c r="E57" t="s">
        <v>4564</v>
      </c>
      <c r="F57" t="s">
        <v>4573</v>
      </c>
      <c r="G57" t="s">
        <v>4583</v>
      </c>
      <c r="H57" t="s">
        <v>4604</v>
      </c>
      <c r="I57">
        <v>2</v>
      </c>
      <c r="J57">
        <v>23.25</v>
      </c>
      <c r="K57">
        <v>0.15</v>
      </c>
      <c r="L57">
        <v>1.58</v>
      </c>
      <c r="N57" t="s">
        <v>5470</v>
      </c>
      <c r="O57" t="s">
        <v>5477</v>
      </c>
    </row>
    <row r="58" spans="1:15" x14ac:dyDescent="0.3">
      <c r="A58" t="s">
        <v>71</v>
      </c>
      <c r="B58" t="s">
        <v>1471</v>
      </c>
      <c r="C58" t="s">
        <v>2677</v>
      </c>
      <c r="D58" t="s">
        <v>3316</v>
      </c>
      <c r="E58" t="s">
        <v>4553</v>
      </c>
      <c r="F58" t="s">
        <v>4582</v>
      </c>
      <c r="G58" t="s">
        <v>4587</v>
      </c>
      <c r="H58" t="s">
        <v>4606</v>
      </c>
      <c r="I58">
        <v>-1</v>
      </c>
      <c r="J58">
        <v>29.09</v>
      </c>
      <c r="K58" t="s">
        <v>5460</v>
      </c>
      <c r="L58">
        <v>14.47</v>
      </c>
      <c r="N58" t="s">
        <v>5469</v>
      </c>
      <c r="O58" t="s">
        <v>5477</v>
      </c>
    </row>
    <row r="59" spans="1:15" x14ac:dyDescent="0.3">
      <c r="A59" t="s">
        <v>72</v>
      </c>
      <c r="B59" t="s">
        <v>1472</v>
      </c>
      <c r="C59" t="s">
        <v>2678</v>
      </c>
      <c r="E59" t="s">
        <v>4547</v>
      </c>
      <c r="F59" t="s">
        <v>4581</v>
      </c>
      <c r="G59" t="s">
        <v>4585</v>
      </c>
      <c r="H59" t="s">
        <v>4602</v>
      </c>
      <c r="I59">
        <v>3</v>
      </c>
      <c r="J59" t="s">
        <v>4649</v>
      </c>
      <c r="K59">
        <v>0.05</v>
      </c>
      <c r="L59">
        <v>6.09</v>
      </c>
      <c r="M59" t="s">
        <v>5464</v>
      </c>
      <c r="N59" t="s">
        <v>5469</v>
      </c>
      <c r="O59" t="s">
        <v>5477</v>
      </c>
    </row>
    <row r="60" spans="1:15" x14ac:dyDescent="0.3">
      <c r="A60" t="s">
        <v>73</v>
      </c>
      <c r="B60" t="s">
        <v>1473</v>
      </c>
      <c r="C60" t="s">
        <v>2679</v>
      </c>
      <c r="D60" t="s">
        <v>3317</v>
      </c>
      <c r="E60" t="s">
        <v>4555</v>
      </c>
      <c r="F60" t="s">
        <v>4573</v>
      </c>
      <c r="G60" t="s">
        <v>4587</v>
      </c>
      <c r="H60" t="s">
        <v>4606</v>
      </c>
      <c r="I60">
        <v>3</v>
      </c>
      <c r="J60" t="s">
        <v>4650</v>
      </c>
      <c r="K60">
        <v>0.1</v>
      </c>
      <c r="L60">
        <v>6</v>
      </c>
      <c r="M60" t="s">
        <v>5465</v>
      </c>
      <c r="N60" t="s">
        <v>5469</v>
      </c>
      <c r="O60" t="s">
        <v>5477</v>
      </c>
    </row>
    <row r="61" spans="1:15" x14ac:dyDescent="0.3">
      <c r="A61" t="s">
        <v>74</v>
      </c>
      <c r="B61" t="s">
        <v>1474</v>
      </c>
      <c r="C61" t="s">
        <v>2680</v>
      </c>
      <c r="D61" t="s">
        <v>3318</v>
      </c>
      <c r="E61" t="s">
        <v>4558</v>
      </c>
      <c r="G61" t="s">
        <v>4585</v>
      </c>
      <c r="H61" t="s">
        <v>4591</v>
      </c>
      <c r="I61">
        <v>1</v>
      </c>
      <c r="J61" t="s">
        <v>4651</v>
      </c>
      <c r="K61">
        <v>0.1</v>
      </c>
      <c r="L61">
        <v>4.24</v>
      </c>
      <c r="M61" t="s">
        <v>5464</v>
      </c>
      <c r="N61" t="s">
        <v>5469</v>
      </c>
      <c r="O61" t="s">
        <v>5477</v>
      </c>
    </row>
    <row r="62" spans="1:15" x14ac:dyDescent="0.3">
      <c r="A62" t="s">
        <v>75</v>
      </c>
      <c r="B62" t="s">
        <v>1475</v>
      </c>
      <c r="C62" t="s">
        <v>2681</v>
      </c>
      <c r="D62" t="s">
        <v>3319</v>
      </c>
      <c r="E62" t="s">
        <v>4565</v>
      </c>
      <c r="F62" t="s">
        <v>4579</v>
      </c>
      <c r="G62" t="s">
        <v>4584</v>
      </c>
      <c r="H62" t="s">
        <v>4607</v>
      </c>
      <c r="I62">
        <v>-1</v>
      </c>
      <c r="J62" t="s">
        <v>4652</v>
      </c>
      <c r="K62">
        <v>0.05</v>
      </c>
      <c r="L62">
        <v>14.06</v>
      </c>
      <c r="M62" t="s">
        <v>5468</v>
      </c>
      <c r="N62" t="s">
        <v>5470</v>
      </c>
      <c r="O62" t="s">
        <v>5477</v>
      </c>
    </row>
    <row r="63" spans="1:15" x14ac:dyDescent="0.3">
      <c r="A63" t="s">
        <v>76</v>
      </c>
      <c r="B63" t="s">
        <v>1476</v>
      </c>
      <c r="C63" t="s">
        <v>2682</v>
      </c>
      <c r="D63" t="s">
        <v>3320</v>
      </c>
      <c r="E63" t="s">
        <v>4559</v>
      </c>
      <c r="F63" t="s">
        <v>4573</v>
      </c>
      <c r="G63" t="s">
        <v>4583</v>
      </c>
      <c r="H63" t="s">
        <v>4605</v>
      </c>
      <c r="I63">
        <v>1</v>
      </c>
      <c r="J63" t="s">
        <v>4653</v>
      </c>
      <c r="K63" t="s">
        <v>5461</v>
      </c>
      <c r="L63">
        <v>5.93</v>
      </c>
      <c r="M63" t="s">
        <v>5465</v>
      </c>
      <c r="O63" t="s">
        <v>5477</v>
      </c>
    </row>
    <row r="64" spans="1:15" x14ac:dyDescent="0.3">
      <c r="A64" t="s">
        <v>77</v>
      </c>
      <c r="B64" t="s">
        <v>1477</v>
      </c>
      <c r="C64" t="s">
        <v>2683</v>
      </c>
      <c r="D64" t="s">
        <v>3321</v>
      </c>
      <c r="E64" t="s">
        <v>4570</v>
      </c>
      <c r="F64" t="s">
        <v>4574</v>
      </c>
      <c r="G64" t="s">
        <v>4586</v>
      </c>
      <c r="H64" t="s">
        <v>4593</v>
      </c>
      <c r="I64">
        <v>1</v>
      </c>
      <c r="J64">
        <v>111.43</v>
      </c>
      <c r="L64">
        <v>11.26</v>
      </c>
      <c r="M64" t="s">
        <v>5462</v>
      </c>
      <c r="O64" t="s">
        <v>5477</v>
      </c>
    </row>
    <row r="65" spans="1:15" x14ac:dyDescent="0.3">
      <c r="A65" t="s">
        <v>78</v>
      </c>
      <c r="B65" t="s">
        <v>1478</v>
      </c>
      <c r="C65" t="s">
        <v>2684</v>
      </c>
      <c r="D65" t="s">
        <v>3322</v>
      </c>
      <c r="E65" t="s">
        <v>4561</v>
      </c>
      <c r="F65" t="s">
        <v>4580</v>
      </c>
      <c r="G65" t="s">
        <v>4584</v>
      </c>
      <c r="H65" t="s">
        <v>4608</v>
      </c>
      <c r="I65">
        <v>10</v>
      </c>
      <c r="J65" t="s">
        <v>4654</v>
      </c>
      <c r="L65">
        <v>0.37</v>
      </c>
      <c r="M65" t="s">
        <v>5466</v>
      </c>
      <c r="N65" t="s">
        <v>5472</v>
      </c>
      <c r="O65" t="s">
        <v>5476</v>
      </c>
    </row>
    <row r="66" spans="1:15" x14ac:dyDescent="0.3">
      <c r="A66" t="s">
        <v>79</v>
      </c>
      <c r="B66" t="s">
        <v>1479</v>
      </c>
      <c r="C66" t="s">
        <v>2685</v>
      </c>
      <c r="D66" t="s">
        <v>3323</v>
      </c>
      <c r="E66" t="s">
        <v>4554</v>
      </c>
      <c r="F66" t="s">
        <v>4573</v>
      </c>
      <c r="G66" t="s">
        <v>4584</v>
      </c>
      <c r="H66" t="s">
        <v>4589</v>
      </c>
      <c r="I66">
        <v>3</v>
      </c>
      <c r="J66" t="s">
        <v>4655</v>
      </c>
      <c r="K66">
        <v>0.1</v>
      </c>
      <c r="L66">
        <v>7.18</v>
      </c>
      <c r="M66" t="s">
        <v>5467</v>
      </c>
      <c r="N66" t="s">
        <v>5474</v>
      </c>
      <c r="O66" t="s">
        <v>5480</v>
      </c>
    </row>
    <row r="67" spans="1:15" x14ac:dyDescent="0.3">
      <c r="A67" t="s">
        <v>80</v>
      </c>
      <c r="B67" t="s">
        <v>1480</v>
      </c>
      <c r="C67" t="s">
        <v>2686</v>
      </c>
      <c r="D67" t="s">
        <v>3324</v>
      </c>
      <c r="E67" t="s">
        <v>4553</v>
      </c>
      <c r="F67" t="s">
        <v>4577</v>
      </c>
      <c r="G67" t="s">
        <v>4587</v>
      </c>
      <c r="H67" t="s">
        <v>4600</v>
      </c>
      <c r="I67">
        <v>-1</v>
      </c>
      <c r="J67">
        <v>13.63</v>
      </c>
      <c r="K67" t="s">
        <v>5461</v>
      </c>
      <c r="L67">
        <v>8.17</v>
      </c>
      <c r="M67" t="s">
        <v>5465</v>
      </c>
      <c r="N67" t="s">
        <v>5471</v>
      </c>
      <c r="O67" t="s">
        <v>5475</v>
      </c>
    </row>
    <row r="68" spans="1:15" x14ac:dyDescent="0.3">
      <c r="A68" t="s">
        <v>81</v>
      </c>
      <c r="B68" t="s">
        <v>1481</v>
      </c>
      <c r="C68" t="s">
        <v>2687</v>
      </c>
      <c r="D68" t="s">
        <v>3325</v>
      </c>
      <c r="E68" t="s">
        <v>4571</v>
      </c>
      <c r="F68" t="s">
        <v>4578</v>
      </c>
      <c r="G68" t="s">
        <v>4587</v>
      </c>
      <c r="H68" t="s">
        <v>4600</v>
      </c>
      <c r="I68">
        <v>-1</v>
      </c>
      <c r="J68" t="s">
        <v>4656</v>
      </c>
      <c r="K68">
        <v>0.15</v>
      </c>
      <c r="L68">
        <v>10.73</v>
      </c>
      <c r="M68" t="s">
        <v>5466</v>
      </c>
      <c r="N68" t="s">
        <v>5473</v>
      </c>
      <c r="O68" t="s">
        <v>5476</v>
      </c>
    </row>
    <row r="69" spans="1:15" x14ac:dyDescent="0.3">
      <c r="A69" t="s">
        <v>82</v>
      </c>
      <c r="B69" t="s">
        <v>1482</v>
      </c>
      <c r="C69" t="s">
        <v>2688</v>
      </c>
      <c r="D69" t="s">
        <v>3326</v>
      </c>
      <c r="E69" t="s">
        <v>4549</v>
      </c>
      <c r="F69" t="s">
        <v>4573</v>
      </c>
      <c r="G69" t="s">
        <v>4586</v>
      </c>
      <c r="H69" t="s">
        <v>4593</v>
      </c>
      <c r="I69">
        <v>4</v>
      </c>
      <c r="J69" t="s">
        <v>4657</v>
      </c>
      <c r="K69">
        <v>0</v>
      </c>
      <c r="M69" t="s">
        <v>5466</v>
      </c>
      <c r="N69" t="s">
        <v>5473</v>
      </c>
      <c r="O69" t="s">
        <v>5477</v>
      </c>
    </row>
    <row r="70" spans="1:15" x14ac:dyDescent="0.3">
      <c r="A70" t="s">
        <v>71</v>
      </c>
      <c r="B70" t="s">
        <v>1471</v>
      </c>
      <c r="C70" t="s">
        <v>2677</v>
      </c>
      <c r="D70" t="s">
        <v>3316</v>
      </c>
      <c r="E70" t="s">
        <v>4553</v>
      </c>
      <c r="F70" t="s">
        <v>4582</v>
      </c>
      <c r="G70" t="s">
        <v>4587</v>
      </c>
      <c r="H70" t="s">
        <v>4606</v>
      </c>
      <c r="I70">
        <v>-1</v>
      </c>
      <c r="J70">
        <v>29.09</v>
      </c>
      <c r="K70" t="s">
        <v>5460</v>
      </c>
      <c r="L70">
        <v>14.47</v>
      </c>
      <c r="N70" t="s">
        <v>5469</v>
      </c>
      <c r="O70" t="s">
        <v>5477</v>
      </c>
    </row>
    <row r="71" spans="1:15" x14ac:dyDescent="0.3">
      <c r="A71" t="s">
        <v>83</v>
      </c>
      <c r="B71" t="s">
        <v>1483</v>
      </c>
      <c r="C71" t="s">
        <v>2689</v>
      </c>
      <c r="D71" t="s">
        <v>3327</v>
      </c>
      <c r="E71" t="s">
        <v>4560</v>
      </c>
      <c r="F71" t="s">
        <v>4573</v>
      </c>
      <c r="G71" t="s">
        <v>4585</v>
      </c>
      <c r="H71" t="s">
        <v>4602</v>
      </c>
      <c r="I71">
        <v>5</v>
      </c>
      <c r="J71" t="s">
        <v>4658</v>
      </c>
      <c r="K71" t="s">
        <v>5460</v>
      </c>
      <c r="L71">
        <v>9.8800000000000008</v>
      </c>
      <c r="M71" t="s">
        <v>5464</v>
      </c>
      <c r="N71" t="s">
        <v>5471</v>
      </c>
      <c r="O71" t="s">
        <v>5477</v>
      </c>
    </row>
    <row r="72" spans="1:15" x14ac:dyDescent="0.3">
      <c r="A72" t="s">
        <v>84</v>
      </c>
      <c r="B72" t="s">
        <v>1484</v>
      </c>
      <c r="C72" t="s">
        <v>2690</v>
      </c>
      <c r="D72" t="s">
        <v>3328</v>
      </c>
      <c r="E72" t="s">
        <v>4568</v>
      </c>
      <c r="F72" t="s">
        <v>4582</v>
      </c>
      <c r="G72" t="s">
        <v>4583</v>
      </c>
      <c r="H72" t="s">
        <v>4588</v>
      </c>
      <c r="I72">
        <v>1</v>
      </c>
      <c r="J72">
        <v>38.19</v>
      </c>
      <c r="K72">
        <v>0.15</v>
      </c>
      <c r="M72" t="s">
        <v>5462</v>
      </c>
      <c r="N72" t="s">
        <v>5470</v>
      </c>
      <c r="O72" t="s">
        <v>5480</v>
      </c>
    </row>
    <row r="73" spans="1:15" x14ac:dyDescent="0.3">
      <c r="A73" t="s">
        <v>85</v>
      </c>
      <c r="B73" t="s">
        <v>1485</v>
      </c>
      <c r="C73" t="s">
        <v>2691</v>
      </c>
      <c r="D73" t="s">
        <v>3329</v>
      </c>
      <c r="E73" t="s">
        <v>4565</v>
      </c>
      <c r="F73" t="s">
        <v>4575</v>
      </c>
      <c r="G73" t="s">
        <v>4586</v>
      </c>
      <c r="H73" t="s">
        <v>4593</v>
      </c>
      <c r="I73">
        <v>5</v>
      </c>
      <c r="J73" t="s">
        <v>4659</v>
      </c>
      <c r="K73">
        <v>0.1</v>
      </c>
      <c r="L73">
        <v>14.98</v>
      </c>
      <c r="N73" t="s">
        <v>5471</v>
      </c>
      <c r="O73" t="s">
        <v>5477</v>
      </c>
    </row>
    <row r="74" spans="1:15" x14ac:dyDescent="0.3">
      <c r="A74" t="s">
        <v>86</v>
      </c>
      <c r="B74" t="s">
        <v>1486</v>
      </c>
      <c r="C74" t="s">
        <v>2692</v>
      </c>
      <c r="D74" t="s">
        <v>3330</v>
      </c>
      <c r="E74" t="s">
        <v>4553</v>
      </c>
      <c r="F74" t="s">
        <v>4582</v>
      </c>
      <c r="G74" t="s">
        <v>4585</v>
      </c>
      <c r="H74" t="s">
        <v>4598</v>
      </c>
      <c r="I74">
        <v>2</v>
      </c>
      <c r="J74" t="s">
        <v>4660</v>
      </c>
      <c r="L74">
        <v>3.56</v>
      </c>
      <c r="M74" t="s">
        <v>5463</v>
      </c>
      <c r="N74" t="s">
        <v>5473</v>
      </c>
      <c r="O74" t="s">
        <v>5478</v>
      </c>
    </row>
    <row r="75" spans="1:15" x14ac:dyDescent="0.3">
      <c r="A75" t="s">
        <v>87</v>
      </c>
      <c r="B75" t="s">
        <v>1487</v>
      </c>
      <c r="C75" t="s">
        <v>2693</v>
      </c>
      <c r="D75" t="s">
        <v>3331</v>
      </c>
      <c r="E75" t="s">
        <v>4561</v>
      </c>
      <c r="F75" t="s">
        <v>4580</v>
      </c>
      <c r="G75" t="s">
        <v>4584</v>
      </c>
      <c r="H75" t="s">
        <v>4589</v>
      </c>
      <c r="I75">
        <v>1</v>
      </c>
      <c r="J75" t="s">
        <v>4661</v>
      </c>
      <c r="K75" t="s">
        <v>5460</v>
      </c>
      <c r="L75">
        <v>10.54</v>
      </c>
      <c r="N75" t="s">
        <v>5469</v>
      </c>
      <c r="O75" t="s">
        <v>5477</v>
      </c>
    </row>
    <row r="76" spans="1:15" x14ac:dyDescent="0.3">
      <c r="A76" t="s">
        <v>88</v>
      </c>
      <c r="B76" t="s">
        <v>1488</v>
      </c>
      <c r="C76" t="s">
        <v>2694</v>
      </c>
      <c r="D76" t="s">
        <v>3332</v>
      </c>
      <c r="E76" t="s">
        <v>4548</v>
      </c>
      <c r="F76" t="s">
        <v>4573</v>
      </c>
      <c r="G76" t="s">
        <v>4587</v>
      </c>
      <c r="H76" t="s">
        <v>4606</v>
      </c>
      <c r="I76">
        <v>4</v>
      </c>
      <c r="J76" t="s">
        <v>4662</v>
      </c>
      <c r="K76">
        <v>0</v>
      </c>
      <c r="L76">
        <v>6.33</v>
      </c>
      <c r="M76" t="s">
        <v>5464</v>
      </c>
      <c r="N76" t="s">
        <v>5473</v>
      </c>
      <c r="O76" t="s">
        <v>5480</v>
      </c>
    </row>
    <row r="77" spans="1:15" x14ac:dyDescent="0.3">
      <c r="A77" t="s">
        <v>89</v>
      </c>
      <c r="B77" t="s">
        <v>1489</v>
      </c>
      <c r="C77" t="s">
        <v>2679</v>
      </c>
      <c r="D77" t="s">
        <v>3333</v>
      </c>
      <c r="E77" t="s">
        <v>4551</v>
      </c>
      <c r="F77" t="s">
        <v>4575</v>
      </c>
      <c r="H77" t="s">
        <v>4600</v>
      </c>
      <c r="I77">
        <v>5</v>
      </c>
      <c r="J77" t="s">
        <v>4663</v>
      </c>
      <c r="K77" t="s">
        <v>5460</v>
      </c>
      <c r="L77">
        <v>4.95</v>
      </c>
      <c r="M77" t="s">
        <v>5465</v>
      </c>
      <c r="N77" t="s">
        <v>5473</v>
      </c>
      <c r="O77" t="s">
        <v>5478</v>
      </c>
    </row>
    <row r="78" spans="1:15" x14ac:dyDescent="0.3">
      <c r="A78" t="s">
        <v>90</v>
      </c>
      <c r="B78" t="s">
        <v>1490</v>
      </c>
      <c r="C78" t="s">
        <v>2695</v>
      </c>
      <c r="D78" t="s">
        <v>3334</v>
      </c>
      <c r="E78" t="s">
        <v>4569</v>
      </c>
      <c r="F78" t="s">
        <v>4581</v>
      </c>
      <c r="G78" t="s">
        <v>4586</v>
      </c>
      <c r="H78" t="s">
        <v>4609</v>
      </c>
      <c r="I78">
        <v>3</v>
      </c>
      <c r="J78" t="s">
        <v>4664</v>
      </c>
      <c r="K78">
        <v>0.15</v>
      </c>
      <c r="L78">
        <v>8.2100000000000009</v>
      </c>
      <c r="M78" t="s">
        <v>5465</v>
      </c>
      <c r="O78" t="s">
        <v>5477</v>
      </c>
    </row>
    <row r="79" spans="1:15" x14ac:dyDescent="0.3">
      <c r="A79" t="s">
        <v>91</v>
      </c>
      <c r="B79" t="s">
        <v>1491</v>
      </c>
      <c r="C79" t="s">
        <v>2696</v>
      </c>
      <c r="D79" t="s">
        <v>3335</v>
      </c>
      <c r="E79" t="s">
        <v>4564</v>
      </c>
      <c r="F79" t="s">
        <v>4573</v>
      </c>
      <c r="G79" t="s">
        <v>4587</v>
      </c>
      <c r="H79" t="s">
        <v>4600</v>
      </c>
      <c r="I79">
        <v>4</v>
      </c>
      <c r="J79">
        <v>12.66</v>
      </c>
      <c r="K79" t="s">
        <v>5460</v>
      </c>
      <c r="L79">
        <v>8.9700000000000006</v>
      </c>
      <c r="M79" t="s">
        <v>5465</v>
      </c>
      <c r="N79" t="s">
        <v>5474</v>
      </c>
      <c r="O79" t="s">
        <v>5479</v>
      </c>
    </row>
    <row r="80" spans="1:15" x14ac:dyDescent="0.3">
      <c r="A80" t="s">
        <v>92</v>
      </c>
      <c r="B80" t="s">
        <v>1492</v>
      </c>
      <c r="C80" t="s">
        <v>2697</v>
      </c>
      <c r="D80" t="s">
        <v>3336</v>
      </c>
      <c r="E80" t="s">
        <v>4562</v>
      </c>
      <c r="F80" t="s">
        <v>4576</v>
      </c>
      <c r="G80" t="s">
        <v>4583</v>
      </c>
      <c r="H80" t="s">
        <v>4610</v>
      </c>
      <c r="I80">
        <v>3</v>
      </c>
      <c r="J80" t="s">
        <v>4665</v>
      </c>
      <c r="K80">
        <v>0</v>
      </c>
      <c r="L80">
        <v>9.36</v>
      </c>
      <c r="M80" t="s">
        <v>5463</v>
      </c>
      <c r="N80" t="s">
        <v>5473</v>
      </c>
      <c r="O80" t="s">
        <v>5475</v>
      </c>
    </row>
    <row r="81" spans="1:15" x14ac:dyDescent="0.3">
      <c r="A81" t="s">
        <v>93</v>
      </c>
      <c r="B81" t="s">
        <v>1493</v>
      </c>
      <c r="C81" t="s">
        <v>2698</v>
      </c>
      <c r="D81" t="s">
        <v>3337</v>
      </c>
      <c r="E81" t="s">
        <v>4550</v>
      </c>
      <c r="F81" t="s">
        <v>4574</v>
      </c>
      <c r="G81" t="s">
        <v>4585</v>
      </c>
      <c r="H81" t="s">
        <v>4598</v>
      </c>
      <c r="I81">
        <v>5</v>
      </c>
      <c r="J81" t="s">
        <v>4666</v>
      </c>
      <c r="K81">
        <v>0</v>
      </c>
      <c r="L81">
        <v>0.15</v>
      </c>
      <c r="M81" t="s">
        <v>5462</v>
      </c>
      <c r="N81" t="s">
        <v>5474</v>
      </c>
      <c r="O81" t="s">
        <v>5479</v>
      </c>
    </row>
    <row r="82" spans="1:15" x14ac:dyDescent="0.3">
      <c r="A82" t="s">
        <v>94</v>
      </c>
      <c r="B82" t="s">
        <v>1494</v>
      </c>
      <c r="C82" t="s">
        <v>2699</v>
      </c>
      <c r="D82" t="s">
        <v>3338</v>
      </c>
      <c r="E82" t="s">
        <v>4567</v>
      </c>
      <c r="F82" t="s">
        <v>4582</v>
      </c>
      <c r="G82" t="s">
        <v>4587</v>
      </c>
      <c r="H82" t="s">
        <v>4594</v>
      </c>
      <c r="I82">
        <v>1</v>
      </c>
      <c r="J82" t="s">
        <v>4667</v>
      </c>
      <c r="K82" t="s">
        <v>5461</v>
      </c>
      <c r="L82">
        <v>0.14000000000000001</v>
      </c>
      <c r="M82" t="s">
        <v>5468</v>
      </c>
      <c r="N82" t="s">
        <v>5474</v>
      </c>
      <c r="O82" t="s">
        <v>5477</v>
      </c>
    </row>
    <row r="83" spans="1:15" x14ac:dyDescent="0.3">
      <c r="A83" t="s">
        <v>95</v>
      </c>
      <c r="B83" t="s">
        <v>1495</v>
      </c>
      <c r="C83" t="s">
        <v>2700</v>
      </c>
      <c r="D83" t="s">
        <v>3339</v>
      </c>
      <c r="E83" t="s">
        <v>4555</v>
      </c>
      <c r="F83" t="s">
        <v>4578</v>
      </c>
      <c r="G83" t="s">
        <v>4586</v>
      </c>
      <c r="H83" t="s">
        <v>4593</v>
      </c>
      <c r="I83">
        <v>10</v>
      </c>
      <c r="J83" t="s">
        <v>4668</v>
      </c>
      <c r="K83" t="s">
        <v>5461</v>
      </c>
      <c r="L83">
        <v>0</v>
      </c>
      <c r="M83" t="s">
        <v>5466</v>
      </c>
      <c r="O83" t="s">
        <v>5477</v>
      </c>
    </row>
    <row r="84" spans="1:15" x14ac:dyDescent="0.3">
      <c r="A84" t="s">
        <v>96</v>
      </c>
      <c r="B84" t="s">
        <v>1496</v>
      </c>
      <c r="C84" t="s">
        <v>2701</v>
      </c>
      <c r="D84" t="s">
        <v>3340</v>
      </c>
      <c r="E84" t="s">
        <v>4551</v>
      </c>
      <c r="F84" t="s">
        <v>4576</v>
      </c>
      <c r="G84" t="s">
        <v>4586</v>
      </c>
      <c r="H84" t="s">
        <v>4597</v>
      </c>
      <c r="I84">
        <v>2</v>
      </c>
      <c r="J84">
        <v>87.15</v>
      </c>
      <c r="K84" t="s">
        <v>5461</v>
      </c>
      <c r="L84">
        <v>4.57</v>
      </c>
      <c r="M84" t="s">
        <v>5465</v>
      </c>
      <c r="N84" t="s">
        <v>5472</v>
      </c>
      <c r="O84" t="s">
        <v>5477</v>
      </c>
    </row>
    <row r="85" spans="1:15" x14ac:dyDescent="0.3">
      <c r="A85" t="s">
        <v>97</v>
      </c>
      <c r="B85" t="s">
        <v>1497</v>
      </c>
      <c r="C85" t="s">
        <v>2702</v>
      </c>
      <c r="D85" t="s">
        <v>3341</v>
      </c>
      <c r="E85" t="s">
        <v>4568</v>
      </c>
      <c r="F85" t="s">
        <v>4573</v>
      </c>
      <c r="G85" t="s">
        <v>4587</v>
      </c>
      <c r="H85" t="s">
        <v>4606</v>
      </c>
      <c r="I85">
        <v>1</v>
      </c>
      <c r="J85">
        <v>29.05</v>
      </c>
      <c r="K85">
        <v>0.05</v>
      </c>
      <c r="L85">
        <v>4.1500000000000004</v>
      </c>
      <c r="M85" t="s">
        <v>5465</v>
      </c>
      <c r="N85" t="s">
        <v>5469</v>
      </c>
      <c r="O85" t="s">
        <v>5477</v>
      </c>
    </row>
    <row r="86" spans="1:15" x14ac:dyDescent="0.3">
      <c r="A86" t="s">
        <v>98</v>
      </c>
      <c r="B86" t="s">
        <v>1498</v>
      </c>
      <c r="C86" t="s">
        <v>2703</v>
      </c>
      <c r="E86" t="s">
        <v>4549</v>
      </c>
      <c r="F86" t="s">
        <v>4574</v>
      </c>
      <c r="G86" t="s">
        <v>4586</v>
      </c>
      <c r="H86" t="s">
        <v>4609</v>
      </c>
      <c r="I86">
        <v>1</v>
      </c>
      <c r="J86">
        <v>132.29</v>
      </c>
      <c r="K86" t="s">
        <v>5460</v>
      </c>
      <c r="L86">
        <v>11.52</v>
      </c>
      <c r="M86" t="s">
        <v>5466</v>
      </c>
      <c r="O86" t="s">
        <v>5479</v>
      </c>
    </row>
    <row r="87" spans="1:15" x14ac:dyDescent="0.3">
      <c r="A87" t="s">
        <v>99</v>
      </c>
      <c r="B87" t="s">
        <v>1499</v>
      </c>
      <c r="C87" t="s">
        <v>2704</v>
      </c>
      <c r="D87" t="s">
        <v>3342</v>
      </c>
      <c r="E87" t="s">
        <v>4568</v>
      </c>
      <c r="F87" t="s">
        <v>4573</v>
      </c>
      <c r="G87" t="s">
        <v>4587</v>
      </c>
      <c r="H87" t="s">
        <v>4596</v>
      </c>
      <c r="I87">
        <v>3</v>
      </c>
      <c r="J87" t="s">
        <v>4669</v>
      </c>
      <c r="L87">
        <v>8.76</v>
      </c>
      <c r="M87" t="s">
        <v>5463</v>
      </c>
      <c r="N87" t="s">
        <v>5474</v>
      </c>
      <c r="O87" t="s">
        <v>5477</v>
      </c>
    </row>
    <row r="88" spans="1:15" x14ac:dyDescent="0.3">
      <c r="A88" t="s">
        <v>100</v>
      </c>
      <c r="B88" t="s">
        <v>1500</v>
      </c>
      <c r="C88" t="s">
        <v>2705</v>
      </c>
      <c r="D88" t="s">
        <v>3343</v>
      </c>
      <c r="E88" t="s">
        <v>4552</v>
      </c>
      <c r="F88" t="s">
        <v>4579</v>
      </c>
      <c r="G88" t="s">
        <v>4587</v>
      </c>
      <c r="H88" t="s">
        <v>4594</v>
      </c>
      <c r="I88">
        <v>2</v>
      </c>
      <c r="J88" t="s">
        <v>4670</v>
      </c>
      <c r="K88">
        <v>0</v>
      </c>
      <c r="L88">
        <v>2.29</v>
      </c>
      <c r="M88" t="s">
        <v>5462</v>
      </c>
      <c r="N88" t="s">
        <v>5474</v>
      </c>
      <c r="O88" t="s">
        <v>5476</v>
      </c>
    </row>
    <row r="89" spans="1:15" x14ac:dyDescent="0.3">
      <c r="A89" t="s">
        <v>101</v>
      </c>
      <c r="B89" t="s">
        <v>1501</v>
      </c>
      <c r="C89" t="s">
        <v>2706</v>
      </c>
      <c r="D89" t="s">
        <v>3344</v>
      </c>
      <c r="E89" t="s">
        <v>4558</v>
      </c>
      <c r="F89" t="s">
        <v>4581</v>
      </c>
      <c r="G89" t="s">
        <v>4587</v>
      </c>
      <c r="H89" t="s">
        <v>4606</v>
      </c>
      <c r="I89">
        <v>1</v>
      </c>
      <c r="J89">
        <v>30.29</v>
      </c>
      <c r="K89">
        <v>0.15</v>
      </c>
      <c r="L89">
        <v>0.88</v>
      </c>
      <c r="M89" t="s">
        <v>5465</v>
      </c>
      <c r="N89" t="s">
        <v>5474</v>
      </c>
      <c r="O89" t="s">
        <v>5477</v>
      </c>
    </row>
    <row r="90" spans="1:15" x14ac:dyDescent="0.3">
      <c r="A90" t="s">
        <v>102</v>
      </c>
      <c r="B90" t="s">
        <v>1502</v>
      </c>
      <c r="C90" t="s">
        <v>2639</v>
      </c>
      <c r="E90" t="s">
        <v>4558</v>
      </c>
      <c r="F90" t="s">
        <v>4581</v>
      </c>
      <c r="G90" t="s">
        <v>4587</v>
      </c>
      <c r="H90" t="s">
        <v>4594</v>
      </c>
      <c r="I90">
        <v>3</v>
      </c>
      <c r="J90" t="s">
        <v>4671</v>
      </c>
      <c r="K90">
        <v>0</v>
      </c>
      <c r="L90">
        <v>11.27</v>
      </c>
      <c r="M90" t="s">
        <v>5463</v>
      </c>
      <c r="N90" t="s">
        <v>5472</v>
      </c>
      <c r="O90" t="s">
        <v>5478</v>
      </c>
    </row>
    <row r="91" spans="1:15" x14ac:dyDescent="0.3">
      <c r="A91" t="s">
        <v>103</v>
      </c>
      <c r="B91" t="s">
        <v>1503</v>
      </c>
      <c r="C91" t="s">
        <v>2707</v>
      </c>
      <c r="D91" t="s">
        <v>3345</v>
      </c>
      <c r="E91" t="s">
        <v>4568</v>
      </c>
      <c r="F91" t="s">
        <v>4582</v>
      </c>
      <c r="G91" t="s">
        <v>4585</v>
      </c>
      <c r="H91" t="s">
        <v>4590</v>
      </c>
      <c r="I91">
        <v>2</v>
      </c>
      <c r="J91" t="s">
        <v>4672</v>
      </c>
      <c r="K91">
        <v>0</v>
      </c>
      <c r="L91">
        <v>13.03</v>
      </c>
      <c r="O91" t="s">
        <v>5477</v>
      </c>
    </row>
    <row r="92" spans="1:15" x14ac:dyDescent="0.3">
      <c r="A92" t="s">
        <v>104</v>
      </c>
      <c r="B92" t="s">
        <v>1504</v>
      </c>
      <c r="C92" t="s">
        <v>2641</v>
      </c>
      <c r="D92" t="s">
        <v>3346</v>
      </c>
      <c r="E92" t="s">
        <v>4550</v>
      </c>
      <c r="F92" t="s">
        <v>4574</v>
      </c>
      <c r="G92" t="s">
        <v>4587</v>
      </c>
      <c r="H92" t="s">
        <v>4606</v>
      </c>
      <c r="I92">
        <v>4</v>
      </c>
      <c r="J92" t="s">
        <v>4673</v>
      </c>
      <c r="K92">
        <v>0.15</v>
      </c>
      <c r="L92">
        <v>13.26</v>
      </c>
      <c r="M92" t="s">
        <v>5463</v>
      </c>
      <c r="N92" t="s">
        <v>5470</v>
      </c>
      <c r="O92" t="s">
        <v>5478</v>
      </c>
    </row>
    <row r="93" spans="1:15" x14ac:dyDescent="0.3">
      <c r="A93" t="s">
        <v>105</v>
      </c>
      <c r="B93" t="s">
        <v>1505</v>
      </c>
      <c r="C93" t="s">
        <v>2708</v>
      </c>
      <c r="D93" t="s">
        <v>3347</v>
      </c>
      <c r="E93" t="s">
        <v>4551</v>
      </c>
      <c r="F93" t="s">
        <v>4579</v>
      </c>
      <c r="G93" t="s">
        <v>4583</v>
      </c>
      <c r="H93" t="s">
        <v>4605</v>
      </c>
      <c r="I93">
        <v>2</v>
      </c>
      <c r="J93">
        <v>43.19</v>
      </c>
      <c r="K93">
        <v>0</v>
      </c>
      <c r="L93">
        <v>11.56</v>
      </c>
      <c r="M93" t="s">
        <v>5466</v>
      </c>
      <c r="N93" t="s">
        <v>5471</v>
      </c>
      <c r="O93" t="s">
        <v>5475</v>
      </c>
    </row>
    <row r="94" spans="1:15" x14ac:dyDescent="0.3">
      <c r="A94" t="s">
        <v>106</v>
      </c>
      <c r="B94" t="s">
        <v>1506</v>
      </c>
      <c r="C94" t="s">
        <v>2709</v>
      </c>
      <c r="D94" t="s">
        <v>3348</v>
      </c>
      <c r="E94" t="s">
        <v>4570</v>
      </c>
      <c r="F94" t="s">
        <v>4574</v>
      </c>
      <c r="H94" t="s">
        <v>4598</v>
      </c>
      <c r="I94">
        <v>2</v>
      </c>
      <c r="J94">
        <v>3.05</v>
      </c>
      <c r="K94">
        <v>0</v>
      </c>
      <c r="L94">
        <v>0.02</v>
      </c>
      <c r="M94" t="s">
        <v>5463</v>
      </c>
      <c r="N94" t="s">
        <v>5469</v>
      </c>
      <c r="O94" t="s">
        <v>5477</v>
      </c>
    </row>
    <row r="95" spans="1:15" x14ac:dyDescent="0.3">
      <c r="A95" t="s">
        <v>107</v>
      </c>
      <c r="B95" t="s">
        <v>1507</v>
      </c>
      <c r="C95" t="s">
        <v>2710</v>
      </c>
      <c r="D95" t="s">
        <v>3349</v>
      </c>
      <c r="E95" t="s">
        <v>4555</v>
      </c>
      <c r="F95" t="s">
        <v>4578</v>
      </c>
      <c r="G95" t="s">
        <v>4584</v>
      </c>
      <c r="H95" t="s">
        <v>4607</v>
      </c>
      <c r="I95">
        <v>1</v>
      </c>
      <c r="J95">
        <v>26.08</v>
      </c>
      <c r="K95" t="s">
        <v>5461</v>
      </c>
      <c r="L95">
        <v>6.46</v>
      </c>
      <c r="M95" t="s">
        <v>5463</v>
      </c>
      <c r="N95" t="s">
        <v>5470</v>
      </c>
      <c r="O95" t="s">
        <v>5475</v>
      </c>
    </row>
    <row r="96" spans="1:15" x14ac:dyDescent="0.3">
      <c r="A96" t="s">
        <v>108</v>
      </c>
      <c r="B96" t="s">
        <v>1508</v>
      </c>
      <c r="C96" t="s">
        <v>2711</v>
      </c>
      <c r="D96" t="s">
        <v>3350</v>
      </c>
      <c r="E96" t="s">
        <v>4551</v>
      </c>
      <c r="F96" t="s">
        <v>4579</v>
      </c>
      <c r="G96" t="s">
        <v>4583</v>
      </c>
      <c r="H96" t="s">
        <v>4604</v>
      </c>
      <c r="I96">
        <v>5</v>
      </c>
      <c r="J96" t="s">
        <v>4674</v>
      </c>
      <c r="K96" t="s">
        <v>5460</v>
      </c>
      <c r="L96">
        <v>8.84</v>
      </c>
      <c r="N96" t="s">
        <v>5469</v>
      </c>
      <c r="O96" t="s">
        <v>5477</v>
      </c>
    </row>
    <row r="97" spans="1:15" x14ac:dyDescent="0.3">
      <c r="A97" t="s">
        <v>109</v>
      </c>
      <c r="B97" t="s">
        <v>1509</v>
      </c>
      <c r="C97" t="s">
        <v>2712</v>
      </c>
      <c r="D97" t="s">
        <v>3351</v>
      </c>
      <c r="E97" t="s">
        <v>4571</v>
      </c>
      <c r="F97" t="s">
        <v>4573</v>
      </c>
      <c r="G97" t="s">
        <v>4586</v>
      </c>
      <c r="H97" t="s">
        <v>4593</v>
      </c>
      <c r="I97">
        <v>10</v>
      </c>
      <c r="J97">
        <v>114.7</v>
      </c>
      <c r="K97">
        <v>0</v>
      </c>
      <c r="L97">
        <v>3.6</v>
      </c>
      <c r="M97" t="s">
        <v>5464</v>
      </c>
      <c r="N97" t="s">
        <v>5470</v>
      </c>
      <c r="O97" t="s">
        <v>5477</v>
      </c>
    </row>
    <row r="98" spans="1:15" x14ac:dyDescent="0.3">
      <c r="A98" t="s">
        <v>110</v>
      </c>
      <c r="B98" t="s">
        <v>1510</v>
      </c>
      <c r="C98" t="s">
        <v>2713</v>
      </c>
      <c r="D98" t="s">
        <v>3352</v>
      </c>
      <c r="E98" t="s">
        <v>4567</v>
      </c>
      <c r="F98" t="s">
        <v>4582</v>
      </c>
      <c r="G98" t="s">
        <v>4584</v>
      </c>
      <c r="H98" t="s">
        <v>4608</v>
      </c>
      <c r="I98">
        <v>1</v>
      </c>
      <c r="J98">
        <v>19.079999999999998</v>
      </c>
      <c r="K98">
        <v>0</v>
      </c>
      <c r="M98" t="s">
        <v>5468</v>
      </c>
      <c r="N98" t="s">
        <v>5470</v>
      </c>
      <c r="O98" t="s">
        <v>5477</v>
      </c>
    </row>
    <row r="99" spans="1:15" x14ac:dyDescent="0.3">
      <c r="A99" t="s">
        <v>111</v>
      </c>
      <c r="B99" t="s">
        <v>1511</v>
      </c>
      <c r="C99" t="s">
        <v>2714</v>
      </c>
      <c r="D99" t="s">
        <v>3353</v>
      </c>
      <c r="E99" t="s">
        <v>4570</v>
      </c>
      <c r="F99" t="s">
        <v>4573</v>
      </c>
      <c r="G99" t="s">
        <v>4584</v>
      </c>
      <c r="H99" t="s">
        <v>4608</v>
      </c>
      <c r="I99">
        <v>2</v>
      </c>
      <c r="J99" t="s">
        <v>4675</v>
      </c>
      <c r="K99">
        <v>0</v>
      </c>
      <c r="M99" t="s">
        <v>5462</v>
      </c>
      <c r="O99" t="s">
        <v>5477</v>
      </c>
    </row>
    <row r="100" spans="1:15" x14ac:dyDescent="0.3">
      <c r="A100" t="s">
        <v>112</v>
      </c>
      <c r="B100" t="s">
        <v>1512</v>
      </c>
      <c r="C100" t="s">
        <v>2715</v>
      </c>
      <c r="D100" t="s">
        <v>3354</v>
      </c>
      <c r="E100" t="s">
        <v>4564</v>
      </c>
      <c r="F100" t="s">
        <v>4578</v>
      </c>
      <c r="G100" t="s">
        <v>4583</v>
      </c>
      <c r="H100" t="s">
        <v>4605</v>
      </c>
      <c r="I100">
        <v>10</v>
      </c>
      <c r="J100">
        <v>43.08</v>
      </c>
      <c r="K100">
        <v>0.1</v>
      </c>
      <c r="L100">
        <v>14.81</v>
      </c>
      <c r="M100" t="s">
        <v>5467</v>
      </c>
      <c r="N100" t="s">
        <v>5471</v>
      </c>
      <c r="O100" t="s">
        <v>5480</v>
      </c>
    </row>
    <row r="101" spans="1:15" x14ac:dyDescent="0.3">
      <c r="A101" t="s">
        <v>113</v>
      </c>
      <c r="B101" t="s">
        <v>1513</v>
      </c>
      <c r="C101" t="s">
        <v>2716</v>
      </c>
      <c r="D101" t="s">
        <v>3355</v>
      </c>
      <c r="E101" t="s">
        <v>4552</v>
      </c>
      <c r="F101" t="s">
        <v>4579</v>
      </c>
      <c r="G101" t="s">
        <v>4584</v>
      </c>
      <c r="H101" t="s">
        <v>4589</v>
      </c>
      <c r="I101">
        <v>1</v>
      </c>
      <c r="J101" t="s">
        <v>4676</v>
      </c>
      <c r="K101" t="s">
        <v>5461</v>
      </c>
      <c r="L101">
        <v>2.4300000000000002</v>
      </c>
      <c r="M101" t="s">
        <v>5466</v>
      </c>
      <c r="O101" t="s">
        <v>5476</v>
      </c>
    </row>
    <row r="102" spans="1:15" x14ac:dyDescent="0.3">
      <c r="A102" t="s">
        <v>114</v>
      </c>
      <c r="B102" t="s">
        <v>1514</v>
      </c>
      <c r="C102" t="s">
        <v>2717</v>
      </c>
      <c r="D102" t="s">
        <v>3356</v>
      </c>
      <c r="E102" t="s">
        <v>4571</v>
      </c>
      <c r="F102" t="s">
        <v>4573</v>
      </c>
      <c r="G102" t="s">
        <v>4584</v>
      </c>
      <c r="H102" t="s">
        <v>4603</v>
      </c>
      <c r="I102">
        <v>3</v>
      </c>
      <c r="J102" t="s">
        <v>4677</v>
      </c>
      <c r="K102">
        <v>0</v>
      </c>
      <c r="L102">
        <v>5.41</v>
      </c>
      <c r="M102" t="s">
        <v>5465</v>
      </c>
      <c r="N102" t="s">
        <v>5472</v>
      </c>
      <c r="O102" t="s">
        <v>5477</v>
      </c>
    </row>
    <row r="103" spans="1:15" x14ac:dyDescent="0.3">
      <c r="A103" t="s">
        <v>115</v>
      </c>
      <c r="B103" t="s">
        <v>1515</v>
      </c>
      <c r="C103" t="s">
        <v>2718</v>
      </c>
      <c r="E103" t="s">
        <v>4569</v>
      </c>
      <c r="F103" t="s">
        <v>4572</v>
      </c>
      <c r="G103" t="s">
        <v>4584</v>
      </c>
      <c r="H103" t="s">
        <v>4607</v>
      </c>
      <c r="I103">
        <v>2</v>
      </c>
      <c r="J103" t="s">
        <v>4678</v>
      </c>
      <c r="K103">
        <v>0.15</v>
      </c>
      <c r="L103">
        <v>1.67</v>
      </c>
      <c r="M103" t="s">
        <v>5468</v>
      </c>
      <c r="N103" t="s">
        <v>5473</v>
      </c>
      <c r="O103" t="s">
        <v>5480</v>
      </c>
    </row>
    <row r="104" spans="1:15" x14ac:dyDescent="0.3">
      <c r="A104" t="s">
        <v>116</v>
      </c>
      <c r="B104" t="s">
        <v>1516</v>
      </c>
      <c r="C104" t="s">
        <v>2719</v>
      </c>
      <c r="D104" t="s">
        <v>3357</v>
      </c>
      <c r="E104" t="s">
        <v>4547</v>
      </c>
      <c r="F104" t="s">
        <v>4580</v>
      </c>
      <c r="G104" t="s">
        <v>4586</v>
      </c>
      <c r="H104" t="s">
        <v>4597</v>
      </c>
      <c r="I104">
        <v>2</v>
      </c>
      <c r="J104" t="s">
        <v>4679</v>
      </c>
      <c r="K104" t="s">
        <v>5460</v>
      </c>
      <c r="L104">
        <v>4.57</v>
      </c>
      <c r="N104" t="s">
        <v>5472</v>
      </c>
      <c r="O104" t="s">
        <v>5480</v>
      </c>
    </row>
    <row r="105" spans="1:15" x14ac:dyDescent="0.3">
      <c r="A105" t="s">
        <v>117</v>
      </c>
      <c r="B105" t="s">
        <v>1517</v>
      </c>
      <c r="C105" t="s">
        <v>2642</v>
      </c>
      <c r="D105" t="s">
        <v>3358</v>
      </c>
      <c r="E105" t="s">
        <v>4548</v>
      </c>
      <c r="G105" t="s">
        <v>4583</v>
      </c>
      <c r="H105" t="s">
        <v>4604</v>
      </c>
      <c r="I105">
        <v>2</v>
      </c>
      <c r="J105" t="s">
        <v>4680</v>
      </c>
      <c r="L105">
        <v>11.1</v>
      </c>
      <c r="M105" t="s">
        <v>5463</v>
      </c>
      <c r="N105" t="s">
        <v>5471</v>
      </c>
      <c r="O105" t="s">
        <v>5477</v>
      </c>
    </row>
    <row r="106" spans="1:15" x14ac:dyDescent="0.3">
      <c r="A106" t="s">
        <v>118</v>
      </c>
      <c r="B106" t="s">
        <v>1518</v>
      </c>
      <c r="C106" t="s">
        <v>2705</v>
      </c>
      <c r="D106" t="s">
        <v>3359</v>
      </c>
      <c r="E106" t="s">
        <v>4559</v>
      </c>
      <c r="F106" t="s">
        <v>4582</v>
      </c>
      <c r="G106" t="s">
        <v>4586</v>
      </c>
      <c r="H106" t="s">
        <v>4609</v>
      </c>
      <c r="I106">
        <v>3</v>
      </c>
      <c r="J106" t="s">
        <v>4681</v>
      </c>
      <c r="L106">
        <v>12.45</v>
      </c>
      <c r="M106" t="s">
        <v>5462</v>
      </c>
      <c r="N106" t="s">
        <v>5470</v>
      </c>
      <c r="O106" t="s">
        <v>5480</v>
      </c>
    </row>
    <row r="107" spans="1:15" x14ac:dyDescent="0.3">
      <c r="A107" t="s">
        <v>119</v>
      </c>
      <c r="B107" t="s">
        <v>1519</v>
      </c>
      <c r="C107" t="s">
        <v>2720</v>
      </c>
      <c r="D107" t="s">
        <v>3360</v>
      </c>
      <c r="E107" t="s">
        <v>4552</v>
      </c>
      <c r="F107" t="s">
        <v>4575</v>
      </c>
      <c r="G107" t="s">
        <v>4584</v>
      </c>
      <c r="H107" t="s">
        <v>4608</v>
      </c>
      <c r="I107">
        <v>3</v>
      </c>
      <c r="J107">
        <v>19.11</v>
      </c>
      <c r="L107">
        <v>2.33</v>
      </c>
      <c r="M107" t="s">
        <v>5462</v>
      </c>
      <c r="N107" t="s">
        <v>5474</v>
      </c>
      <c r="O107" t="s">
        <v>5477</v>
      </c>
    </row>
    <row r="108" spans="1:15" x14ac:dyDescent="0.3">
      <c r="A108" t="s">
        <v>120</v>
      </c>
      <c r="B108" t="s">
        <v>1520</v>
      </c>
      <c r="C108" t="s">
        <v>2721</v>
      </c>
      <c r="E108" t="s">
        <v>4560</v>
      </c>
      <c r="F108" t="s">
        <v>4574</v>
      </c>
      <c r="G108" t="s">
        <v>4587</v>
      </c>
      <c r="H108" t="s">
        <v>4600</v>
      </c>
      <c r="I108">
        <v>2</v>
      </c>
      <c r="J108" t="s">
        <v>4682</v>
      </c>
      <c r="K108">
        <v>0</v>
      </c>
      <c r="L108">
        <v>0</v>
      </c>
      <c r="M108" t="s">
        <v>5467</v>
      </c>
      <c r="N108" t="s">
        <v>5469</v>
      </c>
      <c r="O108" t="s">
        <v>5478</v>
      </c>
    </row>
    <row r="109" spans="1:15" x14ac:dyDescent="0.3">
      <c r="A109" t="s">
        <v>121</v>
      </c>
      <c r="B109" t="s">
        <v>1521</v>
      </c>
      <c r="C109" t="s">
        <v>2722</v>
      </c>
      <c r="D109" t="s">
        <v>3361</v>
      </c>
      <c r="E109" t="s">
        <v>4567</v>
      </c>
      <c r="F109" t="s">
        <v>4582</v>
      </c>
      <c r="G109" t="s">
        <v>4585</v>
      </c>
      <c r="H109" t="s">
        <v>4598</v>
      </c>
      <c r="I109">
        <v>10</v>
      </c>
      <c r="J109" t="s">
        <v>4683</v>
      </c>
      <c r="K109" t="s">
        <v>5461</v>
      </c>
      <c r="L109">
        <v>9.58</v>
      </c>
      <c r="M109" t="s">
        <v>5466</v>
      </c>
      <c r="N109" t="s">
        <v>5473</v>
      </c>
      <c r="O109" t="s">
        <v>5477</v>
      </c>
    </row>
    <row r="110" spans="1:15" x14ac:dyDescent="0.3">
      <c r="A110" t="s">
        <v>122</v>
      </c>
      <c r="B110" t="s">
        <v>1490</v>
      </c>
      <c r="C110" t="s">
        <v>2723</v>
      </c>
      <c r="D110" t="s">
        <v>3362</v>
      </c>
      <c r="E110" t="s">
        <v>4556</v>
      </c>
      <c r="F110" t="s">
        <v>4575</v>
      </c>
      <c r="G110" t="s">
        <v>4586</v>
      </c>
      <c r="H110" t="s">
        <v>4593</v>
      </c>
      <c r="I110">
        <v>4</v>
      </c>
      <c r="J110" t="s">
        <v>4684</v>
      </c>
      <c r="L110">
        <v>8.59</v>
      </c>
      <c r="M110" t="s">
        <v>5464</v>
      </c>
      <c r="O110" t="s">
        <v>5475</v>
      </c>
    </row>
    <row r="111" spans="1:15" x14ac:dyDescent="0.3">
      <c r="A111" t="s">
        <v>123</v>
      </c>
      <c r="B111" t="s">
        <v>1522</v>
      </c>
      <c r="C111" t="s">
        <v>2724</v>
      </c>
      <c r="D111" t="s">
        <v>3363</v>
      </c>
      <c r="E111" t="s">
        <v>4553</v>
      </c>
      <c r="F111" t="s">
        <v>4582</v>
      </c>
      <c r="G111" t="s">
        <v>4584</v>
      </c>
      <c r="H111" t="s">
        <v>4595</v>
      </c>
      <c r="I111">
        <v>-1</v>
      </c>
      <c r="J111">
        <v>42.29</v>
      </c>
      <c r="K111">
        <v>0</v>
      </c>
      <c r="L111">
        <v>3.93</v>
      </c>
      <c r="M111" t="s">
        <v>5465</v>
      </c>
      <c r="O111" t="s">
        <v>5477</v>
      </c>
    </row>
    <row r="112" spans="1:15" x14ac:dyDescent="0.3">
      <c r="A112" t="s">
        <v>124</v>
      </c>
      <c r="B112" t="s">
        <v>1523</v>
      </c>
      <c r="C112" t="s">
        <v>2725</v>
      </c>
      <c r="E112" t="s">
        <v>4553</v>
      </c>
      <c r="F112" t="s">
        <v>4582</v>
      </c>
      <c r="G112" t="s">
        <v>4583</v>
      </c>
      <c r="H112" t="s">
        <v>4610</v>
      </c>
      <c r="I112">
        <v>2</v>
      </c>
      <c r="J112" t="s">
        <v>4685</v>
      </c>
      <c r="K112">
        <v>0.05</v>
      </c>
      <c r="L112">
        <v>0.97</v>
      </c>
      <c r="M112" t="s">
        <v>5466</v>
      </c>
      <c r="N112" t="s">
        <v>5473</v>
      </c>
      <c r="O112" t="s">
        <v>5475</v>
      </c>
    </row>
    <row r="113" spans="1:15" x14ac:dyDescent="0.3">
      <c r="A113" t="s">
        <v>125</v>
      </c>
      <c r="B113" t="s">
        <v>1524</v>
      </c>
      <c r="C113" t="s">
        <v>2726</v>
      </c>
      <c r="D113" t="s">
        <v>3364</v>
      </c>
      <c r="E113" t="s">
        <v>4547</v>
      </c>
      <c r="F113" t="s">
        <v>4581</v>
      </c>
      <c r="G113" t="s">
        <v>4585</v>
      </c>
      <c r="H113" t="s">
        <v>4602</v>
      </c>
      <c r="I113">
        <v>5</v>
      </c>
      <c r="J113">
        <v>4.1100000000000003</v>
      </c>
      <c r="K113">
        <v>0.1</v>
      </c>
      <c r="L113">
        <v>0.53</v>
      </c>
      <c r="M113" t="s">
        <v>5462</v>
      </c>
      <c r="N113" t="s">
        <v>5473</v>
      </c>
      <c r="O113" t="s">
        <v>5480</v>
      </c>
    </row>
    <row r="114" spans="1:15" x14ac:dyDescent="0.3">
      <c r="A114" t="s">
        <v>126</v>
      </c>
      <c r="B114" t="s">
        <v>1525</v>
      </c>
      <c r="C114" t="s">
        <v>2727</v>
      </c>
      <c r="D114" t="s">
        <v>3365</v>
      </c>
      <c r="E114" t="s">
        <v>4568</v>
      </c>
      <c r="F114" t="s">
        <v>4582</v>
      </c>
      <c r="G114" t="s">
        <v>4585</v>
      </c>
      <c r="H114" t="s">
        <v>4590</v>
      </c>
      <c r="I114">
        <v>1</v>
      </c>
      <c r="J114" t="s">
        <v>4686</v>
      </c>
      <c r="K114" t="s">
        <v>5460</v>
      </c>
      <c r="L114">
        <v>12.57</v>
      </c>
      <c r="M114" t="s">
        <v>5466</v>
      </c>
      <c r="N114" t="s">
        <v>5470</v>
      </c>
      <c r="O114" t="s">
        <v>5477</v>
      </c>
    </row>
    <row r="115" spans="1:15" x14ac:dyDescent="0.3">
      <c r="A115" t="s">
        <v>127</v>
      </c>
      <c r="B115" t="s">
        <v>1526</v>
      </c>
      <c r="C115" t="s">
        <v>2707</v>
      </c>
      <c r="E115" t="s">
        <v>4570</v>
      </c>
      <c r="F115" t="s">
        <v>4574</v>
      </c>
      <c r="G115" t="s">
        <v>4584</v>
      </c>
      <c r="H115" t="s">
        <v>4608</v>
      </c>
      <c r="I115">
        <v>1</v>
      </c>
      <c r="J115" t="s">
        <v>4687</v>
      </c>
      <c r="K115">
        <v>0</v>
      </c>
      <c r="L115">
        <v>3.03</v>
      </c>
      <c r="M115" t="s">
        <v>5462</v>
      </c>
      <c r="N115" t="s">
        <v>5474</v>
      </c>
      <c r="O115" t="s">
        <v>5477</v>
      </c>
    </row>
    <row r="116" spans="1:15" x14ac:dyDescent="0.3">
      <c r="A116" t="s">
        <v>128</v>
      </c>
      <c r="B116" t="s">
        <v>1511</v>
      </c>
      <c r="C116" t="s">
        <v>2728</v>
      </c>
      <c r="D116" t="s">
        <v>3366</v>
      </c>
      <c r="E116" t="s">
        <v>4564</v>
      </c>
      <c r="F116" t="s">
        <v>4578</v>
      </c>
      <c r="G116" t="s">
        <v>4585</v>
      </c>
      <c r="H116" t="s">
        <v>4591</v>
      </c>
      <c r="I116">
        <v>-1</v>
      </c>
      <c r="J116" t="s">
        <v>4688</v>
      </c>
      <c r="K116">
        <v>0.05</v>
      </c>
      <c r="L116">
        <v>4.9800000000000004</v>
      </c>
      <c r="M116" t="s">
        <v>5462</v>
      </c>
      <c r="O116" t="s">
        <v>5477</v>
      </c>
    </row>
    <row r="117" spans="1:15" x14ac:dyDescent="0.3">
      <c r="A117" t="s">
        <v>129</v>
      </c>
      <c r="B117" t="s">
        <v>1527</v>
      </c>
      <c r="C117" t="s">
        <v>2729</v>
      </c>
      <c r="D117" t="s">
        <v>3367</v>
      </c>
      <c r="E117" t="s">
        <v>4569</v>
      </c>
      <c r="F117" t="s">
        <v>4581</v>
      </c>
      <c r="G117" t="s">
        <v>4586</v>
      </c>
      <c r="H117" t="s">
        <v>4593</v>
      </c>
      <c r="I117">
        <v>2</v>
      </c>
      <c r="J117" t="s">
        <v>4689</v>
      </c>
      <c r="K117">
        <v>0</v>
      </c>
      <c r="L117">
        <v>0</v>
      </c>
      <c r="M117" t="s">
        <v>5465</v>
      </c>
      <c r="N117" t="s">
        <v>5471</v>
      </c>
      <c r="O117" t="s">
        <v>5476</v>
      </c>
    </row>
    <row r="118" spans="1:15" x14ac:dyDescent="0.3">
      <c r="A118" t="s">
        <v>130</v>
      </c>
      <c r="B118" t="s">
        <v>1528</v>
      </c>
      <c r="C118" t="s">
        <v>2719</v>
      </c>
      <c r="D118" t="s">
        <v>3368</v>
      </c>
      <c r="E118" t="s">
        <v>4560</v>
      </c>
      <c r="F118" t="s">
        <v>4573</v>
      </c>
      <c r="G118" t="s">
        <v>4587</v>
      </c>
      <c r="H118" t="s">
        <v>4606</v>
      </c>
      <c r="I118">
        <v>-1</v>
      </c>
      <c r="J118" t="s">
        <v>4690</v>
      </c>
      <c r="K118">
        <v>0</v>
      </c>
      <c r="L118">
        <v>11.03</v>
      </c>
      <c r="M118" t="s">
        <v>5462</v>
      </c>
      <c r="N118" t="s">
        <v>5474</v>
      </c>
      <c r="O118" t="s">
        <v>5475</v>
      </c>
    </row>
    <row r="119" spans="1:15" x14ac:dyDescent="0.3">
      <c r="A119" t="s">
        <v>131</v>
      </c>
      <c r="B119" t="s">
        <v>1529</v>
      </c>
      <c r="C119" t="s">
        <v>2730</v>
      </c>
      <c r="D119" t="s">
        <v>3369</v>
      </c>
      <c r="E119" t="s">
        <v>4554</v>
      </c>
      <c r="F119" t="s">
        <v>4573</v>
      </c>
      <c r="G119" t="s">
        <v>4583</v>
      </c>
      <c r="H119" t="s">
        <v>4610</v>
      </c>
      <c r="I119">
        <v>10</v>
      </c>
      <c r="J119" t="s">
        <v>4691</v>
      </c>
      <c r="K119">
        <v>0</v>
      </c>
      <c r="L119">
        <v>12.03</v>
      </c>
      <c r="M119" t="s">
        <v>5465</v>
      </c>
      <c r="N119" t="s">
        <v>5471</v>
      </c>
      <c r="O119" t="s">
        <v>5479</v>
      </c>
    </row>
    <row r="120" spans="1:15" x14ac:dyDescent="0.3">
      <c r="A120" t="s">
        <v>132</v>
      </c>
      <c r="B120" t="s">
        <v>1530</v>
      </c>
      <c r="C120" t="s">
        <v>2711</v>
      </c>
      <c r="E120" t="s">
        <v>4571</v>
      </c>
      <c r="F120" t="s">
        <v>4573</v>
      </c>
      <c r="G120" t="s">
        <v>4583</v>
      </c>
      <c r="H120" t="s">
        <v>4588</v>
      </c>
      <c r="I120">
        <v>3</v>
      </c>
      <c r="J120" t="s">
        <v>4692</v>
      </c>
      <c r="K120">
        <v>0</v>
      </c>
      <c r="L120">
        <v>4.37</v>
      </c>
      <c r="M120" t="s">
        <v>5463</v>
      </c>
      <c r="N120" t="s">
        <v>5474</v>
      </c>
      <c r="O120" t="s">
        <v>5477</v>
      </c>
    </row>
    <row r="121" spans="1:15" x14ac:dyDescent="0.3">
      <c r="A121" t="s">
        <v>133</v>
      </c>
      <c r="B121" t="s">
        <v>1531</v>
      </c>
      <c r="C121" t="s">
        <v>2677</v>
      </c>
      <c r="D121" t="s">
        <v>3370</v>
      </c>
      <c r="E121" t="s">
        <v>4571</v>
      </c>
      <c r="F121" t="s">
        <v>4573</v>
      </c>
      <c r="G121" t="s">
        <v>4587</v>
      </c>
      <c r="H121" t="s">
        <v>4600</v>
      </c>
      <c r="I121">
        <v>2</v>
      </c>
      <c r="J121" t="s">
        <v>4693</v>
      </c>
      <c r="K121">
        <v>0</v>
      </c>
      <c r="L121">
        <v>10.37</v>
      </c>
      <c r="M121" t="s">
        <v>5466</v>
      </c>
      <c r="N121" t="s">
        <v>5469</v>
      </c>
      <c r="O121" t="s">
        <v>5477</v>
      </c>
    </row>
    <row r="122" spans="1:15" x14ac:dyDescent="0.3">
      <c r="A122" t="s">
        <v>134</v>
      </c>
      <c r="B122" t="s">
        <v>1532</v>
      </c>
      <c r="C122" t="s">
        <v>2731</v>
      </c>
      <c r="D122" t="s">
        <v>3371</v>
      </c>
      <c r="E122" t="s">
        <v>4554</v>
      </c>
      <c r="F122" t="s">
        <v>4573</v>
      </c>
      <c r="G122" t="s">
        <v>4587</v>
      </c>
      <c r="H122" t="s">
        <v>4606</v>
      </c>
      <c r="I122">
        <v>1</v>
      </c>
      <c r="J122">
        <v>29.25</v>
      </c>
      <c r="K122">
        <v>0.1</v>
      </c>
      <c r="L122">
        <v>10.32</v>
      </c>
      <c r="M122" t="s">
        <v>5465</v>
      </c>
      <c r="N122" t="s">
        <v>5473</v>
      </c>
      <c r="O122" t="s">
        <v>5475</v>
      </c>
    </row>
    <row r="123" spans="1:15" x14ac:dyDescent="0.3">
      <c r="A123" t="s">
        <v>135</v>
      </c>
      <c r="B123" t="s">
        <v>1533</v>
      </c>
      <c r="C123" t="s">
        <v>2690</v>
      </c>
      <c r="D123" t="s">
        <v>3372</v>
      </c>
      <c r="E123" t="s">
        <v>4559</v>
      </c>
      <c r="F123" t="s">
        <v>4582</v>
      </c>
      <c r="G123" t="s">
        <v>4587</v>
      </c>
      <c r="H123" t="s">
        <v>4596</v>
      </c>
      <c r="I123">
        <v>3</v>
      </c>
      <c r="J123" t="s">
        <v>4694</v>
      </c>
      <c r="K123">
        <v>0</v>
      </c>
      <c r="L123">
        <v>4.0999999999999996</v>
      </c>
      <c r="M123" t="s">
        <v>5466</v>
      </c>
      <c r="N123" t="s">
        <v>5472</v>
      </c>
      <c r="O123" t="s">
        <v>5476</v>
      </c>
    </row>
    <row r="124" spans="1:15" x14ac:dyDescent="0.3">
      <c r="A124" t="s">
        <v>136</v>
      </c>
      <c r="B124" t="s">
        <v>1534</v>
      </c>
      <c r="C124" t="s">
        <v>2732</v>
      </c>
      <c r="D124" t="s">
        <v>3373</v>
      </c>
      <c r="E124" t="s">
        <v>4554</v>
      </c>
      <c r="F124" t="s">
        <v>4574</v>
      </c>
      <c r="G124" t="s">
        <v>4585</v>
      </c>
      <c r="H124" t="s">
        <v>4590</v>
      </c>
      <c r="I124">
        <v>5</v>
      </c>
      <c r="J124" t="s">
        <v>4695</v>
      </c>
      <c r="K124">
        <v>0</v>
      </c>
      <c r="L124">
        <v>9.92</v>
      </c>
      <c r="N124" t="s">
        <v>5471</v>
      </c>
      <c r="O124" t="s">
        <v>5477</v>
      </c>
    </row>
    <row r="125" spans="1:15" x14ac:dyDescent="0.3">
      <c r="A125" t="s">
        <v>132</v>
      </c>
      <c r="B125" t="s">
        <v>1530</v>
      </c>
      <c r="C125" t="s">
        <v>2711</v>
      </c>
      <c r="E125" t="s">
        <v>4571</v>
      </c>
      <c r="F125" t="s">
        <v>4573</v>
      </c>
      <c r="G125" t="s">
        <v>4583</v>
      </c>
      <c r="H125" t="s">
        <v>4588</v>
      </c>
      <c r="I125">
        <v>3</v>
      </c>
      <c r="J125" t="s">
        <v>4692</v>
      </c>
      <c r="K125">
        <v>0</v>
      </c>
      <c r="L125">
        <v>4.37</v>
      </c>
      <c r="M125" t="s">
        <v>5463</v>
      </c>
      <c r="N125" t="s">
        <v>5474</v>
      </c>
      <c r="O125" t="s">
        <v>5477</v>
      </c>
    </row>
    <row r="126" spans="1:15" x14ac:dyDescent="0.3">
      <c r="A126" t="s">
        <v>137</v>
      </c>
      <c r="B126" t="s">
        <v>1535</v>
      </c>
      <c r="C126" t="s">
        <v>2733</v>
      </c>
      <c r="D126" t="s">
        <v>3374</v>
      </c>
      <c r="E126" t="s">
        <v>4556</v>
      </c>
      <c r="F126" t="s">
        <v>4579</v>
      </c>
      <c r="G126" t="s">
        <v>4584</v>
      </c>
      <c r="H126" t="s">
        <v>4607</v>
      </c>
      <c r="I126">
        <v>2</v>
      </c>
      <c r="J126" t="s">
        <v>4696</v>
      </c>
      <c r="K126">
        <v>0</v>
      </c>
      <c r="L126">
        <v>8.18</v>
      </c>
      <c r="M126" t="s">
        <v>5463</v>
      </c>
      <c r="N126" t="s">
        <v>5469</v>
      </c>
      <c r="O126" t="s">
        <v>5476</v>
      </c>
    </row>
    <row r="127" spans="1:15" x14ac:dyDescent="0.3">
      <c r="A127" t="s">
        <v>138</v>
      </c>
      <c r="B127" t="s">
        <v>1536</v>
      </c>
      <c r="C127" t="s">
        <v>2687</v>
      </c>
      <c r="D127" t="s">
        <v>3375</v>
      </c>
      <c r="E127" t="s">
        <v>4549</v>
      </c>
      <c r="F127" t="s">
        <v>4573</v>
      </c>
      <c r="G127" t="s">
        <v>4587</v>
      </c>
      <c r="H127" t="s">
        <v>4594</v>
      </c>
      <c r="I127">
        <v>1</v>
      </c>
      <c r="J127" t="s">
        <v>4697</v>
      </c>
      <c r="K127" t="s">
        <v>5461</v>
      </c>
      <c r="L127">
        <v>9.0500000000000007</v>
      </c>
      <c r="M127" t="s">
        <v>5463</v>
      </c>
      <c r="N127" t="s">
        <v>5473</v>
      </c>
      <c r="O127" t="s">
        <v>5477</v>
      </c>
    </row>
    <row r="128" spans="1:15" x14ac:dyDescent="0.3">
      <c r="A128" t="s">
        <v>139</v>
      </c>
      <c r="B128" t="s">
        <v>1537</v>
      </c>
      <c r="C128" t="s">
        <v>2734</v>
      </c>
      <c r="D128" t="s">
        <v>3376</v>
      </c>
      <c r="E128" t="s">
        <v>4571</v>
      </c>
      <c r="F128" t="s">
        <v>4573</v>
      </c>
      <c r="G128" t="s">
        <v>4585</v>
      </c>
      <c r="H128" t="s">
        <v>4598</v>
      </c>
      <c r="I128">
        <v>-1</v>
      </c>
      <c r="J128">
        <v>2.95</v>
      </c>
      <c r="K128">
        <v>0</v>
      </c>
      <c r="L128">
        <v>11.1</v>
      </c>
      <c r="M128" t="s">
        <v>5466</v>
      </c>
      <c r="N128" t="s">
        <v>5470</v>
      </c>
      <c r="O128" t="s">
        <v>5475</v>
      </c>
    </row>
    <row r="129" spans="1:15" x14ac:dyDescent="0.3">
      <c r="A129" t="s">
        <v>140</v>
      </c>
      <c r="B129" t="s">
        <v>1538</v>
      </c>
      <c r="C129" t="s">
        <v>2689</v>
      </c>
      <c r="D129" t="s">
        <v>3377</v>
      </c>
      <c r="E129" t="s">
        <v>4569</v>
      </c>
      <c r="F129" t="s">
        <v>4580</v>
      </c>
      <c r="G129" t="s">
        <v>4586</v>
      </c>
      <c r="H129" t="s">
        <v>4599</v>
      </c>
      <c r="I129">
        <v>1</v>
      </c>
      <c r="J129" t="s">
        <v>4698</v>
      </c>
      <c r="K129" t="s">
        <v>5460</v>
      </c>
      <c r="L129">
        <v>0.63</v>
      </c>
      <c r="M129" t="s">
        <v>5465</v>
      </c>
      <c r="O129" t="s">
        <v>5477</v>
      </c>
    </row>
    <row r="130" spans="1:15" x14ac:dyDescent="0.3">
      <c r="A130" t="s">
        <v>141</v>
      </c>
      <c r="B130" t="s">
        <v>1539</v>
      </c>
      <c r="C130" t="s">
        <v>2735</v>
      </c>
      <c r="D130" t="s">
        <v>3378</v>
      </c>
      <c r="E130" t="s">
        <v>4560</v>
      </c>
      <c r="H130" t="s">
        <v>4605</v>
      </c>
      <c r="I130">
        <v>10</v>
      </c>
      <c r="J130" t="s">
        <v>4699</v>
      </c>
      <c r="K130">
        <v>0.1</v>
      </c>
      <c r="L130">
        <v>0</v>
      </c>
      <c r="M130" t="s">
        <v>5468</v>
      </c>
      <c r="N130" t="s">
        <v>5469</v>
      </c>
      <c r="O130" t="s">
        <v>5479</v>
      </c>
    </row>
    <row r="131" spans="1:15" x14ac:dyDescent="0.3">
      <c r="A131" t="s">
        <v>142</v>
      </c>
      <c r="B131" t="s">
        <v>1540</v>
      </c>
      <c r="C131" t="s">
        <v>2682</v>
      </c>
      <c r="D131" t="s">
        <v>3379</v>
      </c>
      <c r="E131" t="s">
        <v>4553</v>
      </c>
      <c r="F131" t="s">
        <v>4582</v>
      </c>
      <c r="G131" t="s">
        <v>4583</v>
      </c>
      <c r="H131" t="s">
        <v>4605</v>
      </c>
      <c r="I131">
        <v>2</v>
      </c>
      <c r="J131" t="s">
        <v>4700</v>
      </c>
      <c r="K131" t="s">
        <v>5460</v>
      </c>
      <c r="L131">
        <v>6.25</v>
      </c>
      <c r="M131" t="s">
        <v>5467</v>
      </c>
      <c r="N131" t="s">
        <v>5472</v>
      </c>
      <c r="O131" t="s">
        <v>5477</v>
      </c>
    </row>
    <row r="132" spans="1:15" x14ac:dyDescent="0.3">
      <c r="A132" t="s">
        <v>143</v>
      </c>
      <c r="B132" t="s">
        <v>1541</v>
      </c>
      <c r="C132" t="s">
        <v>2736</v>
      </c>
      <c r="D132" t="s">
        <v>3380</v>
      </c>
      <c r="E132" t="s">
        <v>4565</v>
      </c>
      <c r="F132" t="s">
        <v>4579</v>
      </c>
      <c r="G132" t="s">
        <v>4584</v>
      </c>
      <c r="H132" t="s">
        <v>4589</v>
      </c>
      <c r="I132">
        <v>1</v>
      </c>
      <c r="J132">
        <v>34.1</v>
      </c>
      <c r="K132">
        <v>0</v>
      </c>
      <c r="L132">
        <v>13.61</v>
      </c>
      <c r="M132" t="s">
        <v>5463</v>
      </c>
      <c r="O132" t="s">
        <v>5477</v>
      </c>
    </row>
    <row r="133" spans="1:15" x14ac:dyDescent="0.3">
      <c r="A133" t="s">
        <v>144</v>
      </c>
      <c r="B133" t="s">
        <v>1542</v>
      </c>
      <c r="C133" t="s">
        <v>2737</v>
      </c>
      <c r="D133" t="s">
        <v>3381</v>
      </c>
      <c r="E133" t="s">
        <v>4563</v>
      </c>
      <c r="F133" t="s">
        <v>4573</v>
      </c>
      <c r="G133" t="s">
        <v>4584</v>
      </c>
      <c r="H133" t="s">
        <v>4607</v>
      </c>
      <c r="I133">
        <v>10</v>
      </c>
      <c r="J133" t="s">
        <v>4701</v>
      </c>
      <c r="K133">
        <v>0</v>
      </c>
      <c r="L133">
        <v>1.49</v>
      </c>
      <c r="M133" t="s">
        <v>5468</v>
      </c>
      <c r="N133" t="s">
        <v>5470</v>
      </c>
      <c r="O133" t="s">
        <v>5480</v>
      </c>
    </row>
    <row r="134" spans="1:15" x14ac:dyDescent="0.3">
      <c r="A134" t="s">
        <v>145</v>
      </c>
      <c r="B134" t="s">
        <v>1543</v>
      </c>
      <c r="C134" t="s">
        <v>2738</v>
      </c>
      <c r="D134" t="s">
        <v>3382</v>
      </c>
      <c r="E134" t="s">
        <v>4554</v>
      </c>
      <c r="F134" t="s">
        <v>4574</v>
      </c>
      <c r="G134" t="s">
        <v>4584</v>
      </c>
      <c r="H134" t="s">
        <v>4607</v>
      </c>
      <c r="I134">
        <v>2</v>
      </c>
      <c r="J134">
        <v>25.53</v>
      </c>
      <c r="K134" t="s">
        <v>5461</v>
      </c>
      <c r="L134">
        <v>0.73</v>
      </c>
      <c r="M134" t="s">
        <v>5465</v>
      </c>
      <c r="N134" t="s">
        <v>5469</v>
      </c>
      <c r="O134" t="s">
        <v>5477</v>
      </c>
    </row>
    <row r="135" spans="1:15" x14ac:dyDescent="0.3">
      <c r="A135" t="s">
        <v>146</v>
      </c>
      <c r="B135" t="s">
        <v>1544</v>
      </c>
      <c r="C135" t="s">
        <v>2739</v>
      </c>
      <c r="D135" t="s">
        <v>3383</v>
      </c>
      <c r="E135" t="s">
        <v>4551</v>
      </c>
      <c r="F135" t="s">
        <v>4576</v>
      </c>
      <c r="G135" t="s">
        <v>4587</v>
      </c>
      <c r="H135" t="s">
        <v>4600</v>
      </c>
      <c r="I135">
        <v>4</v>
      </c>
      <c r="J135">
        <v>13.11</v>
      </c>
      <c r="K135">
        <v>0</v>
      </c>
      <c r="L135">
        <v>1.1200000000000001</v>
      </c>
      <c r="M135" t="s">
        <v>5463</v>
      </c>
      <c r="N135" t="s">
        <v>5474</v>
      </c>
      <c r="O135" t="s">
        <v>5477</v>
      </c>
    </row>
    <row r="136" spans="1:15" x14ac:dyDescent="0.3">
      <c r="A136" t="s">
        <v>147</v>
      </c>
      <c r="B136" t="s">
        <v>1545</v>
      </c>
      <c r="C136" t="s">
        <v>2740</v>
      </c>
      <c r="D136" t="s">
        <v>3384</v>
      </c>
      <c r="E136" t="s">
        <v>4564</v>
      </c>
      <c r="F136" t="s">
        <v>4573</v>
      </c>
      <c r="G136" t="s">
        <v>4583</v>
      </c>
      <c r="H136" t="s">
        <v>4605</v>
      </c>
      <c r="I136">
        <v>1</v>
      </c>
      <c r="J136">
        <v>45.03</v>
      </c>
      <c r="K136">
        <v>0.05</v>
      </c>
      <c r="L136">
        <v>2.0699999999999998</v>
      </c>
      <c r="M136" t="s">
        <v>5463</v>
      </c>
      <c r="N136" t="s">
        <v>5473</v>
      </c>
      <c r="O136" t="s">
        <v>5476</v>
      </c>
    </row>
    <row r="137" spans="1:15" x14ac:dyDescent="0.3">
      <c r="A137" t="s">
        <v>148</v>
      </c>
      <c r="B137" t="s">
        <v>1546</v>
      </c>
      <c r="C137" t="s">
        <v>2735</v>
      </c>
      <c r="D137" t="s">
        <v>3385</v>
      </c>
      <c r="E137" t="s">
        <v>4560</v>
      </c>
      <c r="F137" t="s">
        <v>4574</v>
      </c>
      <c r="G137" t="s">
        <v>4586</v>
      </c>
      <c r="H137" t="s">
        <v>4599</v>
      </c>
      <c r="I137">
        <v>1</v>
      </c>
      <c r="J137">
        <v>242.54</v>
      </c>
      <c r="K137">
        <v>0</v>
      </c>
      <c r="L137">
        <v>4.99</v>
      </c>
      <c r="M137" t="s">
        <v>5465</v>
      </c>
      <c r="N137" t="s">
        <v>5470</v>
      </c>
      <c r="O137" t="s">
        <v>5477</v>
      </c>
    </row>
    <row r="138" spans="1:15" x14ac:dyDescent="0.3">
      <c r="A138" t="s">
        <v>149</v>
      </c>
      <c r="B138" t="s">
        <v>1547</v>
      </c>
      <c r="C138" t="s">
        <v>2642</v>
      </c>
      <c r="D138" t="s">
        <v>3386</v>
      </c>
      <c r="E138" t="s">
        <v>4571</v>
      </c>
      <c r="F138" t="s">
        <v>4578</v>
      </c>
      <c r="G138" t="s">
        <v>4585</v>
      </c>
      <c r="H138" t="s">
        <v>4602</v>
      </c>
      <c r="I138">
        <v>4</v>
      </c>
      <c r="J138" t="s">
        <v>4702</v>
      </c>
      <c r="K138">
        <v>0.15</v>
      </c>
      <c r="L138">
        <v>1.78</v>
      </c>
      <c r="M138" t="s">
        <v>5468</v>
      </c>
      <c r="N138" t="s">
        <v>5470</v>
      </c>
      <c r="O138" t="s">
        <v>5477</v>
      </c>
    </row>
    <row r="139" spans="1:15" x14ac:dyDescent="0.3">
      <c r="A139" t="s">
        <v>150</v>
      </c>
      <c r="B139" t="s">
        <v>1548</v>
      </c>
      <c r="C139" t="s">
        <v>2688</v>
      </c>
      <c r="D139" t="s">
        <v>3387</v>
      </c>
      <c r="E139" t="s">
        <v>4548</v>
      </c>
      <c r="F139" t="s">
        <v>4573</v>
      </c>
      <c r="G139" t="s">
        <v>4583</v>
      </c>
      <c r="H139" t="s">
        <v>4588</v>
      </c>
      <c r="I139">
        <v>5</v>
      </c>
      <c r="J139">
        <v>41.43</v>
      </c>
      <c r="L139">
        <v>0</v>
      </c>
      <c r="M139" t="s">
        <v>5468</v>
      </c>
      <c r="N139" t="s">
        <v>5469</v>
      </c>
      <c r="O139" t="s">
        <v>5475</v>
      </c>
    </row>
    <row r="140" spans="1:15" x14ac:dyDescent="0.3">
      <c r="A140" t="s">
        <v>151</v>
      </c>
      <c r="B140" t="s">
        <v>1549</v>
      </c>
      <c r="C140" t="s">
        <v>2741</v>
      </c>
      <c r="D140" t="s">
        <v>3388</v>
      </c>
      <c r="E140" t="s">
        <v>4549</v>
      </c>
      <c r="F140" t="s">
        <v>4573</v>
      </c>
      <c r="G140" t="s">
        <v>4587</v>
      </c>
      <c r="H140" t="s">
        <v>4596</v>
      </c>
      <c r="I140">
        <v>2</v>
      </c>
      <c r="J140" t="s">
        <v>4703</v>
      </c>
      <c r="K140">
        <v>0</v>
      </c>
      <c r="L140">
        <v>9.11</v>
      </c>
      <c r="M140" t="s">
        <v>5465</v>
      </c>
      <c r="N140" t="s">
        <v>5474</v>
      </c>
      <c r="O140" t="s">
        <v>5477</v>
      </c>
    </row>
    <row r="141" spans="1:15" x14ac:dyDescent="0.3">
      <c r="A141" t="s">
        <v>152</v>
      </c>
      <c r="B141" t="s">
        <v>1550</v>
      </c>
      <c r="C141" t="s">
        <v>2668</v>
      </c>
      <c r="D141" t="s">
        <v>3389</v>
      </c>
      <c r="E141" t="s">
        <v>4566</v>
      </c>
      <c r="F141" t="s">
        <v>4582</v>
      </c>
      <c r="G141" t="s">
        <v>4584</v>
      </c>
      <c r="H141" t="s">
        <v>4601</v>
      </c>
      <c r="I141">
        <v>1</v>
      </c>
      <c r="J141" t="s">
        <v>4704</v>
      </c>
      <c r="K141">
        <v>0.05</v>
      </c>
      <c r="L141">
        <v>12.07</v>
      </c>
      <c r="M141" t="s">
        <v>5463</v>
      </c>
      <c r="N141" t="s">
        <v>5471</v>
      </c>
      <c r="O141" t="s">
        <v>5476</v>
      </c>
    </row>
    <row r="142" spans="1:15" x14ac:dyDescent="0.3">
      <c r="A142" t="s">
        <v>153</v>
      </c>
      <c r="B142" t="s">
        <v>1551</v>
      </c>
      <c r="C142" t="s">
        <v>2742</v>
      </c>
      <c r="D142" t="s">
        <v>3390</v>
      </c>
      <c r="E142" t="s">
        <v>4569</v>
      </c>
      <c r="F142" t="s">
        <v>4580</v>
      </c>
      <c r="G142" t="s">
        <v>4584</v>
      </c>
      <c r="H142" t="s">
        <v>4601</v>
      </c>
      <c r="I142">
        <v>10</v>
      </c>
      <c r="J142" t="s">
        <v>4705</v>
      </c>
      <c r="K142">
        <v>0</v>
      </c>
      <c r="L142">
        <v>7.74</v>
      </c>
      <c r="M142" t="s">
        <v>5464</v>
      </c>
      <c r="N142" t="s">
        <v>5474</v>
      </c>
      <c r="O142" t="s">
        <v>5477</v>
      </c>
    </row>
    <row r="143" spans="1:15" x14ac:dyDescent="0.3">
      <c r="A143" t="s">
        <v>154</v>
      </c>
      <c r="B143" t="s">
        <v>1552</v>
      </c>
      <c r="C143" t="s">
        <v>2743</v>
      </c>
      <c r="D143" t="s">
        <v>3391</v>
      </c>
      <c r="E143" t="s">
        <v>4553</v>
      </c>
      <c r="F143" t="s">
        <v>4573</v>
      </c>
      <c r="G143" t="s">
        <v>4583</v>
      </c>
      <c r="H143" t="s">
        <v>4610</v>
      </c>
      <c r="I143">
        <v>4</v>
      </c>
      <c r="J143">
        <v>82.96</v>
      </c>
      <c r="L143">
        <v>4.54</v>
      </c>
      <c r="M143" t="s">
        <v>5465</v>
      </c>
      <c r="N143" t="s">
        <v>5471</v>
      </c>
      <c r="O143" t="s">
        <v>5476</v>
      </c>
    </row>
    <row r="144" spans="1:15" x14ac:dyDescent="0.3">
      <c r="A144" t="s">
        <v>155</v>
      </c>
      <c r="B144" t="s">
        <v>1553</v>
      </c>
      <c r="C144" t="s">
        <v>2744</v>
      </c>
      <c r="D144" t="s">
        <v>3392</v>
      </c>
      <c r="E144" t="s">
        <v>4562</v>
      </c>
      <c r="F144" t="s">
        <v>4576</v>
      </c>
      <c r="G144" t="s">
        <v>4586</v>
      </c>
      <c r="H144" t="s">
        <v>4597</v>
      </c>
      <c r="I144">
        <v>10</v>
      </c>
      <c r="J144" t="s">
        <v>4706</v>
      </c>
      <c r="M144" t="s">
        <v>5465</v>
      </c>
      <c r="O144" t="s">
        <v>5477</v>
      </c>
    </row>
    <row r="145" spans="1:15" x14ac:dyDescent="0.3">
      <c r="A145" t="s">
        <v>156</v>
      </c>
      <c r="B145" t="s">
        <v>1554</v>
      </c>
      <c r="C145" t="s">
        <v>2745</v>
      </c>
      <c r="D145" t="s">
        <v>3393</v>
      </c>
      <c r="E145" t="s">
        <v>4566</v>
      </c>
      <c r="F145" t="s">
        <v>4577</v>
      </c>
      <c r="G145" t="s">
        <v>4584</v>
      </c>
      <c r="H145" t="s">
        <v>4607</v>
      </c>
      <c r="I145">
        <v>5</v>
      </c>
      <c r="J145" t="s">
        <v>4707</v>
      </c>
      <c r="K145">
        <v>0.1</v>
      </c>
      <c r="L145">
        <v>2.23</v>
      </c>
      <c r="M145" t="s">
        <v>5466</v>
      </c>
      <c r="N145" t="s">
        <v>5474</v>
      </c>
      <c r="O145" t="s">
        <v>5476</v>
      </c>
    </row>
    <row r="146" spans="1:15" x14ac:dyDescent="0.3">
      <c r="A146" t="s">
        <v>157</v>
      </c>
      <c r="B146" t="s">
        <v>1555</v>
      </c>
      <c r="C146" t="s">
        <v>2746</v>
      </c>
      <c r="D146" t="s">
        <v>3394</v>
      </c>
      <c r="E146" t="s">
        <v>4569</v>
      </c>
      <c r="F146" t="s">
        <v>4572</v>
      </c>
      <c r="G146" t="s">
        <v>4587</v>
      </c>
      <c r="H146" t="s">
        <v>4594</v>
      </c>
      <c r="I146">
        <v>5</v>
      </c>
      <c r="J146" t="s">
        <v>4708</v>
      </c>
      <c r="K146">
        <v>0</v>
      </c>
      <c r="L146">
        <v>10.94</v>
      </c>
      <c r="M146" t="s">
        <v>5468</v>
      </c>
      <c r="N146" t="s">
        <v>5473</v>
      </c>
      <c r="O146" t="s">
        <v>5480</v>
      </c>
    </row>
    <row r="147" spans="1:15" x14ac:dyDescent="0.3">
      <c r="A147" t="s">
        <v>158</v>
      </c>
      <c r="B147" t="s">
        <v>1556</v>
      </c>
      <c r="C147" t="s">
        <v>2747</v>
      </c>
      <c r="D147" t="s">
        <v>3395</v>
      </c>
      <c r="E147" t="s">
        <v>4571</v>
      </c>
      <c r="F147" t="s">
        <v>4573</v>
      </c>
      <c r="G147" t="s">
        <v>4586</v>
      </c>
      <c r="H147" t="s">
        <v>4609</v>
      </c>
      <c r="I147">
        <v>1</v>
      </c>
      <c r="J147" t="s">
        <v>4709</v>
      </c>
      <c r="N147" t="s">
        <v>5470</v>
      </c>
      <c r="O147" t="s">
        <v>5480</v>
      </c>
    </row>
    <row r="148" spans="1:15" x14ac:dyDescent="0.3">
      <c r="A148" t="s">
        <v>159</v>
      </c>
      <c r="B148" t="s">
        <v>1557</v>
      </c>
      <c r="C148" t="s">
        <v>2748</v>
      </c>
      <c r="E148" t="s">
        <v>4569</v>
      </c>
      <c r="F148" t="s">
        <v>4581</v>
      </c>
      <c r="G148" t="s">
        <v>4587</v>
      </c>
      <c r="H148" t="s">
        <v>4594</v>
      </c>
      <c r="I148">
        <v>1</v>
      </c>
      <c r="J148">
        <v>61.36</v>
      </c>
      <c r="K148">
        <v>0</v>
      </c>
      <c r="L148">
        <v>0.52</v>
      </c>
      <c r="M148" t="s">
        <v>5466</v>
      </c>
      <c r="N148" t="s">
        <v>5472</v>
      </c>
      <c r="O148" t="s">
        <v>5477</v>
      </c>
    </row>
    <row r="149" spans="1:15" x14ac:dyDescent="0.3">
      <c r="A149" t="s">
        <v>160</v>
      </c>
      <c r="B149" t="s">
        <v>1558</v>
      </c>
      <c r="C149" t="s">
        <v>2749</v>
      </c>
      <c r="D149" t="s">
        <v>3396</v>
      </c>
      <c r="E149" t="s">
        <v>4562</v>
      </c>
      <c r="F149" t="s">
        <v>4575</v>
      </c>
      <c r="G149" t="s">
        <v>4585</v>
      </c>
      <c r="H149" t="s">
        <v>4590</v>
      </c>
      <c r="I149">
        <v>3</v>
      </c>
      <c r="J149" t="s">
        <v>4710</v>
      </c>
      <c r="K149" t="s">
        <v>5460</v>
      </c>
      <c r="L149">
        <v>8.35</v>
      </c>
      <c r="N149" t="s">
        <v>5474</v>
      </c>
      <c r="O149" t="s">
        <v>5476</v>
      </c>
    </row>
    <row r="150" spans="1:15" x14ac:dyDescent="0.3">
      <c r="A150" t="s">
        <v>161</v>
      </c>
      <c r="B150" t="s">
        <v>1559</v>
      </c>
      <c r="C150" t="s">
        <v>2750</v>
      </c>
      <c r="D150" t="s">
        <v>3397</v>
      </c>
      <c r="E150" t="s">
        <v>4552</v>
      </c>
      <c r="F150" t="s">
        <v>4575</v>
      </c>
      <c r="G150" t="s">
        <v>4584</v>
      </c>
      <c r="H150" t="s">
        <v>4608</v>
      </c>
      <c r="I150">
        <v>-1</v>
      </c>
      <c r="J150">
        <v>18.71</v>
      </c>
      <c r="K150">
        <v>0.15</v>
      </c>
      <c r="L150">
        <v>5.71</v>
      </c>
      <c r="M150" t="s">
        <v>5464</v>
      </c>
      <c r="N150" t="s">
        <v>5472</v>
      </c>
      <c r="O150" t="s">
        <v>5479</v>
      </c>
    </row>
    <row r="151" spans="1:15" x14ac:dyDescent="0.3">
      <c r="A151" t="s">
        <v>162</v>
      </c>
      <c r="B151" t="s">
        <v>1560</v>
      </c>
      <c r="C151" t="s">
        <v>2751</v>
      </c>
      <c r="D151" t="s">
        <v>3398</v>
      </c>
      <c r="E151" t="s">
        <v>4571</v>
      </c>
      <c r="F151" t="s">
        <v>4578</v>
      </c>
      <c r="G151" t="s">
        <v>4584</v>
      </c>
      <c r="H151" t="s">
        <v>4601</v>
      </c>
      <c r="I151">
        <v>5</v>
      </c>
      <c r="J151">
        <v>185.73</v>
      </c>
      <c r="K151">
        <v>0</v>
      </c>
      <c r="L151">
        <v>8.31</v>
      </c>
      <c r="M151" t="s">
        <v>5463</v>
      </c>
      <c r="O151" t="s">
        <v>5477</v>
      </c>
    </row>
    <row r="152" spans="1:15" x14ac:dyDescent="0.3">
      <c r="A152" t="s">
        <v>163</v>
      </c>
      <c r="B152" t="s">
        <v>1561</v>
      </c>
      <c r="C152" t="s">
        <v>2730</v>
      </c>
      <c r="D152" t="s">
        <v>3399</v>
      </c>
      <c r="E152" t="s">
        <v>4565</v>
      </c>
      <c r="F152" t="s">
        <v>4579</v>
      </c>
      <c r="G152" t="s">
        <v>4584</v>
      </c>
      <c r="H152" t="s">
        <v>4603</v>
      </c>
      <c r="I152">
        <v>2</v>
      </c>
      <c r="J152">
        <v>9.8699999999999992</v>
      </c>
      <c r="L152">
        <v>0</v>
      </c>
      <c r="M152" t="s">
        <v>5466</v>
      </c>
      <c r="N152" t="s">
        <v>5470</v>
      </c>
      <c r="O152" t="s">
        <v>5475</v>
      </c>
    </row>
    <row r="153" spans="1:15" x14ac:dyDescent="0.3">
      <c r="A153" t="s">
        <v>164</v>
      </c>
      <c r="B153" t="s">
        <v>1562</v>
      </c>
      <c r="C153" t="s">
        <v>2752</v>
      </c>
      <c r="D153" t="s">
        <v>3400</v>
      </c>
      <c r="E153" t="s">
        <v>4569</v>
      </c>
      <c r="F153" t="s">
        <v>4581</v>
      </c>
      <c r="G153" t="s">
        <v>4584</v>
      </c>
      <c r="H153" t="s">
        <v>4595</v>
      </c>
      <c r="I153">
        <v>3</v>
      </c>
      <c r="J153" t="s">
        <v>4711</v>
      </c>
      <c r="K153">
        <v>0.1</v>
      </c>
      <c r="L153">
        <v>10.82</v>
      </c>
      <c r="N153" t="s">
        <v>5472</v>
      </c>
      <c r="O153" t="s">
        <v>5479</v>
      </c>
    </row>
    <row r="154" spans="1:15" x14ac:dyDescent="0.3">
      <c r="A154" t="s">
        <v>165</v>
      </c>
      <c r="B154" t="s">
        <v>1563</v>
      </c>
      <c r="C154" t="s">
        <v>2698</v>
      </c>
      <c r="D154" t="s">
        <v>3401</v>
      </c>
      <c r="E154" t="s">
        <v>4553</v>
      </c>
      <c r="G154" t="s">
        <v>4585</v>
      </c>
      <c r="H154" t="s">
        <v>4602</v>
      </c>
      <c r="I154">
        <v>3</v>
      </c>
      <c r="J154" t="s">
        <v>4712</v>
      </c>
      <c r="L154">
        <v>11.79</v>
      </c>
      <c r="M154" t="s">
        <v>5464</v>
      </c>
      <c r="N154" t="s">
        <v>5470</v>
      </c>
      <c r="O154" t="s">
        <v>5477</v>
      </c>
    </row>
    <row r="155" spans="1:15" x14ac:dyDescent="0.3">
      <c r="A155" t="s">
        <v>166</v>
      </c>
      <c r="B155" t="s">
        <v>1564</v>
      </c>
      <c r="C155" t="s">
        <v>2753</v>
      </c>
      <c r="D155" t="s">
        <v>3402</v>
      </c>
      <c r="E155" t="s">
        <v>4570</v>
      </c>
      <c r="F155" t="s">
        <v>4574</v>
      </c>
      <c r="G155" t="s">
        <v>4583</v>
      </c>
      <c r="H155" t="s">
        <v>4610</v>
      </c>
      <c r="I155">
        <v>4</v>
      </c>
      <c r="J155" t="s">
        <v>4713</v>
      </c>
      <c r="K155">
        <v>0.1</v>
      </c>
      <c r="L155">
        <v>1.73</v>
      </c>
      <c r="M155" t="s">
        <v>5468</v>
      </c>
      <c r="N155" t="s">
        <v>5473</v>
      </c>
      <c r="O155" t="s">
        <v>5476</v>
      </c>
    </row>
    <row r="156" spans="1:15" x14ac:dyDescent="0.3">
      <c r="A156" t="s">
        <v>167</v>
      </c>
      <c r="B156" t="s">
        <v>1565</v>
      </c>
      <c r="C156" t="s">
        <v>2754</v>
      </c>
      <c r="D156" t="s">
        <v>3403</v>
      </c>
      <c r="E156" t="s">
        <v>4565</v>
      </c>
      <c r="F156" t="s">
        <v>4575</v>
      </c>
      <c r="G156" t="s">
        <v>4586</v>
      </c>
      <c r="H156" t="s">
        <v>4609</v>
      </c>
      <c r="I156">
        <v>1</v>
      </c>
      <c r="J156" t="s">
        <v>4714</v>
      </c>
      <c r="L156">
        <v>11.85</v>
      </c>
      <c r="M156" t="s">
        <v>5466</v>
      </c>
      <c r="N156" t="s">
        <v>5470</v>
      </c>
      <c r="O156" t="s">
        <v>5477</v>
      </c>
    </row>
    <row r="157" spans="1:15" x14ac:dyDescent="0.3">
      <c r="A157" t="s">
        <v>168</v>
      </c>
      <c r="B157" t="s">
        <v>1566</v>
      </c>
      <c r="C157" t="s">
        <v>2753</v>
      </c>
      <c r="D157" t="s">
        <v>3404</v>
      </c>
      <c r="E157" t="s">
        <v>4550</v>
      </c>
      <c r="F157" t="s">
        <v>4574</v>
      </c>
      <c r="G157" t="s">
        <v>4587</v>
      </c>
      <c r="H157" t="s">
        <v>4600</v>
      </c>
      <c r="I157">
        <v>2</v>
      </c>
      <c r="J157" t="s">
        <v>4715</v>
      </c>
      <c r="K157">
        <v>0</v>
      </c>
      <c r="L157">
        <v>4.38</v>
      </c>
      <c r="M157" t="s">
        <v>5462</v>
      </c>
      <c r="N157" t="s">
        <v>5474</v>
      </c>
      <c r="O157" t="s">
        <v>5476</v>
      </c>
    </row>
    <row r="158" spans="1:15" x14ac:dyDescent="0.3">
      <c r="A158" t="s">
        <v>169</v>
      </c>
      <c r="B158" t="s">
        <v>1567</v>
      </c>
      <c r="C158" t="s">
        <v>2755</v>
      </c>
      <c r="D158" t="s">
        <v>3405</v>
      </c>
      <c r="E158" t="s">
        <v>4562</v>
      </c>
      <c r="F158" t="s">
        <v>4576</v>
      </c>
      <c r="G158" t="s">
        <v>4583</v>
      </c>
      <c r="H158" t="s">
        <v>4588</v>
      </c>
      <c r="I158">
        <v>10</v>
      </c>
      <c r="J158">
        <v>39.67</v>
      </c>
      <c r="K158">
        <v>0</v>
      </c>
      <c r="L158">
        <v>4.43</v>
      </c>
      <c r="M158" t="s">
        <v>5467</v>
      </c>
      <c r="N158" t="s">
        <v>5470</v>
      </c>
      <c r="O158" t="s">
        <v>5478</v>
      </c>
    </row>
    <row r="159" spans="1:15" x14ac:dyDescent="0.3">
      <c r="A159" t="s">
        <v>170</v>
      </c>
      <c r="B159" t="s">
        <v>1568</v>
      </c>
      <c r="C159" t="s">
        <v>2756</v>
      </c>
      <c r="D159" t="s">
        <v>3406</v>
      </c>
      <c r="E159" t="s">
        <v>4566</v>
      </c>
      <c r="F159" t="s">
        <v>4573</v>
      </c>
      <c r="G159" t="s">
        <v>4585</v>
      </c>
      <c r="H159" t="s">
        <v>4590</v>
      </c>
      <c r="I159">
        <v>10</v>
      </c>
      <c r="J159">
        <v>13.61</v>
      </c>
      <c r="L159">
        <v>4.67</v>
      </c>
      <c r="M159" t="s">
        <v>5465</v>
      </c>
      <c r="N159" t="s">
        <v>5474</v>
      </c>
      <c r="O159" t="s">
        <v>5478</v>
      </c>
    </row>
    <row r="160" spans="1:15" x14ac:dyDescent="0.3">
      <c r="A160" t="s">
        <v>171</v>
      </c>
      <c r="B160" t="s">
        <v>1569</v>
      </c>
      <c r="C160" t="s">
        <v>2757</v>
      </c>
      <c r="D160" t="s">
        <v>3407</v>
      </c>
      <c r="E160" t="s">
        <v>4560</v>
      </c>
      <c r="F160" t="s">
        <v>4573</v>
      </c>
      <c r="G160" t="s">
        <v>4587</v>
      </c>
      <c r="H160" t="s">
        <v>4596</v>
      </c>
      <c r="I160">
        <v>4</v>
      </c>
      <c r="J160">
        <v>15.75</v>
      </c>
      <c r="K160">
        <v>0</v>
      </c>
      <c r="L160">
        <v>12.88</v>
      </c>
      <c r="M160" t="s">
        <v>5467</v>
      </c>
      <c r="N160" t="s">
        <v>5469</v>
      </c>
      <c r="O160" t="s">
        <v>5477</v>
      </c>
    </row>
    <row r="161" spans="1:15" x14ac:dyDescent="0.3">
      <c r="A161" t="s">
        <v>172</v>
      </c>
      <c r="B161" t="s">
        <v>1570</v>
      </c>
      <c r="C161" t="s">
        <v>2758</v>
      </c>
      <c r="D161" t="s">
        <v>3408</v>
      </c>
      <c r="E161" t="s">
        <v>4568</v>
      </c>
      <c r="F161" t="s">
        <v>4582</v>
      </c>
      <c r="G161" t="s">
        <v>4584</v>
      </c>
      <c r="H161" t="s">
        <v>4608</v>
      </c>
      <c r="I161">
        <v>2</v>
      </c>
      <c r="J161" t="s">
        <v>4716</v>
      </c>
      <c r="K161">
        <v>0</v>
      </c>
      <c r="L161">
        <v>2.31</v>
      </c>
      <c r="M161" t="s">
        <v>5468</v>
      </c>
      <c r="N161" t="s">
        <v>5474</v>
      </c>
      <c r="O161" t="s">
        <v>5479</v>
      </c>
    </row>
    <row r="162" spans="1:15" x14ac:dyDescent="0.3">
      <c r="A162" t="s">
        <v>173</v>
      </c>
      <c r="B162" t="s">
        <v>1571</v>
      </c>
      <c r="C162" t="s">
        <v>2759</v>
      </c>
      <c r="D162" t="s">
        <v>3409</v>
      </c>
      <c r="E162" t="s">
        <v>4554</v>
      </c>
      <c r="F162" t="s">
        <v>4573</v>
      </c>
      <c r="G162" t="s">
        <v>4585</v>
      </c>
      <c r="H162" t="s">
        <v>4598</v>
      </c>
      <c r="I162">
        <v>3</v>
      </c>
      <c r="J162">
        <v>3.17</v>
      </c>
      <c r="K162">
        <v>0</v>
      </c>
      <c r="L162">
        <v>0</v>
      </c>
      <c r="M162" t="s">
        <v>5465</v>
      </c>
      <c r="N162" t="s">
        <v>5469</v>
      </c>
      <c r="O162" t="s">
        <v>5476</v>
      </c>
    </row>
    <row r="163" spans="1:15" x14ac:dyDescent="0.3">
      <c r="A163" t="s">
        <v>174</v>
      </c>
      <c r="B163" t="s">
        <v>1572</v>
      </c>
      <c r="C163" t="s">
        <v>2760</v>
      </c>
      <c r="D163" t="s">
        <v>3410</v>
      </c>
      <c r="E163" t="s">
        <v>4568</v>
      </c>
      <c r="F163" t="s">
        <v>4573</v>
      </c>
      <c r="G163" t="s">
        <v>4587</v>
      </c>
      <c r="H163" t="s">
        <v>4594</v>
      </c>
      <c r="I163">
        <v>1</v>
      </c>
      <c r="J163">
        <v>58.97</v>
      </c>
      <c r="K163">
        <v>0.05</v>
      </c>
      <c r="L163">
        <v>0.68</v>
      </c>
      <c r="N163" t="s">
        <v>5474</v>
      </c>
      <c r="O163" t="s">
        <v>5477</v>
      </c>
    </row>
    <row r="164" spans="1:15" x14ac:dyDescent="0.3">
      <c r="A164" t="s">
        <v>175</v>
      </c>
      <c r="B164" t="s">
        <v>1573</v>
      </c>
      <c r="C164" t="s">
        <v>2653</v>
      </c>
      <c r="D164" t="s">
        <v>3411</v>
      </c>
      <c r="E164" t="s">
        <v>4558</v>
      </c>
      <c r="F164" t="s">
        <v>4580</v>
      </c>
      <c r="G164" t="s">
        <v>4587</v>
      </c>
      <c r="H164" t="s">
        <v>4606</v>
      </c>
      <c r="I164">
        <v>1</v>
      </c>
      <c r="J164" t="s">
        <v>4717</v>
      </c>
      <c r="K164" t="s">
        <v>5460</v>
      </c>
      <c r="L164">
        <v>1.1299999999999999</v>
      </c>
      <c r="O164" t="s">
        <v>5475</v>
      </c>
    </row>
    <row r="165" spans="1:15" x14ac:dyDescent="0.3">
      <c r="A165" t="s">
        <v>176</v>
      </c>
      <c r="B165" t="s">
        <v>1574</v>
      </c>
      <c r="C165" t="s">
        <v>2761</v>
      </c>
      <c r="D165" t="s">
        <v>3412</v>
      </c>
      <c r="E165" t="s">
        <v>4550</v>
      </c>
      <c r="F165" t="s">
        <v>4574</v>
      </c>
      <c r="G165" t="s">
        <v>4587</v>
      </c>
      <c r="H165" t="s">
        <v>4596</v>
      </c>
      <c r="I165">
        <v>1</v>
      </c>
      <c r="J165" t="s">
        <v>4718</v>
      </c>
      <c r="K165" t="s">
        <v>5461</v>
      </c>
      <c r="L165">
        <v>13.08</v>
      </c>
      <c r="M165" t="s">
        <v>5466</v>
      </c>
      <c r="N165" t="s">
        <v>5470</v>
      </c>
      <c r="O165" t="s">
        <v>5479</v>
      </c>
    </row>
    <row r="166" spans="1:15" x14ac:dyDescent="0.3">
      <c r="A166" t="s">
        <v>177</v>
      </c>
      <c r="B166" t="s">
        <v>1575</v>
      </c>
      <c r="C166" t="s">
        <v>2762</v>
      </c>
      <c r="D166" t="s">
        <v>3413</v>
      </c>
      <c r="E166" t="s">
        <v>4562</v>
      </c>
      <c r="F166" t="s">
        <v>4579</v>
      </c>
      <c r="G166" t="s">
        <v>4583</v>
      </c>
      <c r="H166" t="s">
        <v>4588</v>
      </c>
      <c r="I166">
        <v>4</v>
      </c>
      <c r="J166" t="s">
        <v>4719</v>
      </c>
      <c r="K166">
        <v>0.1</v>
      </c>
      <c r="L166">
        <v>5.61</v>
      </c>
      <c r="M166" t="s">
        <v>5467</v>
      </c>
      <c r="N166" t="s">
        <v>5469</v>
      </c>
      <c r="O166" t="s">
        <v>5477</v>
      </c>
    </row>
    <row r="167" spans="1:15" x14ac:dyDescent="0.3">
      <c r="A167" t="s">
        <v>178</v>
      </c>
      <c r="B167" t="s">
        <v>1576</v>
      </c>
      <c r="C167" t="s">
        <v>2645</v>
      </c>
      <c r="D167" t="s">
        <v>3414</v>
      </c>
      <c r="E167" t="s">
        <v>4548</v>
      </c>
      <c r="F167" t="s">
        <v>4573</v>
      </c>
      <c r="G167" t="s">
        <v>4587</v>
      </c>
      <c r="H167" t="s">
        <v>4600</v>
      </c>
      <c r="I167">
        <v>1</v>
      </c>
      <c r="J167">
        <v>12.48</v>
      </c>
      <c r="K167" t="s">
        <v>5461</v>
      </c>
      <c r="L167">
        <v>12.14</v>
      </c>
      <c r="M167" t="s">
        <v>5466</v>
      </c>
      <c r="O167" t="s">
        <v>5478</v>
      </c>
    </row>
    <row r="168" spans="1:15" x14ac:dyDescent="0.3">
      <c r="A168" t="s">
        <v>179</v>
      </c>
      <c r="B168" t="s">
        <v>1577</v>
      </c>
      <c r="C168" t="s">
        <v>2763</v>
      </c>
      <c r="D168" t="s">
        <v>3415</v>
      </c>
      <c r="E168" t="s">
        <v>4555</v>
      </c>
      <c r="F168" t="s">
        <v>4578</v>
      </c>
      <c r="G168" t="s">
        <v>4583</v>
      </c>
      <c r="H168" t="s">
        <v>4605</v>
      </c>
      <c r="I168">
        <v>2</v>
      </c>
      <c r="J168" t="s">
        <v>4720</v>
      </c>
      <c r="K168">
        <v>0.1</v>
      </c>
      <c r="L168">
        <v>5.0199999999999996</v>
      </c>
      <c r="M168" t="s">
        <v>5468</v>
      </c>
      <c r="N168" t="s">
        <v>5472</v>
      </c>
      <c r="O168" t="s">
        <v>5479</v>
      </c>
    </row>
    <row r="169" spans="1:15" x14ac:dyDescent="0.3">
      <c r="A169" t="s">
        <v>180</v>
      </c>
      <c r="B169" t="s">
        <v>1578</v>
      </c>
      <c r="C169" t="s">
        <v>2764</v>
      </c>
      <c r="D169" t="s">
        <v>3416</v>
      </c>
      <c r="E169" t="s">
        <v>4559</v>
      </c>
      <c r="F169" t="s">
        <v>4577</v>
      </c>
      <c r="G169" t="s">
        <v>4583</v>
      </c>
      <c r="H169" t="s">
        <v>4610</v>
      </c>
      <c r="I169">
        <v>2</v>
      </c>
      <c r="J169" t="s">
        <v>4721</v>
      </c>
      <c r="L169">
        <v>2.99</v>
      </c>
      <c r="M169" t="s">
        <v>5467</v>
      </c>
      <c r="N169" t="s">
        <v>5469</v>
      </c>
      <c r="O169" t="s">
        <v>5477</v>
      </c>
    </row>
    <row r="170" spans="1:15" x14ac:dyDescent="0.3">
      <c r="A170" t="s">
        <v>181</v>
      </c>
      <c r="B170" t="s">
        <v>1579</v>
      </c>
      <c r="C170" t="s">
        <v>2765</v>
      </c>
      <c r="D170" t="s">
        <v>3417</v>
      </c>
      <c r="E170" t="s">
        <v>4569</v>
      </c>
      <c r="F170" t="s">
        <v>4580</v>
      </c>
      <c r="G170" t="s">
        <v>4587</v>
      </c>
      <c r="H170" t="s">
        <v>4600</v>
      </c>
      <c r="I170">
        <v>-1</v>
      </c>
      <c r="J170" t="s">
        <v>4722</v>
      </c>
      <c r="K170">
        <v>0</v>
      </c>
      <c r="L170">
        <v>1.56</v>
      </c>
      <c r="N170" t="s">
        <v>5470</v>
      </c>
      <c r="O170" t="s">
        <v>5477</v>
      </c>
    </row>
    <row r="171" spans="1:15" x14ac:dyDescent="0.3">
      <c r="A171" t="s">
        <v>182</v>
      </c>
      <c r="B171" t="s">
        <v>1580</v>
      </c>
      <c r="C171" t="s">
        <v>2644</v>
      </c>
      <c r="D171" t="s">
        <v>3418</v>
      </c>
      <c r="E171" t="s">
        <v>4558</v>
      </c>
      <c r="F171" t="s">
        <v>4572</v>
      </c>
      <c r="G171" t="s">
        <v>4583</v>
      </c>
      <c r="H171" t="s">
        <v>4588</v>
      </c>
      <c r="I171">
        <v>2</v>
      </c>
      <c r="J171" t="s">
        <v>4723</v>
      </c>
      <c r="K171">
        <v>0.15</v>
      </c>
      <c r="L171">
        <v>0.17</v>
      </c>
      <c r="M171" t="s">
        <v>5468</v>
      </c>
      <c r="O171" t="s">
        <v>5479</v>
      </c>
    </row>
    <row r="172" spans="1:15" x14ac:dyDescent="0.3">
      <c r="A172" t="s">
        <v>183</v>
      </c>
      <c r="B172" t="s">
        <v>1581</v>
      </c>
      <c r="C172" t="s">
        <v>2766</v>
      </c>
      <c r="D172" t="s">
        <v>3419</v>
      </c>
      <c r="E172" t="s">
        <v>4550</v>
      </c>
      <c r="F172" t="s">
        <v>4574</v>
      </c>
      <c r="G172" t="s">
        <v>4586</v>
      </c>
      <c r="H172" t="s">
        <v>4593</v>
      </c>
      <c r="I172">
        <v>-1</v>
      </c>
      <c r="J172">
        <v>114.43</v>
      </c>
      <c r="L172">
        <v>11.13</v>
      </c>
      <c r="N172" t="s">
        <v>5472</v>
      </c>
      <c r="O172" t="s">
        <v>5476</v>
      </c>
    </row>
    <row r="173" spans="1:15" x14ac:dyDescent="0.3">
      <c r="A173" t="s">
        <v>184</v>
      </c>
      <c r="B173" t="s">
        <v>1582</v>
      </c>
      <c r="C173" t="s">
        <v>2767</v>
      </c>
      <c r="D173" t="s">
        <v>3420</v>
      </c>
      <c r="E173" t="s">
        <v>4561</v>
      </c>
      <c r="F173" t="s">
        <v>4572</v>
      </c>
      <c r="G173" t="s">
        <v>4585</v>
      </c>
      <c r="H173" t="s">
        <v>4592</v>
      </c>
      <c r="I173">
        <v>-1</v>
      </c>
      <c r="J173" t="s">
        <v>4724</v>
      </c>
      <c r="K173">
        <v>0</v>
      </c>
      <c r="L173">
        <v>0.92</v>
      </c>
      <c r="N173" t="s">
        <v>5474</v>
      </c>
      <c r="O173" t="s">
        <v>5477</v>
      </c>
    </row>
    <row r="174" spans="1:15" x14ac:dyDescent="0.3">
      <c r="A174" t="s">
        <v>185</v>
      </c>
      <c r="B174" t="s">
        <v>1583</v>
      </c>
      <c r="C174" t="s">
        <v>2768</v>
      </c>
      <c r="D174" t="s">
        <v>3421</v>
      </c>
      <c r="E174" t="s">
        <v>4547</v>
      </c>
      <c r="F174" t="s">
        <v>4581</v>
      </c>
      <c r="G174" t="s">
        <v>4585</v>
      </c>
      <c r="H174" t="s">
        <v>4602</v>
      </c>
      <c r="I174">
        <v>1</v>
      </c>
      <c r="J174" t="s">
        <v>4725</v>
      </c>
      <c r="K174">
        <v>0</v>
      </c>
      <c r="L174">
        <v>5.2</v>
      </c>
      <c r="M174" t="s">
        <v>5464</v>
      </c>
      <c r="N174" t="s">
        <v>5474</v>
      </c>
      <c r="O174" t="s">
        <v>5477</v>
      </c>
    </row>
    <row r="175" spans="1:15" x14ac:dyDescent="0.3">
      <c r="A175" t="s">
        <v>186</v>
      </c>
      <c r="B175" t="s">
        <v>1584</v>
      </c>
      <c r="C175" t="s">
        <v>2769</v>
      </c>
      <c r="D175" t="s">
        <v>3422</v>
      </c>
      <c r="E175" t="s">
        <v>4553</v>
      </c>
      <c r="F175" t="s">
        <v>4577</v>
      </c>
      <c r="G175" t="s">
        <v>4585</v>
      </c>
      <c r="H175" t="s">
        <v>4602</v>
      </c>
      <c r="I175">
        <v>1</v>
      </c>
      <c r="J175" t="s">
        <v>4726</v>
      </c>
      <c r="K175">
        <v>0.15</v>
      </c>
      <c r="L175">
        <v>0</v>
      </c>
      <c r="N175" t="s">
        <v>5474</v>
      </c>
      <c r="O175" t="s">
        <v>5477</v>
      </c>
    </row>
    <row r="176" spans="1:15" x14ac:dyDescent="0.3">
      <c r="A176" t="s">
        <v>187</v>
      </c>
      <c r="B176" t="s">
        <v>1585</v>
      </c>
      <c r="C176" t="s">
        <v>2663</v>
      </c>
      <c r="D176" t="s">
        <v>3423</v>
      </c>
      <c r="E176" t="s">
        <v>4562</v>
      </c>
      <c r="F176" t="s">
        <v>4579</v>
      </c>
      <c r="G176" t="s">
        <v>4587</v>
      </c>
      <c r="H176" t="s">
        <v>4596</v>
      </c>
      <c r="I176">
        <v>2</v>
      </c>
      <c r="J176" t="s">
        <v>4727</v>
      </c>
      <c r="K176" t="s">
        <v>5460</v>
      </c>
      <c r="L176">
        <v>0.65</v>
      </c>
      <c r="M176" t="s">
        <v>5468</v>
      </c>
      <c r="N176" t="s">
        <v>5470</v>
      </c>
      <c r="O176" t="s">
        <v>5480</v>
      </c>
    </row>
    <row r="177" spans="1:15" x14ac:dyDescent="0.3">
      <c r="A177" t="s">
        <v>188</v>
      </c>
      <c r="B177" t="s">
        <v>1586</v>
      </c>
      <c r="C177" t="s">
        <v>2770</v>
      </c>
      <c r="D177" t="s">
        <v>3424</v>
      </c>
      <c r="E177" t="s">
        <v>4567</v>
      </c>
      <c r="F177" t="s">
        <v>4573</v>
      </c>
      <c r="G177" t="s">
        <v>4586</v>
      </c>
      <c r="H177" t="s">
        <v>4593</v>
      </c>
      <c r="I177">
        <v>2</v>
      </c>
      <c r="J177" t="s">
        <v>4728</v>
      </c>
      <c r="K177">
        <v>0</v>
      </c>
      <c r="L177">
        <v>0</v>
      </c>
      <c r="M177" t="s">
        <v>5463</v>
      </c>
      <c r="N177" t="s">
        <v>5473</v>
      </c>
      <c r="O177" t="s">
        <v>5480</v>
      </c>
    </row>
    <row r="178" spans="1:15" x14ac:dyDescent="0.3">
      <c r="A178" t="s">
        <v>189</v>
      </c>
      <c r="B178" t="s">
        <v>1587</v>
      </c>
      <c r="C178" t="s">
        <v>2771</v>
      </c>
      <c r="D178" t="s">
        <v>3425</v>
      </c>
      <c r="E178" t="s">
        <v>4548</v>
      </c>
      <c r="F178" t="s">
        <v>4573</v>
      </c>
      <c r="G178" t="s">
        <v>4585</v>
      </c>
      <c r="H178" t="s">
        <v>4592</v>
      </c>
      <c r="I178">
        <v>1</v>
      </c>
      <c r="J178" t="s">
        <v>4729</v>
      </c>
      <c r="K178">
        <v>0</v>
      </c>
      <c r="L178">
        <v>1.06</v>
      </c>
      <c r="M178" t="s">
        <v>5464</v>
      </c>
      <c r="N178" t="s">
        <v>5470</v>
      </c>
      <c r="O178" t="s">
        <v>5477</v>
      </c>
    </row>
    <row r="179" spans="1:15" x14ac:dyDescent="0.3">
      <c r="A179" t="s">
        <v>190</v>
      </c>
      <c r="B179" t="s">
        <v>1588</v>
      </c>
      <c r="C179" t="s">
        <v>2733</v>
      </c>
      <c r="E179" t="s">
        <v>4547</v>
      </c>
      <c r="F179" t="s">
        <v>4580</v>
      </c>
      <c r="G179" t="s">
        <v>4587</v>
      </c>
      <c r="H179" t="s">
        <v>4596</v>
      </c>
      <c r="I179">
        <v>5</v>
      </c>
      <c r="J179">
        <v>15.11</v>
      </c>
      <c r="K179" t="s">
        <v>5460</v>
      </c>
      <c r="L179">
        <v>0</v>
      </c>
      <c r="M179" t="s">
        <v>5465</v>
      </c>
      <c r="N179" t="s">
        <v>5473</v>
      </c>
      <c r="O179" t="s">
        <v>5477</v>
      </c>
    </row>
    <row r="180" spans="1:15" x14ac:dyDescent="0.3">
      <c r="A180" t="s">
        <v>191</v>
      </c>
      <c r="B180" t="s">
        <v>1589</v>
      </c>
      <c r="C180" t="s">
        <v>2772</v>
      </c>
      <c r="D180" t="s">
        <v>3426</v>
      </c>
      <c r="E180" t="s">
        <v>4566</v>
      </c>
      <c r="F180" t="s">
        <v>4582</v>
      </c>
      <c r="G180" t="s">
        <v>4583</v>
      </c>
      <c r="H180" t="s">
        <v>4588</v>
      </c>
      <c r="I180">
        <v>-1</v>
      </c>
      <c r="J180" t="s">
        <v>4730</v>
      </c>
      <c r="K180">
        <v>0</v>
      </c>
      <c r="L180">
        <v>7.99</v>
      </c>
      <c r="N180" t="s">
        <v>5472</v>
      </c>
      <c r="O180" t="s">
        <v>5475</v>
      </c>
    </row>
    <row r="181" spans="1:15" x14ac:dyDescent="0.3">
      <c r="A181" t="s">
        <v>192</v>
      </c>
      <c r="B181" t="s">
        <v>1590</v>
      </c>
      <c r="C181" t="s">
        <v>2773</v>
      </c>
      <c r="D181" t="s">
        <v>3427</v>
      </c>
      <c r="E181" t="s">
        <v>4563</v>
      </c>
      <c r="F181" t="s">
        <v>4573</v>
      </c>
      <c r="G181" t="s">
        <v>4584</v>
      </c>
      <c r="H181" t="s">
        <v>4589</v>
      </c>
      <c r="I181">
        <v>1</v>
      </c>
      <c r="J181" t="s">
        <v>4731</v>
      </c>
      <c r="K181">
        <v>0</v>
      </c>
      <c r="L181">
        <v>2.89</v>
      </c>
      <c r="M181" t="s">
        <v>5463</v>
      </c>
      <c r="N181" t="s">
        <v>5471</v>
      </c>
      <c r="O181" t="s">
        <v>5478</v>
      </c>
    </row>
    <row r="182" spans="1:15" x14ac:dyDescent="0.3">
      <c r="A182" t="s">
        <v>193</v>
      </c>
      <c r="B182" t="s">
        <v>1591</v>
      </c>
      <c r="C182" t="s">
        <v>2774</v>
      </c>
      <c r="D182" t="s">
        <v>3428</v>
      </c>
      <c r="E182" t="s">
        <v>4554</v>
      </c>
      <c r="F182" t="s">
        <v>4574</v>
      </c>
      <c r="G182" t="s">
        <v>4587</v>
      </c>
      <c r="H182" t="s">
        <v>4606</v>
      </c>
      <c r="I182">
        <v>1</v>
      </c>
      <c r="J182" t="s">
        <v>4732</v>
      </c>
      <c r="K182">
        <v>0.15</v>
      </c>
      <c r="L182">
        <v>0</v>
      </c>
      <c r="M182" t="s">
        <v>5463</v>
      </c>
      <c r="N182" t="s">
        <v>5473</v>
      </c>
      <c r="O182" t="s">
        <v>5476</v>
      </c>
    </row>
    <row r="183" spans="1:15" x14ac:dyDescent="0.3">
      <c r="A183" t="s">
        <v>194</v>
      </c>
      <c r="B183" t="s">
        <v>1592</v>
      </c>
      <c r="C183" t="s">
        <v>2764</v>
      </c>
      <c r="D183" t="s">
        <v>3429</v>
      </c>
      <c r="E183" t="s">
        <v>4571</v>
      </c>
      <c r="F183" t="s">
        <v>4578</v>
      </c>
      <c r="G183" t="s">
        <v>4586</v>
      </c>
      <c r="H183" t="s">
        <v>4597</v>
      </c>
      <c r="I183">
        <v>2</v>
      </c>
      <c r="J183" t="s">
        <v>4733</v>
      </c>
      <c r="K183" t="s">
        <v>5461</v>
      </c>
      <c r="L183">
        <v>7.54</v>
      </c>
      <c r="M183" t="s">
        <v>5468</v>
      </c>
      <c r="O183" t="s">
        <v>5480</v>
      </c>
    </row>
    <row r="184" spans="1:15" x14ac:dyDescent="0.3">
      <c r="A184" t="s">
        <v>195</v>
      </c>
      <c r="B184" t="s">
        <v>1593</v>
      </c>
      <c r="C184" t="s">
        <v>2775</v>
      </c>
      <c r="D184" t="s">
        <v>3430</v>
      </c>
      <c r="E184" t="s">
        <v>4553</v>
      </c>
      <c r="F184" t="s">
        <v>4573</v>
      </c>
      <c r="G184" t="s">
        <v>4587</v>
      </c>
      <c r="H184" t="s">
        <v>4594</v>
      </c>
      <c r="I184">
        <v>2</v>
      </c>
      <c r="J184">
        <v>61.48</v>
      </c>
      <c r="L184">
        <v>10.28</v>
      </c>
      <c r="M184" t="s">
        <v>5462</v>
      </c>
      <c r="N184" t="s">
        <v>5470</v>
      </c>
      <c r="O184" t="s">
        <v>5476</v>
      </c>
    </row>
    <row r="185" spans="1:15" x14ac:dyDescent="0.3">
      <c r="A185" t="s">
        <v>196</v>
      </c>
      <c r="B185" t="s">
        <v>1594</v>
      </c>
      <c r="C185" t="s">
        <v>2776</v>
      </c>
      <c r="D185" t="s">
        <v>3431</v>
      </c>
      <c r="E185" t="s">
        <v>4561</v>
      </c>
      <c r="F185" t="s">
        <v>4580</v>
      </c>
      <c r="G185" t="s">
        <v>4587</v>
      </c>
      <c r="H185" t="s">
        <v>4596</v>
      </c>
      <c r="I185">
        <v>4</v>
      </c>
      <c r="J185" t="s">
        <v>4734</v>
      </c>
      <c r="K185">
        <v>0</v>
      </c>
      <c r="L185">
        <v>10.45</v>
      </c>
      <c r="M185" t="s">
        <v>5468</v>
      </c>
      <c r="O185" t="s">
        <v>5480</v>
      </c>
    </row>
    <row r="186" spans="1:15" x14ac:dyDescent="0.3">
      <c r="A186" t="s">
        <v>197</v>
      </c>
      <c r="B186" t="s">
        <v>1595</v>
      </c>
      <c r="C186" t="s">
        <v>2777</v>
      </c>
      <c r="D186" t="s">
        <v>3432</v>
      </c>
      <c r="E186" t="s">
        <v>4571</v>
      </c>
      <c r="F186" t="s">
        <v>4573</v>
      </c>
      <c r="G186" t="s">
        <v>4587</v>
      </c>
      <c r="H186" t="s">
        <v>4606</v>
      </c>
      <c r="I186">
        <v>1</v>
      </c>
      <c r="J186" t="s">
        <v>4735</v>
      </c>
      <c r="K186">
        <v>0</v>
      </c>
      <c r="L186">
        <v>12.9</v>
      </c>
      <c r="M186" t="s">
        <v>5466</v>
      </c>
      <c r="N186" t="s">
        <v>5472</v>
      </c>
      <c r="O186" t="s">
        <v>5475</v>
      </c>
    </row>
    <row r="187" spans="1:15" x14ac:dyDescent="0.3">
      <c r="A187" t="s">
        <v>198</v>
      </c>
      <c r="B187" t="s">
        <v>1596</v>
      </c>
      <c r="C187" t="s">
        <v>2769</v>
      </c>
      <c r="D187" t="s">
        <v>3433</v>
      </c>
      <c r="E187" t="s">
        <v>4547</v>
      </c>
      <c r="F187" t="s">
        <v>4580</v>
      </c>
      <c r="G187" t="s">
        <v>4584</v>
      </c>
      <c r="H187" t="s">
        <v>4589</v>
      </c>
      <c r="I187">
        <v>3</v>
      </c>
      <c r="J187" t="s">
        <v>4736</v>
      </c>
      <c r="K187">
        <v>0</v>
      </c>
      <c r="L187">
        <v>8.49</v>
      </c>
      <c r="O187" t="s">
        <v>5475</v>
      </c>
    </row>
    <row r="188" spans="1:15" x14ac:dyDescent="0.3">
      <c r="A188" t="s">
        <v>199</v>
      </c>
      <c r="B188" t="s">
        <v>1597</v>
      </c>
      <c r="C188" t="s">
        <v>2778</v>
      </c>
      <c r="D188" t="s">
        <v>3434</v>
      </c>
      <c r="E188" t="s">
        <v>4557</v>
      </c>
      <c r="F188" t="s">
        <v>4572</v>
      </c>
      <c r="G188" t="s">
        <v>4587</v>
      </c>
      <c r="H188" t="s">
        <v>4594</v>
      </c>
      <c r="I188">
        <v>5</v>
      </c>
      <c r="J188" t="s">
        <v>4737</v>
      </c>
      <c r="L188">
        <v>0.1</v>
      </c>
      <c r="M188" t="s">
        <v>5468</v>
      </c>
      <c r="N188" t="s">
        <v>5470</v>
      </c>
      <c r="O188" t="s">
        <v>5478</v>
      </c>
    </row>
    <row r="189" spans="1:15" x14ac:dyDescent="0.3">
      <c r="A189" t="s">
        <v>200</v>
      </c>
      <c r="B189" t="s">
        <v>1598</v>
      </c>
      <c r="C189" t="s">
        <v>2779</v>
      </c>
      <c r="D189" t="s">
        <v>3435</v>
      </c>
      <c r="E189" t="s">
        <v>4563</v>
      </c>
      <c r="F189" t="s">
        <v>4578</v>
      </c>
      <c r="G189" t="s">
        <v>4585</v>
      </c>
      <c r="H189" t="s">
        <v>4602</v>
      </c>
      <c r="I189">
        <v>4</v>
      </c>
      <c r="J189" t="s">
        <v>4738</v>
      </c>
      <c r="L189">
        <v>11.45</v>
      </c>
      <c r="M189" t="s">
        <v>5462</v>
      </c>
      <c r="N189" t="s">
        <v>5472</v>
      </c>
      <c r="O189" t="s">
        <v>5477</v>
      </c>
    </row>
    <row r="190" spans="1:15" x14ac:dyDescent="0.3">
      <c r="A190" t="s">
        <v>201</v>
      </c>
      <c r="B190" t="s">
        <v>1599</v>
      </c>
      <c r="C190" t="s">
        <v>2780</v>
      </c>
      <c r="D190" t="s">
        <v>3436</v>
      </c>
      <c r="E190" t="s">
        <v>4561</v>
      </c>
      <c r="F190" t="s">
        <v>4581</v>
      </c>
      <c r="G190" t="s">
        <v>4585</v>
      </c>
      <c r="H190" t="s">
        <v>4590</v>
      </c>
      <c r="I190">
        <v>1</v>
      </c>
      <c r="J190">
        <v>13.81</v>
      </c>
      <c r="K190">
        <v>0</v>
      </c>
      <c r="L190">
        <v>4.8</v>
      </c>
      <c r="M190" t="s">
        <v>5464</v>
      </c>
      <c r="N190" t="s">
        <v>5469</v>
      </c>
      <c r="O190" t="s">
        <v>5477</v>
      </c>
    </row>
    <row r="191" spans="1:15" x14ac:dyDescent="0.3">
      <c r="A191" t="s">
        <v>202</v>
      </c>
      <c r="B191" t="s">
        <v>1600</v>
      </c>
      <c r="C191" t="s">
        <v>2781</v>
      </c>
      <c r="E191" t="s">
        <v>4548</v>
      </c>
      <c r="F191" t="s">
        <v>4573</v>
      </c>
      <c r="G191" t="s">
        <v>4584</v>
      </c>
      <c r="H191" t="s">
        <v>4601</v>
      </c>
      <c r="I191">
        <v>2</v>
      </c>
      <c r="J191">
        <v>185.88</v>
      </c>
      <c r="L191">
        <v>1.66</v>
      </c>
      <c r="M191" t="s">
        <v>5468</v>
      </c>
      <c r="N191" t="s">
        <v>5473</v>
      </c>
      <c r="O191" t="s">
        <v>5477</v>
      </c>
    </row>
    <row r="192" spans="1:15" x14ac:dyDescent="0.3">
      <c r="A192" t="s">
        <v>203</v>
      </c>
      <c r="B192" t="s">
        <v>1601</v>
      </c>
      <c r="C192" t="s">
        <v>2725</v>
      </c>
      <c r="D192" t="s">
        <v>3437</v>
      </c>
      <c r="E192" t="s">
        <v>4551</v>
      </c>
      <c r="F192" t="s">
        <v>4576</v>
      </c>
      <c r="G192" t="s">
        <v>4584</v>
      </c>
      <c r="H192" t="s">
        <v>4607</v>
      </c>
      <c r="I192">
        <v>2</v>
      </c>
      <c r="J192" t="s">
        <v>4739</v>
      </c>
      <c r="K192">
        <v>0</v>
      </c>
      <c r="M192" t="s">
        <v>5468</v>
      </c>
      <c r="N192" t="s">
        <v>5469</v>
      </c>
      <c r="O192" t="s">
        <v>5476</v>
      </c>
    </row>
    <row r="193" spans="1:15" x14ac:dyDescent="0.3">
      <c r="A193" t="s">
        <v>204</v>
      </c>
      <c r="B193" t="s">
        <v>1602</v>
      </c>
      <c r="C193" t="s">
        <v>2782</v>
      </c>
      <c r="D193" t="s">
        <v>3438</v>
      </c>
      <c r="E193" t="s">
        <v>4565</v>
      </c>
      <c r="F193" t="s">
        <v>4575</v>
      </c>
      <c r="G193" t="s">
        <v>4587</v>
      </c>
      <c r="H193" t="s">
        <v>4594</v>
      </c>
      <c r="I193">
        <v>1</v>
      </c>
      <c r="J193" t="s">
        <v>4740</v>
      </c>
      <c r="K193" t="s">
        <v>5460</v>
      </c>
      <c r="L193">
        <v>3.21</v>
      </c>
      <c r="M193" t="s">
        <v>5465</v>
      </c>
      <c r="N193" t="s">
        <v>5474</v>
      </c>
      <c r="O193" t="s">
        <v>5480</v>
      </c>
    </row>
    <row r="194" spans="1:15" x14ac:dyDescent="0.3">
      <c r="A194" t="s">
        <v>205</v>
      </c>
      <c r="B194" t="s">
        <v>1603</v>
      </c>
      <c r="C194" t="s">
        <v>2783</v>
      </c>
      <c r="D194" t="s">
        <v>3439</v>
      </c>
      <c r="E194" t="s">
        <v>4547</v>
      </c>
      <c r="F194" t="s">
        <v>4580</v>
      </c>
      <c r="G194" t="s">
        <v>4587</v>
      </c>
      <c r="H194" t="s">
        <v>4606</v>
      </c>
      <c r="I194">
        <v>1</v>
      </c>
      <c r="J194">
        <v>29.36</v>
      </c>
      <c r="K194">
        <v>0</v>
      </c>
      <c r="L194">
        <v>8.39</v>
      </c>
      <c r="M194" t="s">
        <v>5465</v>
      </c>
      <c r="N194" t="s">
        <v>5472</v>
      </c>
      <c r="O194" t="s">
        <v>5477</v>
      </c>
    </row>
    <row r="195" spans="1:15" x14ac:dyDescent="0.3">
      <c r="A195" t="s">
        <v>206</v>
      </c>
      <c r="B195" t="s">
        <v>1604</v>
      </c>
      <c r="C195" t="s">
        <v>2784</v>
      </c>
      <c r="E195" t="s">
        <v>4566</v>
      </c>
      <c r="F195" t="s">
        <v>4577</v>
      </c>
      <c r="G195" t="s">
        <v>4586</v>
      </c>
      <c r="H195" t="s">
        <v>4599</v>
      </c>
      <c r="I195">
        <v>3</v>
      </c>
      <c r="J195" t="s">
        <v>4741</v>
      </c>
      <c r="K195">
        <v>0</v>
      </c>
      <c r="N195" t="s">
        <v>5474</v>
      </c>
      <c r="O195" t="s">
        <v>5480</v>
      </c>
    </row>
    <row r="196" spans="1:15" x14ac:dyDescent="0.3">
      <c r="A196" t="s">
        <v>207</v>
      </c>
      <c r="B196" t="s">
        <v>1479</v>
      </c>
      <c r="C196" t="s">
        <v>2785</v>
      </c>
      <c r="D196" t="s">
        <v>3440</v>
      </c>
      <c r="E196" t="s">
        <v>4565</v>
      </c>
      <c r="F196" t="s">
        <v>4579</v>
      </c>
      <c r="G196" t="s">
        <v>4586</v>
      </c>
      <c r="H196" t="s">
        <v>4597</v>
      </c>
      <c r="I196">
        <v>-1</v>
      </c>
      <c r="J196">
        <v>84.78</v>
      </c>
      <c r="K196">
        <v>0</v>
      </c>
      <c r="L196">
        <v>6.54</v>
      </c>
      <c r="N196" t="s">
        <v>5469</v>
      </c>
      <c r="O196" t="s">
        <v>5478</v>
      </c>
    </row>
    <row r="197" spans="1:15" x14ac:dyDescent="0.3">
      <c r="A197" t="s">
        <v>208</v>
      </c>
      <c r="B197" t="s">
        <v>1605</v>
      </c>
      <c r="C197" t="s">
        <v>2786</v>
      </c>
      <c r="D197" t="s">
        <v>3441</v>
      </c>
      <c r="E197" t="s">
        <v>4547</v>
      </c>
      <c r="F197" t="s">
        <v>4580</v>
      </c>
      <c r="G197" t="s">
        <v>4585</v>
      </c>
      <c r="H197" t="s">
        <v>4602</v>
      </c>
      <c r="I197">
        <v>-1</v>
      </c>
      <c r="J197" t="s">
        <v>4742</v>
      </c>
      <c r="K197" t="s">
        <v>5461</v>
      </c>
      <c r="L197">
        <v>0.13</v>
      </c>
      <c r="M197" t="s">
        <v>5465</v>
      </c>
      <c r="N197" t="s">
        <v>5471</v>
      </c>
      <c r="O197" t="s">
        <v>5479</v>
      </c>
    </row>
    <row r="198" spans="1:15" x14ac:dyDescent="0.3">
      <c r="A198" t="s">
        <v>209</v>
      </c>
      <c r="B198" t="s">
        <v>1606</v>
      </c>
      <c r="C198" t="s">
        <v>2725</v>
      </c>
      <c r="D198" t="s">
        <v>3442</v>
      </c>
      <c r="E198" t="s">
        <v>4552</v>
      </c>
      <c r="F198" t="s">
        <v>4576</v>
      </c>
      <c r="G198" t="s">
        <v>4586</v>
      </c>
      <c r="H198" t="s">
        <v>4609</v>
      </c>
      <c r="I198">
        <v>1</v>
      </c>
      <c r="J198">
        <v>128.76</v>
      </c>
      <c r="K198">
        <v>0.1</v>
      </c>
      <c r="L198">
        <v>5.7</v>
      </c>
      <c r="M198" t="s">
        <v>5463</v>
      </c>
      <c r="N198" t="s">
        <v>5474</v>
      </c>
      <c r="O198" t="s">
        <v>5475</v>
      </c>
    </row>
    <row r="199" spans="1:15" x14ac:dyDescent="0.3">
      <c r="A199" t="s">
        <v>210</v>
      </c>
      <c r="B199" t="s">
        <v>1607</v>
      </c>
      <c r="C199" t="s">
        <v>2787</v>
      </c>
      <c r="D199" t="s">
        <v>3443</v>
      </c>
      <c r="E199" t="s">
        <v>4567</v>
      </c>
      <c r="F199" t="s">
        <v>4573</v>
      </c>
      <c r="G199" t="s">
        <v>4587</v>
      </c>
      <c r="H199" t="s">
        <v>4600</v>
      </c>
      <c r="I199">
        <v>1</v>
      </c>
      <c r="J199" t="s">
        <v>4715</v>
      </c>
      <c r="K199">
        <v>0</v>
      </c>
      <c r="L199">
        <v>7.78</v>
      </c>
      <c r="M199" t="s">
        <v>5462</v>
      </c>
      <c r="N199" t="s">
        <v>5470</v>
      </c>
      <c r="O199" t="s">
        <v>5479</v>
      </c>
    </row>
    <row r="200" spans="1:15" x14ac:dyDescent="0.3">
      <c r="A200" t="s">
        <v>211</v>
      </c>
      <c r="B200" t="s">
        <v>1608</v>
      </c>
      <c r="C200" t="s">
        <v>2788</v>
      </c>
      <c r="E200" t="s">
        <v>4561</v>
      </c>
      <c r="F200" t="s">
        <v>4581</v>
      </c>
      <c r="G200" t="s">
        <v>4583</v>
      </c>
      <c r="H200" t="s">
        <v>4588</v>
      </c>
      <c r="I200">
        <v>5</v>
      </c>
      <c r="J200" t="s">
        <v>4743</v>
      </c>
      <c r="K200">
        <v>0.1</v>
      </c>
      <c r="L200">
        <v>0</v>
      </c>
      <c r="M200" t="s">
        <v>5463</v>
      </c>
      <c r="N200" t="s">
        <v>5469</v>
      </c>
      <c r="O200" t="s">
        <v>5475</v>
      </c>
    </row>
    <row r="201" spans="1:15" x14ac:dyDescent="0.3">
      <c r="A201" t="s">
        <v>212</v>
      </c>
      <c r="B201" t="s">
        <v>1609</v>
      </c>
      <c r="C201" t="s">
        <v>2789</v>
      </c>
      <c r="D201" t="s">
        <v>3444</v>
      </c>
      <c r="E201" t="s">
        <v>4568</v>
      </c>
      <c r="F201" t="s">
        <v>4582</v>
      </c>
      <c r="G201" t="s">
        <v>4583</v>
      </c>
      <c r="H201" t="s">
        <v>4604</v>
      </c>
      <c r="I201">
        <v>2</v>
      </c>
      <c r="J201" t="s">
        <v>4744</v>
      </c>
      <c r="K201">
        <v>0</v>
      </c>
      <c r="L201">
        <v>13.42</v>
      </c>
      <c r="N201" t="s">
        <v>5470</v>
      </c>
      <c r="O201" t="s">
        <v>5476</v>
      </c>
    </row>
    <row r="202" spans="1:15" x14ac:dyDescent="0.3">
      <c r="A202" t="s">
        <v>213</v>
      </c>
      <c r="B202" t="s">
        <v>1610</v>
      </c>
      <c r="C202" t="s">
        <v>2790</v>
      </c>
      <c r="D202" t="s">
        <v>3445</v>
      </c>
      <c r="E202" t="s">
        <v>4571</v>
      </c>
      <c r="F202" t="s">
        <v>4578</v>
      </c>
      <c r="G202" t="s">
        <v>4584</v>
      </c>
      <c r="H202" t="s">
        <v>4595</v>
      </c>
      <c r="I202">
        <v>1</v>
      </c>
      <c r="J202" t="s">
        <v>4745</v>
      </c>
      <c r="K202">
        <v>0.15</v>
      </c>
      <c r="L202">
        <v>5.63</v>
      </c>
      <c r="O202" t="s">
        <v>5477</v>
      </c>
    </row>
    <row r="203" spans="1:15" x14ac:dyDescent="0.3">
      <c r="A203" t="s">
        <v>214</v>
      </c>
      <c r="B203" t="s">
        <v>1611</v>
      </c>
      <c r="C203" t="s">
        <v>2791</v>
      </c>
      <c r="D203" t="s">
        <v>3446</v>
      </c>
      <c r="E203" t="s">
        <v>4563</v>
      </c>
      <c r="F203" t="s">
        <v>4573</v>
      </c>
      <c r="G203" t="s">
        <v>4585</v>
      </c>
      <c r="H203" t="s">
        <v>4602</v>
      </c>
      <c r="I203">
        <v>-1</v>
      </c>
      <c r="J203">
        <v>4.24</v>
      </c>
      <c r="K203">
        <v>0.05</v>
      </c>
      <c r="L203">
        <v>0.39</v>
      </c>
      <c r="M203" t="s">
        <v>5462</v>
      </c>
      <c r="N203" t="s">
        <v>5470</v>
      </c>
      <c r="O203" t="s">
        <v>5476</v>
      </c>
    </row>
    <row r="204" spans="1:15" x14ac:dyDescent="0.3">
      <c r="A204" t="s">
        <v>215</v>
      </c>
      <c r="B204" t="s">
        <v>1612</v>
      </c>
      <c r="C204" t="s">
        <v>2792</v>
      </c>
      <c r="D204" t="s">
        <v>3447</v>
      </c>
      <c r="E204" t="s">
        <v>4553</v>
      </c>
      <c r="F204" t="s">
        <v>4582</v>
      </c>
      <c r="G204" t="s">
        <v>4585</v>
      </c>
      <c r="H204" t="s">
        <v>4602</v>
      </c>
      <c r="I204">
        <v>1</v>
      </c>
      <c r="J204">
        <v>4.13</v>
      </c>
      <c r="K204">
        <v>0.05</v>
      </c>
      <c r="L204">
        <v>10.94</v>
      </c>
      <c r="M204" t="s">
        <v>5465</v>
      </c>
      <c r="N204" t="s">
        <v>5472</v>
      </c>
      <c r="O204" t="s">
        <v>5475</v>
      </c>
    </row>
    <row r="205" spans="1:15" x14ac:dyDescent="0.3">
      <c r="A205" t="s">
        <v>216</v>
      </c>
      <c r="B205" t="s">
        <v>1613</v>
      </c>
      <c r="C205" t="s">
        <v>2793</v>
      </c>
      <c r="D205" t="s">
        <v>3448</v>
      </c>
      <c r="E205" t="s">
        <v>4570</v>
      </c>
      <c r="F205" t="s">
        <v>4573</v>
      </c>
      <c r="G205" t="s">
        <v>4585</v>
      </c>
      <c r="H205" t="s">
        <v>4590</v>
      </c>
      <c r="I205">
        <v>5</v>
      </c>
      <c r="J205" t="s">
        <v>4746</v>
      </c>
      <c r="K205">
        <v>0</v>
      </c>
      <c r="L205">
        <v>13.35</v>
      </c>
      <c r="M205" t="s">
        <v>5462</v>
      </c>
      <c r="N205" t="s">
        <v>5471</v>
      </c>
      <c r="O205" t="s">
        <v>5477</v>
      </c>
    </row>
    <row r="206" spans="1:15" x14ac:dyDescent="0.3">
      <c r="A206" t="s">
        <v>217</v>
      </c>
      <c r="B206" t="s">
        <v>1614</v>
      </c>
      <c r="C206" t="s">
        <v>2794</v>
      </c>
      <c r="D206" t="s">
        <v>3449</v>
      </c>
      <c r="E206" t="s">
        <v>4555</v>
      </c>
      <c r="F206" t="s">
        <v>4573</v>
      </c>
      <c r="G206" t="s">
        <v>4587</v>
      </c>
      <c r="H206" t="s">
        <v>4600</v>
      </c>
      <c r="I206">
        <v>3</v>
      </c>
      <c r="J206">
        <v>12.73</v>
      </c>
      <c r="K206" t="s">
        <v>5460</v>
      </c>
      <c r="L206">
        <v>6.57</v>
      </c>
      <c r="M206" t="s">
        <v>5465</v>
      </c>
      <c r="O206" t="s">
        <v>5476</v>
      </c>
    </row>
    <row r="207" spans="1:15" x14ac:dyDescent="0.3">
      <c r="A207" t="s">
        <v>218</v>
      </c>
      <c r="B207" t="s">
        <v>1615</v>
      </c>
      <c r="C207" t="s">
        <v>2795</v>
      </c>
      <c r="D207" t="s">
        <v>3450</v>
      </c>
      <c r="E207" t="s">
        <v>4569</v>
      </c>
      <c r="F207" t="s">
        <v>4572</v>
      </c>
      <c r="G207" t="s">
        <v>4585</v>
      </c>
      <c r="H207" t="s">
        <v>4590</v>
      </c>
      <c r="I207">
        <v>1</v>
      </c>
      <c r="J207" t="s">
        <v>4747</v>
      </c>
      <c r="K207">
        <v>0</v>
      </c>
      <c r="L207">
        <v>13.72</v>
      </c>
      <c r="N207" t="s">
        <v>5474</v>
      </c>
      <c r="O207" t="s">
        <v>5475</v>
      </c>
    </row>
    <row r="208" spans="1:15" x14ac:dyDescent="0.3">
      <c r="A208" t="s">
        <v>219</v>
      </c>
      <c r="B208" t="s">
        <v>1616</v>
      </c>
      <c r="C208" t="s">
        <v>2796</v>
      </c>
      <c r="D208" t="s">
        <v>3451</v>
      </c>
      <c r="E208" t="s">
        <v>4558</v>
      </c>
      <c r="F208" t="s">
        <v>4581</v>
      </c>
      <c r="G208" t="s">
        <v>4584</v>
      </c>
      <c r="H208" t="s">
        <v>4601</v>
      </c>
      <c r="I208">
        <v>2</v>
      </c>
      <c r="J208" t="s">
        <v>4748</v>
      </c>
      <c r="L208">
        <v>0</v>
      </c>
      <c r="M208" t="s">
        <v>5464</v>
      </c>
      <c r="N208" t="s">
        <v>5473</v>
      </c>
      <c r="O208" t="s">
        <v>5479</v>
      </c>
    </row>
    <row r="209" spans="1:15" x14ac:dyDescent="0.3">
      <c r="A209" t="s">
        <v>220</v>
      </c>
      <c r="B209" t="s">
        <v>1617</v>
      </c>
      <c r="C209" t="s">
        <v>2797</v>
      </c>
      <c r="D209" t="s">
        <v>3452</v>
      </c>
      <c r="E209" t="s">
        <v>4563</v>
      </c>
      <c r="F209" t="s">
        <v>4578</v>
      </c>
      <c r="G209" t="s">
        <v>4584</v>
      </c>
      <c r="H209" t="s">
        <v>4607</v>
      </c>
      <c r="I209">
        <v>3</v>
      </c>
      <c r="J209" t="s">
        <v>4749</v>
      </c>
      <c r="K209" t="s">
        <v>5460</v>
      </c>
      <c r="L209">
        <v>8.91</v>
      </c>
      <c r="M209" t="s">
        <v>5467</v>
      </c>
      <c r="N209" t="s">
        <v>5474</v>
      </c>
      <c r="O209" t="s">
        <v>5476</v>
      </c>
    </row>
    <row r="210" spans="1:15" x14ac:dyDescent="0.3">
      <c r="A210" t="s">
        <v>221</v>
      </c>
      <c r="B210" t="s">
        <v>1618</v>
      </c>
      <c r="C210" t="s">
        <v>2798</v>
      </c>
      <c r="D210" t="s">
        <v>3453</v>
      </c>
      <c r="E210" t="s">
        <v>4562</v>
      </c>
      <c r="G210" t="s">
        <v>4586</v>
      </c>
      <c r="H210" t="s">
        <v>4609</v>
      </c>
      <c r="I210">
        <v>4</v>
      </c>
      <c r="J210" t="s">
        <v>4750</v>
      </c>
      <c r="K210">
        <v>0</v>
      </c>
      <c r="L210">
        <v>6.09</v>
      </c>
      <c r="M210" t="s">
        <v>5463</v>
      </c>
      <c r="N210" t="s">
        <v>5471</v>
      </c>
      <c r="O210" t="s">
        <v>5477</v>
      </c>
    </row>
    <row r="211" spans="1:15" x14ac:dyDescent="0.3">
      <c r="A211" t="s">
        <v>222</v>
      </c>
      <c r="B211" t="s">
        <v>1619</v>
      </c>
      <c r="C211" t="s">
        <v>2799</v>
      </c>
      <c r="D211" t="s">
        <v>3454</v>
      </c>
      <c r="E211" t="s">
        <v>4564</v>
      </c>
      <c r="F211" t="s">
        <v>4578</v>
      </c>
      <c r="G211" t="s">
        <v>4585</v>
      </c>
      <c r="H211" t="s">
        <v>4592</v>
      </c>
      <c r="I211">
        <v>2</v>
      </c>
      <c r="J211" t="s">
        <v>4751</v>
      </c>
      <c r="K211" t="s">
        <v>5461</v>
      </c>
      <c r="L211">
        <v>8.94</v>
      </c>
      <c r="M211" t="s">
        <v>5467</v>
      </c>
      <c r="N211" t="s">
        <v>5469</v>
      </c>
      <c r="O211" t="s">
        <v>5477</v>
      </c>
    </row>
    <row r="212" spans="1:15" x14ac:dyDescent="0.3">
      <c r="A212" t="s">
        <v>223</v>
      </c>
      <c r="B212" t="s">
        <v>1620</v>
      </c>
      <c r="C212" t="s">
        <v>2800</v>
      </c>
      <c r="D212" t="s">
        <v>3455</v>
      </c>
      <c r="E212" t="s">
        <v>4550</v>
      </c>
      <c r="F212" t="s">
        <v>4573</v>
      </c>
      <c r="G212" t="s">
        <v>4584</v>
      </c>
      <c r="H212" t="s">
        <v>4607</v>
      </c>
      <c r="I212">
        <v>2</v>
      </c>
      <c r="J212" t="s">
        <v>4752</v>
      </c>
      <c r="K212">
        <v>0.05</v>
      </c>
      <c r="L212">
        <v>6.19</v>
      </c>
      <c r="M212" t="s">
        <v>5462</v>
      </c>
      <c r="N212" t="s">
        <v>5470</v>
      </c>
      <c r="O212" t="s">
        <v>5477</v>
      </c>
    </row>
    <row r="213" spans="1:15" x14ac:dyDescent="0.3">
      <c r="A213" t="s">
        <v>224</v>
      </c>
      <c r="B213" t="s">
        <v>1621</v>
      </c>
      <c r="C213" t="s">
        <v>2801</v>
      </c>
      <c r="D213" t="s">
        <v>3456</v>
      </c>
      <c r="E213" t="s">
        <v>4564</v>
      </c>
      <c r="F213" t="s">
        <v>4573</v>
      </c>
      <c r="G213" t="s">
        <v>4587</v>
      </c>
      <c r="H213" t="s">
        <v>4600</v>
      </c>
      <c r="I213">
        <v>1</v>
      </c>
      <c r="J213" t="s">
        <v>4753</v>
      </c>
      <c r="L213">
        <v>0.82</v>
      </c>
      <c r="M213" t="s">
        <v>5468</v>
      </c>
      <c r="O213" t="s">
        <v>5477</v>
      </c>
    </row>
    <row r="214" spans="1:15" x14ac:dyDescent="0.3">
      <c r="A214" t="s">
        <v>225</v>
      </c>
      <c r="B214" t="s">
        <v>1622</v>
      </c>
      <c r="C214" t="s">
        <v>2802</v>
      </c>
      <c r="D214" t="s">
        <v>3457</v>
      </c>
      <c r="E214" t="s">
        <v>4561</v>
      </c>
      <c r="F214" t="s">
        <v>4580</v>
      </c>
      <c r="G214" t="s">
        <v>4583</v>
      </c>
      <c r="H214" t="s">
        <v>4588</v>
      </c>
      <c r="I214">
        <v>5</v>
      </c>
      <c r="J214">
        <v>38.47</v>
      </c>
      <c r="K214">
        <v>0.1</v>
      </c>
      <c r="L214">
        <v>10.6</v>
      </c>
      <c r="O214" t="s">
        <v>5478</v>
      </c>
    </row>
    <row r="215" spans="1:15" x14ac:dyDescent="0.3">
      <c r="A215" t="s">
        <v>226</v>
      </c>
      <c r="B215" t="s">
        <v>1623</v>
      </c>
      <c r="C215" t="s">
        <v>2803</v>
      </c>
      <c r="D215" t="s">
        <v>3458</v>
      </c>
      <c r="E215" t="s">
        <v>4570</v>
      </c>
      <c r="F215" t="s">
        <v>4574</v>
      </c>
      <c r="G215" t="s">
        <v>4584</v>
      </c>
      <c r="H215" t="s">
        <v>4603</v>
      </c>
      <c r="I215">
        <v>1</v>
      </c>
      <c r="J215" t="s">
        <v>4754</v>
      </c>
      <c r="L215">
        <v>1.56</v>
      </c>
      <c r="M215" t="s">
        <v>5467</v>
      </c>
      <c r="N215" t="s">
        <v>5470</v>
      </c>
      <c r="O215" t="s">
        <v>5476</v>
      </c>
    </row>
    <row r="216" spans="1:15" x14ac:dyDescent="0.3">
      <c r="A216" t="s">
        <v>227</v>
      </c>
      <c r="B216" t="s">
        <v>1624</v>
      </c>
      <c r="C216" t="s">
        <v>2804</v>
      </c>
      <c r="D216" t="s">
        <v>3459</v>
      </c>
      <c r="E216" t="s">
        <v>4571</v>
      </c>
      <c r="F216" t="s">
        <v>4573</v>
      </c>
      <c r="G216" t="s">
        <v>4584</v>
      </c>
      <c r="H216" t="s">
        <v>4595</v>
      </c>
      <c r="I216">
        <v>-1</v>
      </c>
      <c r="J216" t="s">
        <v>4755</v>
      </c>
      <c r="K216">
        <v>0.1</v>
      </c>
      <c r="L216">
        <v>4.3899999999999997</v>
      </c>
      <c r="M216" t="s">
        <v>5468</v>
      </c>
      <c r="N216" t="s">
        <v>5474</v>
      </c>
      <c r="O216" t="s">
        <v>5476</v>
      </c>
    </row>
    <row r="217" spans="1:15" x14ac:dyDescent="0.3">
      <c r="A217" t="s">
        <v>228</v>
      </c>
      <c r="B217" t="s">
        <v>1625</v>
      </c>
      <c r="C217" t="s">
        <v>2805</v>
      </c>
      <c r="D217" t="s">
        <v>3460</v>
      </c>
      <c r="E217" t="s">
        <v>4549</v>
      </c>
      <c r="G217" t="s">
        <v>4583</v>
      </c>
      <c r="H217" t="s">
        <v>4604</v>
      </c>
      <c r="I217">
        <v>5</v>
      </c>
      <c r="J217">
        <v>21.6</v>
      </c>
      <c r="K217">
        <v>0.15</v>
      </c>
      <c r="L217">
        <v>4.05</v>
      </c>
      <c r="M217" t="s">
        <v>5467</v>
      </c>
      <c r="N217" t="s">
        <v>5473</v>
      </c>
      <c r="O217" t="s">
        <v>5480</v>
      </c>
    </row>
    <row r="218" spans="1:15" x14ac:dyDescent="0.3">
      <c r="A218" t="s">
        <v>229</v>
      </c>
      <c r="B218" t="s">
        <v>1626</v>
      </c>
      <c r="C218" t="s">
        <v>2806</v>
      </c>
      <c r="D218" t="s">
        <v>3461</v>
      </c>
      <c r="E218" t="s">
        <v>4550</v>
      </c>
      <c r="F218" t="s">
        <v>4573</v>
      </c>
      <c r="G218" t="s">
        <v>4584</v>
      </c>
      <c r="H218" t="s">
        <v>4608</v>
      </c>
      <c r="I218">
        <v>-1</v>
      </c>
      <c r="J218">
        <v>18.55</v>
      </c>
      <c r="K218">
        <v>0</v>
      </c>
      <c r="L218">
        <v>9.07</v>
      </c>
      <c r="M218" t="s">
        <v>5465</v>
      </c>
      <c r="N218" t="s">
        <v>5472</v>
      </c>
      <c r="O218" t="s">
        <v>5475</v>
      </c>
    </row>
    <row r="219" spans="1:15" x14ac:dyDescent="0.3">
      <c r="A219" t="s">
        <v>230</v>
      </c>
      <c r="B219" t="s">
        <v>1627</v>
      </c>
      <c r="C219" t="s">
        <v>2807</v>
      </c>
      <c r="D219" t="s">
        <v>3462</v>
      </c>
      <c r="E219" t="s">
        <v>4569</v>
      </c>
      <c r="F219" t="s">
        <v>4572</v>
      </c>
      <c r="G219" t="s">
        <v>4583</v>
      </c>
      <c r="H219" t="s">
        <v>4604</v>
      </c>
      <c r="I219">
        <v>3</v>
      </c>
      <c r="J219" t="s">
        <v>4756</v>
      </c>
      <c r="K219">
        <v>0.1</v>
      </c>
      <c r="L219">
        <v>11.38</v>
      </c>
      <c r="M219" t="s">
        <v>5463</v>
      </c>
      <c r="N219" t="s">
        <v>5470</v>
      </c>
      <c r="O219" t="s">
        <v>5477</v>
      </c>
    </row>
    <row r="220" spans="1:15" x14ac:dyDescent="0.3">
      <c r="A220" t="s">
        <v>231</v>
      </c>
      <c r="B220" t="s">
        <v>1628</v>
      </c>
      <c r="C220" t="s">
        <v>2761</v>
      </c>
      <c r="D220" t="s">
        <v>3463</v>
      </c>
      <c r="E220" t="s">
        <v>4553</v>
      </c>
      <c r="F220" t="s">
        <v>4582</v>
      </c>
      <c r="G220" t="s">
        <v>4586</v>
      </c>
      <c r="H220" t="s">
        <v>4597</v>
      </c>
      <c r="I220">
        <v>10</v>
      </c>
      <c r="J220">
        <v>87.14</v>
      </c>
      <c r="K220">
        <v>0</v>
      </c>
      <c r="L220">
        <v>5.12</v>
      </c>
      <c r="N220" t="s">
        <v>5471</v>
      </c>
      <c r="O220" t="s">
        <v>5478</v>
      </c>
    </row>
    <row r="221" spans="1:15" x14ac:dyDescent="0.3">
      <c r="A221" t="s">
        <v>232</v>
      </c>
      <c r="B221" t="s">
        <v>1629</v>
      </c>
      <c r="C221" t="s">
        <v>2808</v>
      </c>
      <c r="D221" t="s">
        <v>3464</v>
      </c>
      <c r="E221" t="s">
        <v>4549</v>
      </c>
      <c r="F221" t="s">
        <v>4574</v>
      </c>
      <c r="H221" t="s">
        <v>4591</v>
      </c>
      <c r="I221">
        <v>4</v>
      </c>
      <c r="J221">
        <v>7.56</v>
      </c>
      <c r="K221" t="s">
        <v>5460</v>
      </c>
      <c r="L221">
        <v>10.79</v>
      </c>
      <c r="M221" t="s">
        <v>5464</v>
      </c>
      <c r="O221" t="s">
        <v>5476</v>
      </c>
    </row>
    <row r="222" spans="1:15" x14ac:dyDescent="0.3">
      <c r="A222" t="s">
        <v>233</v>
      </c>
      <c r="B222" t="s">
        <v>1630</v>
      </c>
      <c r="C222" t="s">
        <v>2809</v>
      </c>
      <c r="D222" t="s">
        <v>3465</v>
      </c>
      <c r="E222" t="s">
        <v>4565</v>
      </c>
      <c r="F222" t="s">
        <v>4579</v>
      </c>
      <c r="G222" t="s">
        <v>4585</v>
      </c>
      <c r="H222" t="s">
        <v>4598</v>
      </c>
      <c r="I222">
        <v>1</v>
      </c>
      <c r="J222">
        <v>3.02</v>
      </c>
      <c r="K222" t="s">
        <v>5460</v>
      </c>
      <c r="L222">
        <v>4.96</v>
      </c>
      <c r="M222" t="s">
        <v>5466</v>
      </c>
      <c r="O222" t="s">
        <v>5477</v>
      </c>
    </row>
    <row r="223" spans="1:15" x14ac:dyDescent="0.3">
      <c r="A223" t="s">
        <v>234</v>
      </c>
      <c r="B223" t="s">
        <v>1631</v>
      </c>
      <c r="C223" t="s">
        <v>2663</v>
      </c>
      <c r="D223" t="s">
        <v>3466</v>
      </c>
      <c r="E223" t="s">
        <v>4566</v>
      </c>
      <c r="F223" t="s">
        <v>4573</v>
      </c>
      <c r="G223" t="s">
        <v>4584</v>
      </c>
      <c r="H223" t="s">
        <v>4607</v>
      </c>
      <c r="I223">
        <v>1</v>
      </c>
      <c r="J223" t="s">
        <v>4757</v>
      </c>
      <c r="K223">
        <v>0</v>
      </c>
      <c r="L223">
        <v>0.02</v>
      </c>
      <c r="M223" t="s">
        <v>5468</v>
      </c>
      <c r="N223" t="s">
        <v>5474</v>
      </c>
      <c r="O223" t="s">
        <v>5477</v>
      </c>
    </row>
    <row r="224" spans="1:15" x14ac:dyDescent="0.3">
      <c r="A224" t="s">
        <v>235</v>
      </c>
      <c r="B224" t="s">
        <v>1632</v>
      </c>
      <c r="C224" t="s">
        <v>2810</v>
      </c>
      <c r="D224" t="s">
        <v>3467</v>
      </c>
      <c r="E224" t="s">
        <v>4568</v>
      </c>
      <c r="F224" t="s">
        <v>4582</v>
      </c>
      <c r="G224" t="s">
        <v>4583</v>
      </c>
      <c r="H224" t="s">
        <v>4604</v>
      </c>
      <c r="I224">
        <v>1</v>
      </c>
      <c r="J224" t="s">
        <v>4758</v>
      </c>
      <c r="K224" t="s">
        <v>5460</v>
      </c>
      <c r="L224">
        <v>5.73</v>
      </c>
      <c r="M224" t="s">
        <v>5468</v>
      </c>
      <c r="N224" t="s">
        <v>5471</v>
      </c>
      <c r="O224" t="s">
        <v>5477</v>
      </c>
    </row>
    <row r="225" spans="1:15" x14ac:dyDescent="0.3">
      <c r="A225" t="s">
        <v>236</v>
      </c>
      <c r="B225" t="s">
        <v>1633</v>
      </c>
      <c r="C225" t="s">
        <v>2811</v>
      </c>
      <c r="D225" t="s">
        <v>3468</v>
      </c>
      <c r="E225" t="s">
        <v>4552</v>
      </c>
      <c r="F225" t="s">
        <v>4575</v>
      </c>
      <c r="G225" t="s">
        <v>4587</v>
      </c>
      <c r="H225" t="s">
        <v>4594</v>
      </c>
      <c r="I225">
        <v>10</v>
      </c>
      <c r="J225" t="s">
        <v>4759</v>
      </c>
      <c r="K225">
        <v>0.1</v>
      </c>
      <c r="L225">
        <v>10.1</v>
      </c>
      <c r="M225" t="s">
        <v>5463</v>
      </c>
      <c r="N225" t="s">
        <v>5472</v>
      </c>
      <c r="O225" t="s">
        <v>5477</v>
      </c>
    </row>
    <row r="226" spans="1:15" x14ac:dyDescent="0.3">
      <c r="A226" t="s">
        <v>237</v>
      </c>
      <c r="B226" t="s">
        <v>1634</v>
      </c>
      <c r="C226" t="s">
        <v>2721</v>
      </c>
      <c r="D226" t="s">
        <v>3469</v>
      </c>
      <c r="E226" t="s">
        <v>4557</v>
      </c>
      <c r="F226" t="s">
        <v>4572</v>
      </c>
      <c r="G226" t="s">
        <v>4584</v>
      </c>
      <c r="H226" t="s">
        <v>4607</v>
      </c>
      <c r="I226">
        <v>4</v>
      </c>
      <c r="J226" t="s">
        <v>4760</v>
      </c>
      <c r="K226">
        <v>0</v>
      </c>
      <c r="L226">
        <v>11.5</v>
      </c>
      <c r="M226" t="s">
        <v>5468</v>
      </c>
      <c r="O226" t="s">
        <v>5477</v>
      </c>
    </row>
    <row r="227" spans="1:15" x14ac:dyDescent="0.3">
      <c r="A227" t="s">
        <v>238</v>
      </c>
      <c r="B227" t="s">
        <v>1635</v>
      </c>
      <c r="C227" t="s">
        <v>2812</v>
      </c>
      <c r="D227" t="s">
        <v>3470</v>
      </c>
      <c r="E227" t="s">
        <v>4554</v>
      </c>
      <c r="F227" t="s">
        <v>4573</v>
      </c>
      <c r="G227" t="s">
        <v>4587</v>
      </c>
      <c r="H227" t="s">
        <v>4600</v>
      </c>
      <c r="I227">
        <v>4</v>
      </c>
      <c r="J227">
        <v>12.98</v>
      </c>
      <c r="K227">
        <v>0</v>
      </c>
      <c r="L227">
        <v>0</v>
      </c>
      <c r="M227" t="s">
        <v>5464</v>
      </c>
      <c r="N227" t="s">
        <v>5471</v>
      </c>
      <c r="O227" t="s">
        <v>5477</v>
      </c>
    </row>
    <row r="228" spans="1:15" x14ac:dyDescent="0.3">
      <c r="A228" t="s">
        <v>239</v>
      </c>
      <c r="B228" t="s">
        <v>1636</v>
      </c>
      <c r="C228" t="s">
        <v>2813</v>
      </c>
      <c r="D228" t="s">
        <v>3471</v>
      </c>
      <c r="E228" t="s">
        <v>4554</v>
      </c>
      <c r="F228" t="s">
        <v>4573</v>
      </c>
      <c r="G228" t="s">
        <v>4583</v>
      </c>
      <c r="H228" t="s">
        <v>4604</v>
      </c>
      <c r="I228">
        <v>4</v>
      </c>
      <c r="J228" t="s">
        <v>4761</v>
      </c>
      <c r="K228">
        <v>0.15</v>
      </c>
      <c r="L228">
        <v>4.05</v>
      </c>
      <c r="M228" t="s">
        <v>5466</v>
      </c>
      <c r="N228" t="s">
        <v>5472</v>
      </c>
      <c r="O228" t="s">
        <v>5476</v>
      </c>
    </row>
    <row r="229" spans="1:15" x14ac:dyDescent="0.3">
      <c r="A229" t="s">
        <v>240</v>
      </c>
      <c r="B229" t="s">
        <v>1504</v>
      </c>
      <c r="C229" t="s">
        <v>2758</v>
      </c>
      <c r="D229" t="s">
        <v>3472</v>
      </c>
      <c r="E229" t="s">
        <v>4553</v>
      </c>
      <c r="F229" t="s">
        <v>4573</v>
      </c>
      <c r="G229" t="s">
        <v>4586</v>
      </c>
      <c r="H229" t="s">
        <v>4599</v>
      </c>
      <c r="I229">
        <v>4</v>
      </c>
      <c r="J229" t="s">
        <v>4762</v>
      </c>
      <c r="K229" t="s">
        <v>5460</v>
      </c>
      <c r="L229">
        <v>10.42</v>
      </c>
      <c r="M229" t="s">
        <v>5465</v>
      </c>
      <c r="N229" t="s">
        <v>5473</v>
      </c>
      <c r="O229" t="s">
        <v>5478</v>
      </c>
    </row>
    <row r="230" spans="1:15" x14ac:dyDescent="0.3">
      <c r="A230" t="s">
        <v>241</v>
      </c>
      <c r="B230" t="s">
        <v>1637</v>
      </c>
      <c r="C230" t="s">
        <v>2814</v>
      </c>
      <c r="D230" t="s">
        <v>3473</v>
      </c>
      <c r="E230" t="s">
        <v>4569</v>
      </c>
      <c r="F230" t="s">
        <v>4572</v>
      </c>
      <c r="G230" t="s">
        <v>4583</v>
      </c>
      <c r="H230" t="s">
        <v>4604</v>
      </c>
      <c r="I230">
        <v>10</v>
      </c>
      <c r="J230" t="s">
        <v>4763</v>
      </c>
      <c r="L230">
        <v>0</v>
      </c>
      <c r="M230" t="s">
        <v>5466</v>
      </c>
      <c r="N230" t="s">
        <v>5471</v>
      </c>
      <c r="O230" t="s">
        <v>5479</v>
      </c>
    </row>
    <row r="231" spans="1:15" x14ac:dyDescent="0.3">
      <c r="A231" t="s">
        <v>242</v>
      </c>
      <c r="B231" t="s">
        <v>1638</v>
      </c>
      <c r="C231" t="s">
        <v>2815</v>
      </c>
      <c r="D231" t="s">
        <v>3474</v>
      </c>
      <c r="E231" t="s">
        <v>4570</v>
      </c>
      <c r="F231" t="s">
        <v>4573</v>
      </c>
      <c r="G231" t="s">
        <v>4583</v>
      </c>
      <c r="H231" t="s">
        <v>4604</v>
      </c>
      <c r="I231">
        <v>2</v>
      </c>
      <c r="J231">
        <v>22.62</v>
      </c>
      <c r="K231">
        <v>0.1</v>
      </c>
      <c r="L231">
        <v>4.08</v>
      </c>
      <c r="M231" t="s">
        <v>5463</v>
      </c>
      <c r="N231" t="s">
        <v>5472</v>
      </c>
      <c r="O231" t="s">
        <v>5476</v>
      </c>
    </row>
    <row r="232" spans="1:15" x14ac:dyDescent="0.3">
      <c r="A232" t="s">
        <v>243</v>
      </c>
      <c r="B232" t="s">
        <v>1639</v>
      </c>
      <c r="C232" t="s">
        <v>2816</v>
      </c>
      <c r="D232" t="s">
        <v>3475</v>
      </c>
      <c r="E232" t="s">
        <v>4561</v>
      </c>
      <c r="F232" t="s">
        <v>4572</v>
      </c>
      <c r="G232" t="s">
        <v>4583</v>
      </c>
      <c r="H232" t="s">
        <v>4605</v>
      </c>
      <c r="I232">
        <v>1</v>
      </c>
      <c r="J232" t="s">
        <v>4764</v>
      </c>
      <c r="K232">
        <v>0</v>
      </c>
      <c r="L232">
        <v>8.41</v>
      </c>
      <c r="M232" t="s">
        <v>5463</v>
      </c>
      <c r="N232" t="s">
        <v>5471</v>
      </c>
      <c r="O232" t="s">
        <v>5479</v>
      </c>
    </row>
    <row r="233" spans="1:15" x14ac:dyDescent="0.3">
      <c r="A233" t="s">
        <v>244</v>
      </c>
      <c r="B233" t="s">
        <v>1640</v>
      </c>
      <c r="C233" t="s">
        <v>2817</v>
      </c>
      <c r="D233" t="s">
        <v>3476</v>
      </c>
      <c r="E233" t="s">
        <v>4568</v>
      </c>
      <c r="F233" t="s">
        <v>4573</v>
      </c>
      <c r="G233" t="s">
        <v>4584</v>
      </c>
      <c r="H233" t="s">
        <v>4595</v>
      </c>
      <c r="I233">
        <v>1</v>
      </c>
      <c r="J233" t="s">
        <v>4765</v>
      </c>
      <c r="K233">
        <v>0.05</v>
      </c>
      <c r="L233">
        <v>4.32</v>
      </c>
      <c r="M233" t="s">
        <v>5462</v>
      </c>
      <c r="N233" t="s">
        <v>5473</v>
      </c>
      <c r="O233" t="s">
        <v>5479</v>
      </c>
    </row>
    <row r="234" spans="1:15" x14ac:dyDescent="0.3">
      <c r="A234" t="s">
        <v>245</v>
      </c>
      <c r="B234" t="s">
        <v>1641</v>
      </c>
      <c r="C234" t="s">
        <v>2818</v>
      </c>
      <c r="D234" t="s">
        <v>3477</v>
      </c>
      <c r="E234" t="s">
        <v>4560</v>
      </c>
      <c r="F234" t="s">
        <v>4573</v>
      </c>
      <c r="G234" t="s">
        <v>4587</v>
      </c>
      <c r="H234" t="s">
        <v>4606</v>
      </c>
      <c r="I234">
        <v>1</v>
      </c>
      <c r="J234" t="s">
        <v>4766</v>
      </c>
      <c r="K234" t="s">
        <v>5460</v>
      </c>
      <c r="L234">
        <v>13.26</v>
      </c>
      <c r="M234" t="s">
        <v>5465</v>
      </c>
      <c r="N234" t="s">
        <v>5469</v>
      </c>
      <c r="O234" t="s">
        <v>5479</v>
      </c>
    </row>
    <row r="235" spans="1:15" x14ac:dyDescent="0.3">
      <c r="A235" t="s">
        <v>246</v>
      </c>
      <c r="B235" t="s">
        <v>1642</v>
      </c>
      <c r="C235" t="s">
        <v>2819</v>
      </c>
      <c r="D235" t="s">
        <v>3478</v>
      </c>
      <c r="E235" t="s">
        <v>4548</v>
      </c>
      <c r="F235" t="s">
        <v>4573</v>
      </c>
      <c r="G235" t="s">
        <v>4585</v>
      </c>
      <c r="H235" t="s">
        <v>4592</v>
      </c>
      <c r="I235">
        <v>-1</v>
      </c>
      <c r="J235" t="s">
        <v>4767</v>
      </c>
      <c r="L235">
        <v>9.2799999999999994</v>
      </c>
      <c r="M235" t="s">
        <v>5464</v>
      </c>
      <c r="O235" t="s">
        <v>5477</v>
      </c>
    </row>
    <row r="236" spans="1:15" x14ac:dyDescent="0.3">
      <c r="A236" t="s">
        <v>247</v>
      </c>
      <c r="B236" t="s">
        <v>1643</v>
      </c>
      <c r="C236" t="s">
        <v>2820</v>
      </c>
      <c r="D236" t="s">
        <v>3479</v>
      </c>
      <c r="E236" t="s">
        <v>4561</v>
      </c>
      <c r="F236" t="s">
        <v>4572</v>
      </c>
      <c r="G236" t="s">
        <v>4584</v>
      </c>
      <c r="H236" t="s">
        <v>4595</v>
      </c>
      <c r="I236">
        <v>1</v>
      </c>
      <c r="J236">
        <v>40.369999999999997</v>
      </c>
      <c r="K236">
        <v>0</v>
      </c>
      <c r="L236">
        <v>8.58</v>
      </c>
      <c r="M236" t="s">
        <v>5462</v>
      </c>
      <c r="N236" t="s">
        <v>5471</v>
      </c>
      <c r="O236" t="s">
        <v>5477</v>
      </c>
    </row>
    <row r="237" spans="1:15" x14ac:dyDescent="0.3">
      <c r="A237" t="s">
        <v>248</v>
      </c>
      <c r="B237" t="s">
        <v>1644</v>
      </c>
      <c r="C237" t="s">
        <v>2821</v>
      </c>
      <c r="D237" t="s">
        <v>3480</v>
      </c>
      <c r="E237" t="s">
        <v>4567</v>
      </c>
      <c r="F237" t="s">
        <v>4573</v>
      </c>
      <c r="G237" t="s">
        <v>4585</v>
      </c>
      <c r="H237" t="s">
        <v>4590</v>
      </c>
      <c r="I237">
        <v>-1</v>
      </c>
      <c r="J237" t="s">
        <v>4695</v>
      </c>
      <c r="K237" t="s">
        <v>5461</v>
      </c>
      <c r="L237">
        <v>11.88</v>
      </c>
      <c r="M237" t="s">
        <v>5468</v>
      </c>
      <c r="N237" t="s">
        <v>5470</v>
      </c>
      <c r="O237" t="s">
        <v>5477</v>
      </c>
    </row>
    <row r="238" spans="1:15" x14ac:dyDescent="0.3">
      <c r="A238" t="s">
        <v>249</v>
      </c>
      <c r="B238" t="s">
        <v>1645</v>
      </c>
      <c r="C238" t="s">
        <v>2822</v>
      </c>
      <c r="D238" t="s">
        <v>3481</v>
      </c>
      <c r="E238" t="s">
        <v>4561</v>
      </c>
      <c r="F238" t="s">
        <v>4581</v>
      </c>
      <c r="G238" t="s">
        <v>4585</v>
      </c>
      <c r="H238" t="s">
        <v>4602</v>
      </c>
      <c r="I238">
        <v>1</v>
      </c>
      <c r="J238" t="s">
        <v>4768</v>
      </c>
      <c r="K238">
        <v>0.05</v>
      </c>
      <c r="L238">
        <v>0</v>
      </c>
      <c r="M238" t="s">
        <v>5462</v>
      </c>
      <c r="O238" t="s">
        <v>5480</v>
      </c>
    </row>
    <row r="239" spans="1:15" x14ac:dyDescent="0.3">
      <c r="A239" t="s">
        <v>250</v>
      </c>
      <c r="B239" t="s">
        <v>1627</v>
      </c>
      <c r="C239" t="s">
        <v>2639</v>
      </c>
      <c r="D239" t="s">
        <v>3482</v>
      </c>
      <c r="E239" t="s">
        <v>4568</v>
      </c>
      <c r="F239" t="s">
        <v>4577</v>
      </c>
      <c r="G239" t="s">
        <v>4586</v>
      </c>
      <c r="H239" t="s">
        <v>4609</v>
      </c>
      <c r="I239">
        <v>1</v>
      </c>
      <c r="J239" t="s">
        <v>4769</v>
      </c>
      <c r="K239" t="s">
        <v>5461</v>
      </c>
      <c r="L239">
        <v>6.08</v>
      </c>
      <c r="M239" t="s">
        <v>5465</v>
      </c>
      <c r="N239" t="s">
        <v>5474</v>
      </c>
      <c r="O239" t="s">
        <v>5478</v>
      </c>
    </row>
    <row r="240" spans="1:15" x14ac:dyDescent="0.3">
      <c r="A240" t="s">
        <v>251</v>
      </c>
      <c r="B240" t="s">
        <v>1646</v>
      </c>
      <c r="C240" t="s">
        <v>2823</v>
      </c>
      <c r="D240" t="s">
        <v>3483</v>
      </c>
      <c r="E240" t="s">
        <v>4552</v>
      </c>
      <c r="F240" t="s">
        <v>4575</v>
      </c>
      <c r="H240" t="s">
        <v>4592</v>
      </c>
      <c r="I240">
        <v>1</v>
      </c>
      <c r="J240">
        <v>6.68</v>
      </c>
      <c r="K240">
        <v>0</v>
      </c>
      <c r="L240">
        <v>9.9700000000000006</v>
      </c>
      <c r="M240" t="s">
        <v>5465</v>
      </c>
      <c r="N240" t="s">
        <v>5472</v>
      </c>
      <c r="O240" t="s">
        <v>5480</v>
      </c>
    </row>
    <row r="241" spans="1:15" x14ac:dyDescent="0.3">
      <c r="A241" t="s">
        <v>252</v>
      </c>
      <c r="B241" t="s">
        <v>1647</v>
      </c>
      <c r="C241" t="s">
        <v>2824</v>
      </c>
      <c r="D241" t="s">
        <v>3484</v>
      </c>
      <c r="E241" t="s">
        <v>4565</v>
      </c>
      <c r="F241" t="s">
        <v>4576</v>
      </c>
      <c r="H241" t="s">
        <v>4603</v>
      </c>
      <c r="I241">
        <v>4</v>
      </c>
      <c r="J241" t="s">
        <v>4770</v>
      </c>
      <c r="K241">
        <v>0.1</v>
      </c>
      <c r="L241">
        <v>3.36</v>
      </c>
      <c r="M241" t="s">
        <v>5465</v>
      </c>
      <c r="N241" t="s">
        <v>5474</v>
      </c>
      <c r="O241" t="s">
        <v>5477</v>
      </c>
    </row>
    <row r="242" spans="1:15" x14ac:dyDescent="0.3">
      <c r="A242" t="s">
        <v>253</v>
      </c>
      <c r="B242" t="s">
        <v>1648</v>
      </c>
      <c r="C242" t="s">
        <v>2825</v>
      </c>
      <c r="D242" t="s">
        <v>3485</v>
      </c>
      <c r="E242" t="s">
        <v>4567</v>
      </c>
      <c r="F242" t="s">
        <v>4582</v>
      </c>
      <c r="G242" t="s">
        <v>4584</v>
      </c>
      <c r="H242" t="s">
        <v>4603</v>
      </c>
      <c r="I242">
        <v>4</v>
      </c>
      <c r="J242" t="s">
        <v>4771</v>
      </c>
      <c r="K242">
        <v>0.15</v>
      </c>
      <c r="L242">
        <v>13.14</v>
      </c>
      <c r="M242" t="s">
        <v>5464</v>
      </c>
      <c r="N242" t="s">
        <v>5472</v>
      </c>
      <c r="O242" t="s">
        <v>5475</v>
      </c>
    </row>
    <row r="243" spans="1:15" x14ac:dyDescent="0.3">
      <c r="A243" t="s">
        <v>254</v>
      </c>
      <c r="B243" t="s">
        <v>1649</v>
      </c>
      <c r="C243" t="s">
        <v>2826</v>
      </c>
      <c r="D243" t="s">
        <v>3486</v>
      </c>
      <c r="E243" t="s">
        <v>4553</v>
      </c>
      <c r="F243" t="s">
        <v>4573</v>
      </c>
      <c r="G243" t="s">
        <v>4585</v>
      </c>
      <c r="H243" t="s">
        <v>4592</v>
      </c>
      <c r="I243">
        <v>1</v>
      </c>
      <c r="J243" t="s">
        <v>4772</v>
      </c>
      <c r="K243">
        <v>0.15</v>
      </c>
      <c r="L243">
        <v>0.02</v>
      </c>
      <c r="M243" t="s">
        <v>5468</v>
      </c>
      <c r="N243" t="s">
        <v>5470</v>
      </c>
      <c r="O243" t="s">
        <v>5478</v>
      </c>
    </row>
    <row r="244" spans="1:15" x14ac:dyDescent="0.3">
      <c r="A244" t="s">
        <v>255</v>
      </c>
      <c r="B244" t="s">
        <v>1650</v>
      </c>
      <c r="C244" t="s">
        <v>2827</v>
      </c>
      <c r="D244" t="s">
        <v>3487</v>
      </c>
      <c r="E244" t="s">
        <v>4569</v>
      </c>
      <c r="F244" t="s">
        <v>4580</v>
      </c>
      <c r="G244" t="s">
        <v>4583</v>
      </c>
      <c r="H244" t="s">
        <v>4588</v>
      </c>
      <c r="I244">
        <v>2</v>
      </c>
      <c r="J244">
        <v>41.37</v>
      </c>
      <c r="K244" t="s">
        <v>5460</v>
      </c>
      <c r="L244">
        <v>0</v>
      </c>
      <c r="M244" t="s">
        <v>5464</v>
      </c>
      <c r="N244" t="s">
        <v>5470</v>
      </c>
      <c r="O244" t="s">
        <v>5478</v>
      </c>
    </row>
    <row r="245" spans="1:15" x14ac:dyDescent="0.3">
      <c r="A245" t="s">
        <v>256</v>
      </c>
      <c r="B245" t="s">
        <v>1651</v>
      </c>
      <c r="C245" t="s">
        <v>2828</v>
      </c>
      <c r="D245" t="s">
        <v>3488</v>
      </c>
      <c r="E245" t="s">
        <v>4549</v>
      </c>
      <c r="F245" t="s">
        <v>4574</v>
      </c>
      <c r="G245" t="s">
        <v>4586</v>
      </c>
      <c r="H245" t="s">
        <v>4597</v>
      </c>
      <c r="I245">
        <v>3</v>
      </c>
      <c r="J245" t="s">
        <v>4773</v>
      </c>
      <c r="L245">
        <v>0.11</v>
      </c>
      <c r="M245" t="s">
        <v>5466</v>
      </c>
      <c r="N245" t="s">
        <v>5474</v>
      </c>
      <c r="O245" t="s">
        <v>5477</v>
      </c>
    </row>
    <row r="246" spans="1:15" x14ac:dyDescent="0.3">
      <c r="A246" t="s">
        <v>257</v>
      </c>
      <c r="B246" t="s">
        <v>1652</v>
      </c>
      <c r="C246" t="s">
        <v>2829</v>
      </c>
      <c r="D246" t="s">
        <v>3489</v>
      </c>
      <c r="E246" t="s">
        <v>4549</v>
      </c>
      <c r="F246" t="s">
        <v>4573</v>
      </c>
      <c r="G246" t="s">
        <v>4584</v>
      </c>
      <c r="H246" t="s">
        <v>4595</v>
      </c>
      <c r="I246">
        <v>4</v>
      </c>
      <c r="J246">
        <v>42.43</v>
      </c>
      <c r="K246">
        <v>0.15</v>
      </c>
      <c r="L246">
        <v>8.7100000000000009</v>
      </c>
      <c r="M246" t="s">
        <v>5462</v>
      </c>
      <c r="N246" t="s">
        <v>5473</v>
      </c>
      <c r="O246" t="s">
        <v>5477</v>
      </c>
    </row>
    <row r="247" spans="1:15" x14ac:dyDescent="0.3">
      <c r="A247" t="s">
        <v>258</v>
      </c>
      <c r="B247" t="s">
        <v>1653</v>
      </c>
      <c r="C247" t="s">
        <v>2830</v>
      </c>
      <c r="D247" t="s">
        <v>3490</v>
      </c>
      <c r="E247" t="s">
        <v>4564</v>
      </c>
      <c r="F247" t="s">
        <v>4573</v>
      </c>
      <c r="G247" t="s">
        <v>4584</v>
      </c>
      <c r="H247" t="s">
        <v>4595</v>
      </c>
      <c r="I247">
        <v>1</v>
      </c>
      <c r="J247">
        <v>40.1</v>
      </c>
      <c r="L247">
        <v>0.18</v>
      </c>
      <c r="M247" t="s">
        <v>5463</v>
      </c>
      <c r="N247" t="s">
        <v>5472</v>
      </c>
      <c r="O247" t="s">
        <v>5478</v>
      </c>
    </row>
    <row r="248" spans="1:15" x14ac:dyDescent="0.3">
      <c r="A248" t="s">
        <v>259</v>
      </c>
      <c r="B248" t="s">
        <v>1654</v>
      </c>
      <c r="C248" t="s">
        <v>2831</v>
      </c>
      <c r="D248" t="s">
        <v>3491</v>
      </c>
      <c r="E248" t="s">
        <v>4564</v>
      </c>
      <c r="F248" t="s">
        <v>4573</v>
      </c>
      <c r="G248" t="s">
        <v>4583</v>
      </c>
      <c r="H248" t="s">
        <v>4610</v>
      </c>
      <c r="I248">
        <v>3</v>
      </c>
      <c r="J248" t="s">
        <v>4774</v>
      </c>
      <c r="K248">
        <v>0.1</v>
      </c>
      <c r="L248">
        <v>7.48</v>
      </c>
      <c r="M248" t="s">
        <v>5463</v>
      </c>
      <c r="N248" t="s">
        <v>5473</v>
      </c>
      <c r="O248" t="s">
        <v>5478</v>
      </c>
    </row>
    <row r="249" spans="1:15" x14ac:dyDescent="0.3">
      <c r="A249" t="s">
        <v>260</v>
      </c>
      <c r="B249" t="s">
        <v>1655</v>
      </c>
      <c r="C249" t="s">
        <v>2832</v>
      </c>
      <c r="E249" t="s">
        <v>4555</v>
      </c>
      <c r="F249" t="s">
        <v>4578</v>
      </c>
      <c r="G249" t="s">
        <v>4586</v>
      </c>
      <c r="H249" t="s">
        <v>4593</v>
      </c>
      <c r="I249">
        <v>10</v>
      </c>
      <c r="J249">
        <v>106.6</v>
      </c>
      <c r="K249">
        <v>0.15</v>
      </c>
      <c r="L249">
        <v>5.41</v>
      </c>
      <c r="M249" t="s">
        <v>5462</v>
      </c>
      <c r="O249" t="s">
        <v>5477</v>
      </c>
    </row>
    <row r="250" spans="1:15" x14ac:dyDescent="0.3">
      <c r="A250" t="s">
        <v>261</v>
      </c>
      <c r="B250" t="s">
        <v>1656</v>
      </c>
      <c r="C250" t="s">
        <v>2833</v>
      </c>
      <c r="D250" t="s">
        <v>3492</v>
      </c>
      <c r="E250" t="s">
        <v>4554</v>
      </c>
      <c r="F250" t="s">
        <v>4573</v>
      </c>
      <c r="G250" t="s">
        <v>4585</v>
      </c>
      <c r="H250" t="s">
        <v>4590</v>
      </c>
      <c r="I250">
        <v>10</v>
      </c>
      <c r="J250" t="s">
        <v>4775</v>
      </c>
      <c r="K250">
        <v>0</v>
      </c>
      <c r="L250">
        <v>8.11</v>
      </c>
      <c r="M250" t="s">
        <v>5463</v>
      </c>
      <c r="N250" t="s">
        <v>5474</v>
      </c>
      <c r="O250" t="s">
        <v>5477</v>
      </c>
    </row>
    <row r="251" spans="1:15" x14ac:dyDescent="0.3">
      <c r="A251" t="s">
        <v>262</v>
      </c>
      <c r="B251" t="s">
        <v>1657</v>
      </c>
      <c r="C251" t="s">
        <v>2834</v>
      </c>
      <c r="D251" t="s">
        <v>3493</v>
      </c>
      <c r="E251" t="s">
        <v>4559</v>
      </c>
      <c r="F251" t="s">
        <v>4582</v>
      </c>
      <c r="G251" t="s">
        <v>4584</v>
      </c>
      <c r="H251" t="s">
        <v>4595</v>
      </c>
      <c r="I251">
        <v>5</v>
      </c>
      <c r="J251" t="s">
        <v>4776</v>
      </c>
      <c r="K251">
        <v>0.05</v>
      </c>
      <c r="L251">
        <v>14.82</v>
      </c>
      <c r="M251" t="s">
        <v>5468</v>
      </c>
      <c r="N251" t="s">
        <v>5469</v>
      </c>
      <c r="O251" t="s">
        <v>5475</v>
      </c>
    </row>
    <row r="252" spans="1:15" x14ac:dyDescent="0.3">
      <c r="A252" t="s">
        <v>263</v>
      </c>
      <c r="B252" t="s">
        <v>1658</v>
      </c>
      <c r="C252" t="s">
        <v>2687</v>
      </c>
      <c r="D252" t="s">
        <v>3494</v>
      </c>
      <c r="E252" t="s">
        <v>4552</v>
      </c>
      <c r="F252" t="s">
        <v>4579</v>
      </c>
      <c r="G252" t="s">
        <v>4587</v>
      </c>
      <c r="H252" t="s">
        <v>4594</v>
      </c>
      <c r="I252">
        <v>3</v>
      </c>
      <c r="J252" t="s">
        <v>4777</v>
      </c>
      <c r="K252">
        <v>0</v>
      </c>
      <c r="L252">
        <v>14.76</v>
      </c>
      <c r="M252" t="s">
        <v>5468</v>
      </c>
      <c r="N252" t="s">
        <v>5470</v>
      </c>
      <c r="O252" t="s">
        <v>5478</v>
      </c>
    </row>
    <row r="253" spans="1:15" x14ac:dyDescent="0.3">
      <c r="A253" t="s">
        <v>264</v>
      </c>
      <c r="B253" t="s">
        <v>1659</v>
      </c>
      <c r="C253" t="s">
        <v>2644</v>
      </c>
      <c r="D253" t="s">
        <v>3495</v>
      </c>
      <c r="E253" t="s">
        <v>4554</v>
      </c>
      <c r="F253" t="s">
        <v>4574</v>
      </c>
      <c r="G253" t="s">
        <v>4583</v>
      </c>
      <c r="H253" t="s">
        <v>4605</v>
      </c>
      <c r="I253">
        <v>5</v>
      </c>
      <c r="J253">
        <v>43.68</v>
      </c>
      <c r="K253">
        <v>0.05</v>
      </c>
      <c r="L253">
        <v>1.26</v>
      </c>
      <c r="N253" t="s">
        <v>5470</v>
      </c>
      <c r="O253" t="s">
        <v>5475</v>
      </c>
    </row>
    <row r="254" spans="1:15" x14ac:dyDescent="0.3">
      <c r="A254" t="s">
        <v>265</v>
      </c>
      <c r="B254" t="s">
        <v>1660</v>
      </c>
      <c r="C254" t="s">
        <v>2835</v>
      </c>
      <c r="D254" t="s">
        <v>3496</v>
      </c>
      <c r="E254" t="s">
        <v>4560</v>
      </c>
      <c r="F254" t="s">
        <v>4573</v>
      </c>
      <c r="G254" t="s">
        <v>4584</v>
      </c>
      <c r="H254" t="s">
        <v>4595</v>
      </c>
      <c r="I254">
        <v>5</v>
      </c>
      <c r="J254" t="s">
        <v>4778</v>
      </c>
      <c r="L254">
        <v>8.9600000000000009</v>
      </c>
      <c r="M254" t="s">
        <v>5466</v>
      </c>
      <c r="N254" t="s">
        <v>5472</v>
      </c>
      <c r="O254" t="s">
        <v>5477</v>
      </c>
    </row>
    <row r="255" spans="1:15" x14ac:dyDescent="0.3">
      <c r="A255" t="s">
        <v>266</v>
      </c>
      <c r="B255" t="s">
        <v>1661</v>
      </c>
      <c r="C255" t="s">
        <v>2836</v>
      </c>
      <c r="D255" t="s">
        <v>3497</v>
      </c>
      <c r="E255" t="s">
        <v>4563</v>
      </c>
      <c r="F255" t="s">
        <v>4578</v>
      </c>
      <c r="G255" t="s">
        <v>4583</v>
      </c>
      <c r="H255" t="s">
        <v>4605</v>
      </c>
      <c r="I255">
        <v>2</v>
      </c>
      <c r="J255">
        <v>44.63</v>
      </c>
      <c r="K255" t="s">
        <v>5461</v>
      </c>
      <c r="L255">
        <v>3.65</v>
      </c>
      <c r="M255" t="s">
        <v>5464</v>
      </c>
      <c r="N255" t="s">
        <v>5469</v>
      </c>
      <c r="O255" t="s">
        <v>5477</v>
      </c>
    </row>
    <row r="256" spans="1:15" x14ac:dyDescent="0.3">
      <c r="A256" t="s">
        <v>267</v>
      </c>
      <c r="B256" t="s">
        <v>1662</v>
      </c>
      <c r="C256" t="s">
        <v>2837</v>
      </c>
      <c r="D256" t="s">
        <v>3498</v>
      </c>
      <c r="E256" t="s">
        <v>4551</v>
      </c>
      <c r="F256" t="s">
        <v>4579</v>
      </c>
      <c r="G256" t="s">
        <v>4584</v>
      </c>
      <c r="H256" t="s">
        <v>4607</v>
      </c>
      <c r="I256">
        <v>2</v>
      </c>
      <c r="J256" t="s">
        <v>4779</v>
      </c>
      <c r="K256" t="s">
        <v>5461</v>
      </c>
      <c r="L256">
        <v>1.61</v>
      </c>
      <c r="M256" t="s">
        <v>5464</v>
      </c>
      <c r="N256" t="s">
        <v>5471</v>
      </c>
      <c r="O256" t="s">
        <v>5480</v>
      </c>
    </row>
    <row r="257" spans="1:15" x14ac:dyDescent="0.3">
      <c r="A257" t="s">
        <v>268</v>
      </c>
      <c r="B257" t="s">
        <v>1663</v>
      </c>
      <c r="C257" t="s">
        <v>2642</v>
      </c>
      <c r="D257" t="s">
        <v>3499</v>
      </c>
      <c r="E257" t="s">
        <v>4548</v>
      </c>
      <c r="F257" t="s">
        <v>4573</v>
      </c>
      <c r="G257" t="s">
        <v>4586</v>
      </c>
      <c r="H257" t="s">
        <v>4593</v>
      </c>
      <c r="I257">
        <v>1</v>
      </c>
      <c r="J257" t="s">
        <v>4780</v>
      </c>
      <c r="K257">
        <v>0.05</v>
      </c>
      <c r="L257">
        <v>13.76</v>
      </c>
      <c r="M257" t="s">
        <v>5468</v>
      </c>
      <c r="O257" t="s">
        <v>5476</v>
      </c>
    </row>
    <row r="258" spans="1:15" x14ac:dyDescent="0.3">
      <c r="A258" t="s">
        <v>269</v>
      </c>
      <c r="B258" t="s">
        <v>1664</v>
      </c>
      <c r="C258" t="s">
        <v>2727</v>
      </c>
      <c r="D258" t="s">
        <v>3500</v>
      </c>
      <c r="E258" t="s">
        <v>4561</v>
      </c>
      <c r="F258" t="s">
        <v>4581</v>
      </c>
      <c r="G258" t="s">
        <v>4586</v>
      </c>
      <c r="H258" t="s">
        <v>4599</v>
      </c>
      <c r="I258">
        <v>1</v>
      </c>
      <c r="J258">
        <v>237.08</v>
      </c>
      <c r="K258">
        <v>0.05</v>
      </c>
      <c r="L258">
        <v>10.52</v>
      </c>
      <c r="M258" t="s">
        <v>5464</v>
      </c>
      <c r="N258" t="s">
        <v>5469</v>
      </c>
      <c r="O258" t="s">
        <v>5478</v>
      </c>
    </row>
    <row r="259" spans="1:15" x14ac:dyDescent="0.3">
      <c r="A259" t="s">
        <v>270</v>
      </c>
      <c r="B259" t="s">
        <v>1665</v>
      </c>
      <c r="C259" t="s">
        <v>2678</v>
      </c>
      <c r="D259" t="s">
        <v>3501</v>
      </c>
      <c r="E259" t="s">
        <v>4566</v>
      </c>
      <c r="F259" t="s">
        <v>4573</v>
      </c>
      <c r="G259" t="s">
        <v>4584</v>
      </c>
      <c r="H259" t="s">
        <v>4595</v>
      </c>
      <c r="I259">
        <v>3</v>
      </c>
      <c r="J259">
        <v>40.06</v>
      </c>
      <c r="K259">
        <v>0.05</v>
      </c>
      <c r="L259">
        <v>3.92</v>
      </c>
      <c r="M259" t="s">
        <v>5462</v>
      </c>
      <c r="N259" t="s">
        <v>5472</v>
      </c>
      <c r="O259" t="s">
        <v>5475</v>
      </c>
    </row>
    <row r="260" spans="1:15" x14ac:dyDescent="0.3">
      <c r="A260" t="s">
        <v>271</v>
      </c>
      <c r="B260" t="s">
        <v>1666</v>
      </c>
      <c r="C260" t="s">
        <v>2838</v>
      </c>
      <c r="D260" t="s">
        <v>3502</v>
      </c>
      <c r="E260" t="s">
        <v>4570</v>
      </c>
      <c r="F260" t="s">
        <v>4574</v>
      </c>
      <c r="G260" t="s">
        <v>4587</v>
      </c>
      <c r="H260" t="s">
        <v>4606</v>
      </c>
      <c r="I260">
        <v>4</v>
      </c>
      <c r="J260">
        <v>29.19</v>
      </c>
      <c r="K260" t="s">
        <v>5460</v>
      </c>
      <c r="L260">
        <v>7.37</v>
      </c>
      <c r="M260" t="s">
        <v>5465</v>
      </c>
      <c r="N260" t="s">
        <v>5472</v>
      </c>
      <c r="O260" t="s">
        <v>5477</v>
      </c>
    </row>
    <row r="261" spans="1:15" x14ac:dyDescent="0.3">
      <c r="A261" t="s">
        <v>272</v>
      </c>
      <c r="B261" t="s">
        <v>1667</v>
      </c>
      <c r="C261" t="s">
        <v>2839</v>
      </c>
      <c r="D261" t="s">
        <v>3503</v>
      </c>
      <c r="E261" t="s">
        <v>4554</v>
      </c>
      <c r="F261" t="s">
        <v>4574</v>
      </c>
      <c r="G261" t="s">
        <v>4586</v>
      </c>
      <c r="H261" t="s">
        <v>4597</v>
      </c>
      <c r="I261">
        <v>-1</v>
      </c>
      <c r="J261" t="s">
        <v>4781</v>
      </c>
      <c r="K261">
        <v>0</v>
      </c>
      <c r="L261">
        <v>0</v>
      </c>
      <c r="M261" t="s">
        <v>5467</v>
      </c>
      <c r="N261" t="s">
        <v>5471</v>
      </c>
      <c r="O261" t="s">
        <v>5480</v>
      </c>
    </row>
    <row r="263" spans="1:15" x14ac:dyDescent="0.3">
      <c r="A263" t="s">
        <v>273</v>
      </c>
      <c r="B263" t="s">
        <v>1668</v>
      </c>
      <c r="C263" t="s">
        <v>2640</v>
      </c>
      <c r="D263" t="s">
        <v>3504</v>
      </c>
      <c r="E263" t="s">
        <v>4547</v>
      </c>
      <c r="F263" t="s">
        <v>4581</v>
      </c>
      <c r="G263" t="s">
        <v>4585</v>
      </c>
      <c r="H263" t="s">
        <v>4602</v>
      </c>
      <c r="I263">
        <v>1</v>
      </c>
      <c r="J263" t="s">
        <v>4782</v>
      </c>
      <c r="K263" t="s">
        <v>5460</v>
      </c>
      <c r="L263">
        <v>0</v>
      </c>
      <c r="M263" t="s">
        <v>5467</v>
      </c>
      <c r="N263" t="s">
        <v>5471</v>
      </c>
      <c r="O263" t="s">
        <v>5477</v>
      </c>
    </row>
    <row r="264" spans="1:15" x14ac:dyDescent="0.3">
      <c r="A264" t="s">
        <v>274</v>
      </c>
      <c r="B264" t="s">
        <v>1669</v>
      </c>
      <c r="C264" t="s">
        <v>2840</v>
      </c>
      <c r="D264" t="s">
        <v>3505</v>
      </c>
      <c r="E264" t="s">
        <v>4551</v>
      </c>
      <c r="F264" t="s">
        <v>4575</v>
      </c>
      <c r="G264" t="s">
        <v>4583</v>
      </c>
      <c r="H264" t="s">
        <v>4604</v>
      </c>
      <c r="I264">
        <v>1</v>
      </c>
      <c r="J264" t="s">
        <v>4783</v>
      </c>
      <c r="L264">
        <v>0.18</v>
      </c>
      <c r="M264" t="s">
        <v>5463</v>
      </c>
      <c r="N264" t="s">
        <v>5473</v>
      </c>
      <c r="O264" t="s">
        <v>5477</v>
      </c>
    </row>
    <row r="265" spans="1:15" x14ac:dyDescent="0.3">
      <c r="A265" t="s">
        <v>275</v>
      </c>
      <c r="B265" t="s">
        <v>1670</v>
      </c>
      <c r="C265" t="s">
        <v>2841</v>
      </c>
      <c r="E265" t="s">
        <v>4550</v>
      </c>
      <c r="F265" t="s">
        <v>4573</v>
      </c>
      <c r="G265" t="s">
        <v>4583</v>
      </c>
      <c r="H265" t="s">
        <v>4604</v>
      </c>
      <c r="I265">
        <v>3</v>
      </c>
      <c r="J265" t="s">
        <v>4784</v>
      </c>
      <c r="K265">
        <v>0</v>
      </c>
      <c r="L265">
        <v>2.73</v>
      </c>
      <c r="M265" t="s">
        <v>5467</v>
      </c>
      <c r="O265" t="s">
        <v>5477</v>
      </c>
    </row>
    <row r="266" spans="1:15" x14ac:dyDescent="0.3">
      <c r="A266" t="s">
        <v>276</v>
      </c>
      <c r="B266" t="s">
        <v>1671</v>
      </c>
      <c r="C266" t="s">
        <v>2842</v>
      </c>
      <c r="D266" t="s">
        <v>3506</v>
      </c>
      <c r="E266" t="s">
        <v>4556</v>
      </c>
      <c r="F266" t="s">
        <v>4576</v>
      </c>
      <c r="G266" t="s">
        <v>4587</v>
      </c>
      <c r="H266" t="s">
        <v>4596</v>
      </c>
      <c r="I266">
        <v>10</v>
      </c>
      <c r="J266">
        <v>14.97</v>
      </c>
      <c r="K266">
        <v>0.05</v>
      </c>
      <c r="L266">
        <v>0.22</v>
      </c>
      <c r="M266" t="s">
        <v>5465</v>
      </c>
      <c r="O266" t="s">
        <v>5475</v>
      </c>
    </row>
    <row r="267" spans="1:15" x14ac:dyDescent="0.3">
      <c r="A267" t="s">
        <v>277</v>
      </c>
      <c r="B267" t="s">
        <v>1444</v>
      </c>
      <c r="C267" t="s">
        <v>2843</v>
      </c>
      <c r="D267" t="s">
        <v>3507</v>
      </c>
      <c r="E267" t="s">
        <v>4553</v>
      </c>
      <c r="F267" t="s">
        <v>4582</v>
      </c>
      <c r="G267" t="s">
        <v>4587</v>
      </c>
      <c r="H267" t="s">
        <v>4596</v>
      </c>
      <c r="I267">
        <v>1</v>
      </c>
      <c r="J267" t="s">
        <v>4785</v>
      </c>
      <c r="K267">
        <v>0</v>
      </c>
      <c r="L267">
        <v>0</v>
      </c>
      <c r="M267" t="s">
        <v>5465</v>
      </c>
      <c r="N267" t="s">
        <v>5470</v>
      </c>
      <c r="O267" t="s">
        <v>5477</v>
      </c>
    </row>
    <row r="268" spans="1:15" x14ac:dyDescent="0.3">
      <c r="A268" t="s">
        <v>278</v>
      </c>
      <c r="B268" t="s">
        <v>1672</v>
      </c>
      <c r="C268" t="s">
        <v>2724</v>
      </c>
      <c r="D268" t="s">
        <v>3508</v>
      </c>
      <c r="E268" t="s">
        <v>4568</v>
      </c>
      <c r="F268" t="s">
        <v>4582</v>
      </c>
      <c r="G268" t="s">
        <v>4584</v>
      </c>
      <c r="H268" t="s">
        <v>4608</v>
      </c>
      <c r="I268">
        <v>10</v>
      </c>
      <c r="J268" t="s">
        <v>4786</v>
      </c>
      <c r="L268">
        <v>0</v>
      </c>
      <c r="M268" t="s">
        <v>5467</v>
      </c>
      <c r="N268" t="s">
        <v>5470</v>
      </c>
      <c r="O268" t="s">
        <v>5477</v>
      </c>
    </row>
    <row r="269" spans="1:15" x14ac:dyDescent="0.3">
      <c r="A269" t="s">
        <v>279</v>
      </c>
      <c r="B269" t="s">
        <v>1673</v>
      </c>
      <c r="C269" t="s">
        <v>2844</v>
      </c>
      <c r="D269" t="s">
        <v>3509</v>
      </c>
      <c r="E269" t="s">
        <v>4551</v>
      </c>
      <c r="F269" t="s">
        <v>4579</v>
      </c>
      <c r="G269" t="s">
        <v>4587</v>
      </c>
      <c r="H269" t="s">
        <v>4596</v>
      </c>
      <c r="I269">
        <v>10</v>
      </c>
      <c r="J269">
        <v>15.13</v>
      </c>
      <c r="K269">
        <v>0.1</v>
      </c>
      <c r="L269">
        <v>6.6</v>
      </c>
      <c r="M269" t="s">
        <v>5463</v>
      </c>
      <c r="N269" t="s">
        <v>5469</v>
      </c>
      <c r="O269" t="s">
        <v>5480</v>
      </c>
    </row>
    <row r="270" spans="1:15" x14ac:dyDescent="0.3">
      <c r="A270" t="s">
        <v>280</v>
      </c>
      <c r="B270" t="s">
        <v>1674</v>
      </c>
      <c r="C270" t="s">
        <v>2845</v>
      </c>
      <c r="D270" t="s">
        <v>3510</v>
      </c>
      <c r="E270" t="s">
        <v>4548</v>
      </c>
      <c r="F270" t="s">
        <v>4573</v>
      </c>
      <c r="G270" t="s">
        <v>4587</v>
      </c>
      <c r="H270" t="s">
        <v>4606</v>
      </c>
      <c r="I270">
        <v>3</v>
      </c>
      <c r="J270">
        <v>29.83</v>
      </c>
      <c r="K270">
        <v>0</v>
      </c>
      <c r="L270">
        <v>12.79</v>
      </c>
      <c r="N270" t="s">
        <v>5474</v>
      </c>
      <c r="O270" t="s">
        <v>5479</v>
      </c>
    </row>
    <row r="271" spans="1:15" x14ac:dyDescent="0.3">
      <c r="A271" t="s">
        <v>281</v>
      </c>
      <c r="B271" t="s">
        <v>1675</v>
      </c>
      <c r="C271" t="s">
        <v>2846</v>
      </c>
      <c r="D271" t="s">
        <v>3511</v>
      </c>
      <c r="E271" t="s">
        <v>4558</v>
      </c>
      <c r="F271" t="s">
        <v>4580</v>
      </c>
      <c r="G271" t="s">
        <v>4583</v>
      </c>
      <c r="H271" t="s">
        <v>4610</v>
      </c>
      <c r="I271">
        <v>5</v>
      </c>
      <c r="J271" t="s">
        <v>4787</v>
      </c>
      <c r="K271">
        <v>0</v>
      </c>
      <c r="L271">
        <v>14.07</v>
      </c>
      <c r="M271" t="s">
        <v>5467</v>
      </c>
      <c r="N271" t="s">
        <v>5469</v>
      </c>
      <c r="O271" t="s">
        <v>5476</v>
      </c>
    </row>
    <row r="272" spans="1:15" x14ac:dyDescent="0.3">
      <c r="A272" t="s">
        <v>191</v>
      </c>
      <c r="B272" t="s">
        <v>1589</v>
      </c>
      <c r="C272" t="s">
        <v>2847</v>
      </c>
      <c r="D272" t="s">
        <v>3426</v>
      </c>
      <c r="E272" t="s">
        <v>4566</v>
      </c>
      <c r="F272" t="s">
        <v>4582</v>
      </c>
      <c r="G272" t="s">
        <v>4583</v>
      </c>
      <c r="H272" t="s">
        <v>4588</v>
      </c>
      <c r="I272">
        <v>-1</v>
      </c>
      <c r="J272" t="s">
        <v>4730</v>
      </c>
      <c r="K272">
        <v>0</v>
      </c>
      <c r="L272">
        <v>7.99</v>
      </c>
      <c r="N272" t="s">
        <v>5472</v>
      </c>
      <c r="O272" t="s">
        <v>5475</v>
      </c>
    </row>
    <row r="273" spans="1:15" x14ac:dyDescent="0.3">
      <c r="A273" t="s">
        <v>282</v>
      </c>
      <c r="B273" t="s">
        <v>1676</v>
      </c>
      <c r="C273" t="s">
        <v>2848</v>
      </c>
      <c r="D273" t="s">
        <v>3512</v>
      </c>
      <c r="E273" t="s">
        <v>4564</v>
      </c>
      <c r="F273" t="s">
        <v>4573</v>
      </c>
      <c r="G273" t="s">
        <v>4587</v>
      </c>
      <c r="H273" t="s">
        <v>4606</v>
      </c>
      <c r="I273">
        <v>1</v>
      </c>
      <c r="J273" t="s">
        <v>4788</v>
      </c>
      <c r="K273">
        <v>0</v>
      </c>
      <c r="L273">
        <v>0.17</v>
      </c>
      <c r="M273" t="s">
        <v>5462</v>
      </c>
      <c r="N273" t="s">
        <v>5474</v>
      </c>
      <c r="O273" t="s">
        <v>5478</v>
      </c>
    </row>
    <row r="274" spans="1:15" x14ac:dyDescent="0.3">
      <c r="A274" t="s">
        <v>283</v>
      </c>
      <c r="B274" t="s">
        <v>1677</v>
      </c>
      <c r="C274" t="s">
        <v>2849</v>
      </c>
      <c r="E274" t="s">
        <v>4548</v>
      </c>
      <c r="F274" t="s">
        <v>4578</v>
      </c>
      <c r="H274" t="s">
        <v>4600</v>
      </c>
      <c r="I274">
        <v>2</v>
      </c>
      <c r="J274" t="s">
        <v>4789</v>
      </c>
      <c r="K274">
        <v>0.15</v>
      </c>
      <c r="L274">
        <v>9.08</v>
      </c>
      <c r="M274" t="s">
        <v>5464</v>
      </c>
      <c r="O274" t="s">
        <v>5479</v>
      </c>
    </row>
    <row r="275" spans="1:15" x14ac:dyDescent="0.3">
      <c r="A275" t="s">
        <v>284</v>
      </c>
      <c r="B275" t="s">
        <v>1678</v>
      </c>
      <c r="C275" t="s">
        <v>2789</v>
      </c>
      <c r="D275" t="s">
        <v>3513</v>
      </c>
      <c r="E275" t="s">
        <v>4554</v>
      </c>
      <c r="F275" t="s">
        <v>4573</v>
      </c>
      <c r="G275" t="s">
        <v>4587</v>
      </c>
      <c r="H275" t="s">
        <v>4606</v>
      </c>
      <c r="I275">
        <v>1</v>
      </c>
      <c r="J275">
        <v>29.8</v>
      </c>
      <c r="K275">
        <v>0.05</v>
      </c>
      <c r="L275">
        <v>3.82</v>
      </c>
      <c r="M275" t="s">
        <v>5466</v>
      </c>
      <c r="N275" t="s">
        <v>5472</v>
      </c>
      <c r="O275" t="s">
        <v>5480</v>
      </c>
    </row>
    <row r="276" spans="1:15" x14ac:dyDescent="0.3">
      <c r="A276" t="s">
        <v>285</v>
      </c>
      <c r="B276" t="s">
        <v>1679</v>
      </c>
      <c r="C276" t="s">
        <v>2840</v>
      </c>
      <c r="E276" t="s">
        <v>4559</v>
      </c>
      <c r="F276" t="s">
        <v>4577</v>
      </c>
      <c r="G276" t="s">
        <v>4583</v>
      </c>
      <c r="H276" t="s">
        <v>4610</v>
      </c>
      <c r="I276">
        <v>2</v>
      </c>
      <c r="J276">
        <v>83.44</v>
      </c>
      <c r="K276">
        <v>0.15</v>
      </c>
      <c r="L276">
        <v>4.12</v>
      </c>
      <c r="M276" t="s">
        <v>5468</v>
      </c>
      <c r="N276" t="s">
        <v>5470</v>
      </c>
      <c r="O276" t="s">
        <v>5477</v>
      </c>
    </row>
    <row r="277" spans="1:15" x14ac:dyDescent="0.3">
      <c r="A277" t="s">
        <v>286</v>
      </c>
      <c r="B277" t="s">
        <v>1680</v>
      </c>
      <c r="C277" t="s">
        <v>2850</v>
      </c>
      <c r="D277" t="s">
        <v>3514</v>
      </c>
      <c r="E277" t="s">
        <v>4559</v>
      </c>
      <c r="F277" t="s">
        <v>4573</v>
      </c>
      <c r="G277" t="s">
        <v>4584</v>
      </c>
      <c r="H277" t="s">
        <v>4595</v>
      </c>
      <c r="I277">
        <v>1</v>
      </c>
      <c r="J277" t="s">
        <v>4790</v>
      </c>
      <c r="K277">
        <v>0</v>
      </c>
      <c r="L277">
        <v>10.57</v>
      </c>
      <c r="M277" t="s">
        <v>5468</v>
      </c>
      <c r="N277" t="s">
        <v>5471</v>
      </c>
      <c r="O277" t="s">
        <v>5477</v>
      </c>
    </row>
    <row r="278" spans="1:15" x14ac:dyDescent="0.3">
      <c r="A278" t="s">
        <v>287</v>
      </c>
      <c r="B278" t="s">
        <v>1629</v>
      </c>
      <c r="C278" t="s">
        <v>2851</v>
      </c>
      <c r="D278" t="s">
        <v>3515</v>
      </c>
      <c r="E278" t="s">
        <v>4571</v>
      </c>
      <c r="F278" t="s">
        <v>4573</v>
      </c>
      <c r="G278" t="s">
        <v>4586</v>
      </c>
      <c r="H278" t="s">
        <v>4609</v>
      </c>
      <c r="I278">
        <v>5</v>
      </c>
      <c r="J278" t="s">
        <v>4791</v>
      </c>
      <c r="K278">
        <v>0.15</v>
      </c>
      <c r="L278">
        <v>9.89</v>
      </c>
      <c r="M278" t="s">
        <v>5464</v>
      </c>
      <c r="N278" t="s">
        <v>5470</v>
      </c>
      <c r="O278" t="s">
        <v>5475</v>
      </c>
    </row>
    <row r="279" spans="1:15" x14ac:dyDescent="0.3">
      <c r="A279" t="s">
        <v>288</v>
      </c>
      <c r="B279" t="s">
        <v>1681</v>
      </c>
      <c r="C279" t="s">
        <v>2662</v>
      </c>
      <c r="D279" t="s">
        <v>3516</v>
      </c>
      <c r="E279" t="s">
        <v>4555</v>
      </c>
      <c r="F279" t="s">
        <v>4573</v>
      </c>
      <c r="G279" t="s">
        <v>4584</v>
      </c>
      <c r="H279" t="s">
        <v>4603</v>
      </c>
      <c r="I279">
        <v>3</v>
      </c>
      <c r="J279" t="s">
        <v>4792</v>
      </c>
      <c r="K279" t="s">
        <v>5460</v>
      </c>
      <c r="L279">
        <v>1.33</v>
      </c>
      <c r="M279" t="s">
        <v>5463</v>
      </c>
      <c r="N279" t="s">
        <v>5470</v>
      </c>
      <c r="O279" t="s">
        <v>5477</v>
      </c>
    </row>
    <row r="280" spans="1:15" x14ac:dyDescent="0.3">
      <c r="A280" t="s">
        <v>289</v>
      </c>
      <c r="B280" t="s">
        <v>1682</v>
      </c>
      <c r="C280" t="s">
        <v>2753</v>
      </c>
      <c r="D280" t="s">
        <v>3517</v>
      </c>
      <c r="E280" t="s">
        <v>4561</v>
      </c>
      <c r="F280" t="s">
        <v>4580</v>
      </c>
      <c r="G280" t="s">
        <v>4586</v>
      </c>
      <c r="H280" t="s">
        <v>4593</v>
      </c>
      <c r="I280">
        <v>4</v>
      </c>
      <c r="J280" t="s">
        <v>4793</v>
      </c>
      <c r="L280">
        <v>8.32</v>
      </c>
      <c r="M280" t="s">
        <v>5466</v>
      </c>
      <c r="N280" t="s">
        <v>5471</v>
      </c>
      <c r="O280" t="s">
        <v>5480</v>
      </c>
    </row>
    <row r="281" spans="1:15" x14ac:dyDescent="0.3">
      <c r="A281" t="s">
        <v>290</v>
      </c>
      <c r="B281" t="s">
        <v>1683</v>
      </c>
      <c r="C281" t="s">
        <v>2852</v>
      </c>
      <c r="D281" t="s">
        <v>3518</v>
      </c>
      <c r="E281" t="s">
        <v>4549</v>
      </c>
      <c r="F281" t="s">
        <v>4574</v>
      </c>
      <c r="G281" t="s">
        <v>4587</v>
      </c>
      <c r="H281" t="s">
        <v>4594</v>
      </c>
      <c r="I281">
        <v>-1</v>
      </c>
      <c r="J281">
        <v>60.62</v>
      </c>
      <c r="L281">
        <v>1.01</v>
      </c>
      <c r="M281" t="s">
        <v>5467</v>
      </c>
      <c r="O281" t="s">
        <v>5477</v>
      </c>
    </row>
    <row r="282" spans="1:15" x14ac:dyDescent="0.3">
      <c r="A282" t="s">
        <v>291</v>
      </c>
      <c r="B282" t="s">
        <v>1684</v>
      </c>
      <c r="C282" t="s">
        <v>2853</v>
      </c>
      <c r="D282" t="s">
        <v>3519</v>
      </c>
      <c r="E282" t="s">
        <v>4548</v>
      </c>
      <c r="F282" t="s">
        <v>4578</v>
      </c>
      <c r="G282" t="s">
        <v>4586</v>
      </c>
      <c r="H282" t="s">
        <v>4599</v>
      </c>
      <c r="I282">
        <v>2</v>
      </c>
      <c r="J282">
        <v>246.39</v>
      </c>
      <c r="K282" t="s">
        <v>5461</v>
      </c>
      <c r="L282">
        <v>13.35</v>
      </c>
      <c r="M282" t="s">
        <v>5464</v>
      </c>
      <c r="N282" t="s">
        <v>5469</v>
      </c>
      <c r="O282" t="s">
        <v>5478</v>
      </c>
    </row>
    <row r="283" spans="1:15" x14ac:dyDescent="0.3">
      <c r="A283" t="s">
        <v>292</v>
      </c>
      <c r="B283" t="s">
        <v>1685</v>
      </c>
      <c r="C283" t="s">
        <v>2854</v>
      </c>
      <c r="D283" t="s">
        <v>3520</v>
      </c>
      <c r="E283" t="s">
        <v>4565</v>
      </c>
      <c r="F283" t="s">
        <v>4575</v>
      </c>
      <c r="G283" t="s">
        <v>4584</v>
      </c>
      <c r="H283" t="s">
        <v>4589</v>
      </c>
      <c r="I283">
        <v>-1</v>
      </c>
      <c r="J283" t="s">
        <v>4794</v>
      </c>
      <c r="K283">
        <v>0.05</v>
      </c>
      <c r="L283">
        <v>11.6</v>
      </c>
      <c r="M283" t="s">
        <v>5464</v>
      </c>
      <c r="N283" t="s">
        <v>5469</v>
      </c>
      <c r="O283" t="s">
        <v>5477</v>
      </c>
    </row>
    <row r="284" spans="1:15" x14ac:dyDescent="0.3">
      <c r="A284" t="s">
        <v>293</v>
      </c>
      <c r="B284" t="s">
        <v>1686</v>
      </c>
      <c r="C284" t="s">
        <v>2855</v>
      </c>
      <c r="D284" t="s">
        <v>3521</v>
      </c>
      <c r="E284" t="s">
        <v>4570</v>
      </c>
      <c r="F284" t="s">
        <v>4573</v>
      </c>
      <c r="G284" t="s">
        <v>4587</v>
      </c>
      <c r="H284" t="s">
        <v>4606</v>
      </c>
      <c r="I284">
        <v>1</v>
      </c>
      <c r="J284">
        <v>31.21</v>
      </c>
      <c r="K284">
        <v>0.05</v>
      </c>
      <c r="L284">
        <v>10.89</v>
      </c>
      <c r="O284" t="s">
        <v>5477</v>
      </c>
    </row>
    <row r="285" spans="1:15" x14ac:dyDescent="0.3">
      <c r="A285" t="s">
        <v>294</v>
      </c>
      <c r="B285" t="s">
        <v>1687</v>
      </c>
      <c r="C285" t="s">
        <v>2856</v>
      </c>
      <c r="D285" t="s">
        <v>3522</v>
      </c>
      <c r="E285" t="s">
        <v>4556</v>
      </c>
      <c r="F285" t="s">
        <v>4576</v>
      </c>
      <c r="G285" t="s">
        <v>4585</v>
      </c>
      <c r="H285" t="s">
        <v>4592</v>
      </c>
      <c r="I285">
        <v>1</v>
      </c>
      <c r="J285" t="s">
        <v>4795</v>
      </c>
      <c r="K285">
        <v>0</v>
      </c>
      <c r="L285">
        <v>9</v>
      </c>
      <c r="M285" t="s">
        <v>5464</v>
      </c>
      <c r="N285" t="s">
        <v>5470</v>
      </c>
      <c r="O285" t="s">
        <v>5477</v>
      </c>
    </row>
    <row r="286" spans="1:15" x14ac:dyDescent="0.3">
      <c r="A286" t="s">
        <v>295</v>
      </c>
      <c r="B286" t="s">
        <v>1688</v>
      </c>
      <c r="C286" t="s">
        <v>2857</v>
      </c>
      <c r="D286" t="s">
        <v>3523</v>
      </c>
      <c r="E286" t="s">
        <v>4556</v>
      </c>
      <c r="F286" t="s">
        <v>4575</v>
      </c>
      <c r="G286" t="s">
        <v>4586</v>
      </c>
      <c r="H286" t="s">
        <v>4597</v>
      </c>
      <c r="I286">
        <v>4</v>
      </c>
      <c r="J286" t="s">
        <v>4796</v>
      </c>
      <c r="K286">
        <v>0.15</v>
      </c>
      <c r="L286">
        <v>13.27</v>
      </c>
      <c r="M286" t="s">
        <v>5465</v>
      </c>
      <c r="N286" t="s">
        <v>5472</v>
      </c>
      <c r="O286" t="s">
        <v>5478</v>
      </c>
    </row>
    <row r="287" spans="1:15" x14ac:dyDescent="0.3">
      <c r="A287" t="s">
        <v>296</v>
      </c>
      <c r="B287" t="s">
        <v>1689</v>
      </c>
      <c r="C287" t="s">
        <v>2802</v>
      </c>
      <c r="D287" t="s">
        <v>3524</v>
      </c>
      <c r="E287" t="s">
        <v>4570</v>
      </c>
      <c r="F287" t="s">
        <v>4573</v>
      </c>
      <c r="G287" t="s">
        <v>4586</v>
      </c>
      <c r="H287" t="s">
        <v>4609</v>
      </c>
      <c r="I287">
        <v>4</v>
      </c>
      <c r="J287">
        <v>130.16</v>
      </c>
      <c r="K287" t="s">
        <v>5461</v>
      </c>
      <c r="L287">
        <v>8.07</v>
      </c>
      <c r="N287" t="s">
        <v>5472</v>
      </c>
      <c r="O287" t="s">
        <v>5477</v>
      </c>
    </row>
    <row r="288" spans="1:15" x14ac:dyDescent="0.3">
      <c r="A288" t="s">
        <v>297</v>
      </c>
      <c r="B288" t="s">
        <v>1690</v>
      </c>
      <c r="C288" t="s">
        <v>2687</v>
      </c>
      <c r="D288" t="s">
        <v>3525</v>
      </c>
      <c r="E288" t="s">
        <v>4568</v>
      </c>
      <c r="F288" t="s">
        <v>4573</v>
      </c>
      <c r="G288" t="s">
        <v>4586</v>
      </c>
      <c r="H288" t="s">
        <v>4609</v>
      </c>
      <c r="I288">
        <v>2</v>
      </c>
      <c r="J288">
        <v>126.98</v>
      </c>
      <c r="K288" t="s">
        <v>5460</v>
      </c>
      <c r="M288" t="s">
        <v>5467</v>
      </c>
      <c r="N288" t="s">
        <v>5473</v>
      </c>
      <c r="O288" t="s">
        <v>5480</v>
      </c>
    </row>
    <row r="289" spans="1:15" x14ac:dyDescent="0.3">
      <c r="A289" t="s">
        <v>298</v>
      </c>
      <c r="B289" t="s">
        <v>1691</v>
      </c>
      <c r="C289" t="s">
        <v>2705</v>
      </c>
      <c r="D289" t="s">
        <v>3526</v>
      </c>
      <c r="E289" t="s">
        <v>4565</v>
      </c>
      <c r="F289" t="s">
        <v>4579</v>
      </c>
      <c r="H289" t="s">
        <v>4592</v>
      </c>
      <c r="I289">
        <v>1</v>
      </c>
      <c r="J289">
        <v>6.38</v>
      </c>
      <c r="K289">
        <v>0.1</v>
      </c>
      <c r="L289">
        <v>14.85</v>
      </c>
      <c r="M289" t="s">
        <v>5463</v>
      </c>
      <c r="N289" t="s">
        <v>5471</v>
      </c>
      <c r="O289" t="s">
        <v>5477</v>
      </c>
    </row>
    <row r="290" spans="1:15" x14ac:dyDescent="0.3">
      <c r="A290" t="s">
        <v>299</v>
      </c>
      <c r="B290" t="s">
        <v>1692</v>
      </c>
      <c r="C290" t="s">
        <v>2858</v>
      </c>
      <c r="D290" t="s">
        <v>3527</v>
      </c>
      <c r="E290" t="s">
        <v>4560</v>
      </c>
      <c r="F290" t="s">
        <v>4573</v>
      </c>
      <c r="G290" t="s">
        <v>4585</v>
      </c>
      <c r="H290" t="s">
        <v>4598</v>
      </c>
      <c r="I290">
        <v>-1</v>
      </c>
      <c r="J290" t="s">
        <v>4797</v>
      </c>
      <c r="K290">
        <v>0.1</v>
      </c>
      <c r="L290">
        <v>6.24</v>
      </c>
      <c r="M290" t="s">
        <v>5468</v>
      </c>
      <c r="N290" t="s">
        <v>5469</v>
      </c>
      <c r="O290" t="s">
        <v>5475</v>
      </c>
    </row>
    <row r="291" spans="1:15" x14ac:dyDescent="0.3">
      <c r="A291" t="s">
        <v>300</v>
      </c>
      <c r="B291" t="s">
        <v>1693</v>
      </c>
      <c r="C291" t="s">
        <v>2859</v>
      </c>
      <c r="D291" t="s">
        <v>3528</v>
      </c>
      <c r="E291" t="s">
        <v>4561</v>
      </c>
      <c r="F291" t="s">
        <v>4580</v>
      </c>
      <c r="G291" t="s">
        <v>4587</v>
      </c>
      <c r="H291" t="s">
        <v>4600</v>
      </c>
      <c r="I291">
        <v>1</v>
      </c>
      <c r="J291" t="s">
        <v>4798</v>
      </c>
      <c r="K291">
        <v>0.05</v>
      </c>
      <c r="L291">
        <v>8.0399999999999991</v>
      </c>
      <c r="M291" t="s">
        <v>5462</v>
      </c>
      <c r="N291" t="s">
        <v>5472</v>
      </c>
      <c r="O291" t="s">
        <v>5480</v>
      </c>
    </row>
    <row r="292" spans="1:15" x14ac:dyDescent="0.3">
      <c r="A292" t="s">
        <v>301</v>
      </c>
      <c r="B292" t="s">
        <v>1694</v>
      </c>
      <c r="C292" t="s">
        <v>2639</v>
      </c>
      <c r="D292" t="s">
        <v>3529</v>
      </c>
      <c r="E292" t="s">
        <v>4558</v>
      </c>
      <c r="F292" t="s">
        <v>4572</v>
      </c>
      <c r="G292" t="s">
        <v>4583</v>
      </c>
      <c r="H292" t="s">
        <v>4610</v>
      </c>
      <c r="I292">
        <v>1</v>
      </c>
      <c r="J292" t="s">
        <v>4799</v>
      </c>
      <c r="K292" t="s">
        <v>5461</v>
      </c>
      <c r="L292">
        <v>1.61</v>
      </c>
      <c r="M292" t="s">
        <v>5466</v>
      </c>
      <c r="O292" t="s">
        <v>5479</v>
      </c>
    </row>
    <row r="293" spans="1:15" x14ac:dyDescent="0.3">
      <c r="A293" t="s">
        <v>302</v>
      </c>
      <c r="B293" t="s">
        <v>1695</v>
      </c>
      <c r="C293" t="s">
        <v>2682</v>
      </c>
      <c r="D293" t="s">
        <v>3530</v>
      </c>
      <c r="E293" t="s">
        <v>4562</v>
      </c>
      <c r="F293" t="s">
        <v>4576</v>
      </c>
      <c r="G293" t="s">
        <v>4584</v>
      </c>
      <c r="H293" t="s">
        <v>4601</v>
      </c>
      <c r="I293">
        <v>1</v>
      </c>
      <c r="J293" t="s">
        <v>4800</v>
      </c>
      <c r="K293" t="s">
        <v>5460</v>
      </c>
      <c r="L293">
        <v>0</v>
      </c>
      <c r="M293" t="s">
        <v>5466</v>
      </c>
      <c r="N293" t="s">
        <v>5474</v>
      </c>
      <c r="O293" t="s">
        <v>5477</v>
      </c>
    </row>
    <row r="294" spans="1:15" x14ac:dyDescent="0.3">
      <c r="A294" t="s">
        <v>303</v>
      </c>
      <c r="B294" t="s">
        <v>1696</v>
      </c>
      <c r="C294" t="s">
        <v>2860</v>
      </c>
      <c r="D294" t="s">
        <v>3531</v>
      </c>
      <c r="E294" t="s">
        <v>4560</v>
      </c>
      <c r="F294" t="s">
        <v>4574</v>
      </c>
      <c r="G294" t="s">
        <v>4586</v>
      </c>
      <c r="H294" t="s">
        <v>4597</v>
      </c>
      <c r="I294">
        <v>2</v>
      </c>
      <c r="J294" t="s">
        <v>4801</v>
      </c>
      <c r="K294">
        <v>0</v>
      </c>
      <c r="L294">
        <v>2.5</v>
      </c>
      <c r="M294" t="s">
        <v>5462</v>
      </c>
      <c r="N294" t="s">
        <v>5470</v>
      </c>
      <c r="O294" t="s">
        <v>5480</v>
      </c>
    </row>
    <row r="295" spans="1:15" x14ac:dyDescent="0.3">
      <c r="A295" t="s">
        <v>304</v>
      </c>
      <c r="B295" t="s">
        <v>1697</v>
      </c>
      <c r="C295" t="s">
        <v>2861</v>
      </c>
      <c r="D295" t="s">
        <v>3532</v>
      </c>
      <c r="E295" t="s">
        <v>4556</v>
      </c>
      <c r="F295" t="s">
        <v>4576</v>
      </c>
      <c r="G295" t="s">
        <v>4583</v>
      </c>
      <c r="H295" t="s">
        <v>4604</v>
      </c>
      <c r="I295">
        <v>3</v>
      </c>
      <c r="J295" t="s">
        <v>4802</v>
      </c>
      <c r="K295">
        <v>0.05</v>
      </c>
      <c r="L295">
        <v>4.63</v>
      </c>
      <c r="M295" t="s">
        <v>5467</v>
      </c>
      <c r="N295" t="s">
        <v>5470</v>
      </c>
      <c r="O295" t="s">
        <v>5475</v>
      </c>
    </row>
    <row r="296" spans="1:15" x14ac:dyDescent="0.3">
      <c r="A296" t="s">
        <v>305</v>
      </c>
      <c r="B296" t="s">
        <v>1698</v>
      </c>
      <c r="C296" t="s">
        <v>2862</v>
      </c>
      <c r="D296" t="s">
        <v>3533</v>
      </c>
      <c r="E296" t="s">
        <v>4564</v>
      </c>
      <c r="F296" t="s">
        <v>4573</v>
      </c>
      <c r="G296" t="s">
        <v>4587</v>
      </c>
      <c r="H296" t="s">
        <v>4600</v>
      </c>
      <c r="I296">
        <v>1</v>
      </c>
      <c r="J296" t="s">
        <v>4803</v>
      </c>
      <c r="K296">
        <v>0.05</v>
      </c>
      <c r="L296">
        <v>0.96</v>
      </c>
      <c r="M296" t="s">
        <v>5466</v>
      </c>
      <c r="N296" t="s">
        <v>5469</v>
      </c>
      <c r="O296" t="s">
        <v>5478</v>
      </c>
    </row>
    <row r="297" spans="1:15" x14ac:dyDescent="0.3">
      <c r="A297" t="s">
        <v>306</v>
      </c>
      <c r="B297" t="s">
        <v>1699</v>
      </c>
      <c r="C297" t="s">
        <v>2863</v>
      </c>
      <c r="E297" t="s">
        <v>4548</v>
      </c>
      <c r="F297" t="s">
        <v>4578</v>
      </c>
      <c r="G297" t="s">
        <v>4583</v>
      </c>
      <c r="H297" t="s">
        <v>4588</v>
      </c>
      <c r="I297">
        <v>1</v>
      </c>
      <c r="J297" t="s">
        <v>4804</v>
      </c>
      <c r="K297">
        <v>0.15</v>
      </c>
      <c r="L297">
        <v>7.53</v>
      </c>
      <c r="M297" t="s">
        <v>5465</v>
      </c>
      <c r="N297" t="s">
        <v>5471</v>
      </c>
      <c r="O297" t="s">
        <v>5475</v>
      </c>
    </row>
    <row r="298" spans="1:15" x14ac:dyDescent="0.3">
      <c r="A298" t="s">
        <v>307</v>
      </c>
      <c r="B298" t="s">
        <v>1700</v>
      </c>
      <c r="C298" t="s">
        <v>2742</v>
      </c>
      <c r="D298" t="s">
        <v>3534</v>
      </c>
      <c r="E298" t="s">
        <v>4563</v>
      </c>
      <c r="F298" t="s">
        <v>4573</v>
      </c>
      <c r="G298" t="s">
        <v>4583</v>
      </c>
      <c r="H298" t="s">
        <v>4588</v>
      </c>
      <c r="I298">
        <v>1</v>
      </c>
      <c r="J298">
        <v>39.53</v>
      </c>
      <c r="K298">
        <v>0</v>
      </c>
      <c r="L298">
        <v>3.63</v>
      </c>
      <c r="M298" t="s">
        <v>5468</v>
      </c>
      <c r="N298" t="s">
        <v>5471</v>
      </c>
      <c r="O298" t="s">
        <v>5476</v>
      </c>
    </row>
    <row r="299" spans="1:15" x14ac:dyDescent="0.3">
      <c r="A299" t="s">
        <v>308</v>
      </c>
      <c r="B299" t="s">
        <v>1701</v>
      </c>
      <c r="C299" t="s">
        <v>2864</v>
      </c>
      <c r="D299" t="s">
        <v>3535</v>
      </c>
      <c r="E299" t="s">
        <v>4571</v>
      </c>
      <c r="F299" t="s">
        <v>4578</v>
      </c>
      <c r="G299" t="s">
        <v>4585</v>
      </c>
      <c r="H299" t="s">
        <v>4598</v>
      </c>
      <c r="I299">
        <v>4</v>
      </c>
      <c r="J299" t="s">
        <v>4805</v>
      </c>
      <c r="K299">
        <v>0.05</v>
      </c>
      <c r="L299">
        <v>10.44</v>
      </c>
      <c r="M299" t="s">
        <v>5468</v>
      </c>
      <c r="N299" t="s">
        <v>5472</v>
      </c>
      <c r="O299" t="s">
        <v>5477</v>
      </c>
    </row>
    <row r="300" spans="1:15" x14ac:dyDescent="0.3">
      <c r="A300" t="s">
        <v>309</v>
      </c>
      <c r="B300" t="s">
        <v>1702</v>
      </c>
      <c r="C300" t="s">
        <v>2865</v>
      </c>
      <c r="D300" t="s">
        <v>3536</v>
      </c>
      <c r="E300" t="s">
        <v>4567</v>
      </c>
      <c r="F300" t="s">
        <v>4573</v>
      </c>
      <c r="G300" t="s">
        <v>4586</v>
      </c>
      <c r="H300" t="s">
        <v>4599</v>
      </c>
      <c r="I300">
        <v>-1</v>
      </c>
      <c r="J300" t="s">
        <v>4806</v>
      </c>
      <c r="K300">
        <v>0.05</v>
      </c>
      <c r="L300">
        <v>10.9</v>
      </c>
      <c r="M300" t="s">
        <v>5467</v>
      </c>
      <c r="N300" t="s">
        <v>5470</v>
      </c>
      <c r="O300" t="s">
        <v>5477</v>
      </c>
    </row>
    <row r="301" spans="1:15" x14ac:dyDescent="0.3">
      <c r="A301" t="s">
        <v>310</v>
      </c>
      <c r="B301" t="s">
        <v>1703</v>
      </c>
      <c r="C301" t="s">
        <v>2866</v>
      </c>
      <c r="D301" t="s">
        <v>3537</v>
      </c>
      <c r="E301" t="s">
        <v>4569</v>
      </c>
      <c r="F301" t="s">
        <v>4572</v>
      </c>
      <c r="G301" t="s">
        <v>4584</v>
      </c>
      <c r="H301" t="s">
        <v>4608</v>
      </c>
      <c r="I301">
        <v>10</v>
      </c>
      <c r="J301" t="s">
        <v>4807</v>
      </c>
      <c r="K301" t="s">
        <v>5460</v>
      </c>
      <c r="L301">
        <v>3.45</v>
      </c>
      <c r="N301" t="s">
        <v>5472</v>
      </c>
      <c r="O301" t="s">
        <v>5477</v>
      </c>
    </row>
    <row r="302" spans="1:15" x14ac:dyDescent="0.3">
      <c r="A302" t="s">
        <v>311</v>
      </c>
      <c r="B302" t="s">
        <v>1704</v>
      </c>
      <c r="C302" t="s">
        <v>2673</v>
      </c>
      <c r="D302" t="s">
        <v>3538</v>
      </c>
      <c r="E302" t="s">
        <v>4568</v>
      </c>
      <c r="F302" t="s">
        <v>4577</v>
      </c>
      <c r="G302" t="s">
        <v>4583</v>
      </c>
      <c r="H302" t="s">
        <v>4610</v>
      </c>
      <c r="I302">
        <v>1</v>
      </c>
      <c r="J302" t="s">
        <v>4808</v>
      </c>
      <c r="K302">
        <v>0.05</v>
      </c>
      <c r="L302">
        <v>7.05</v>
      </c>
      <c r="M302" t="s">
        <v>5465</v>
      </c>
      <c r="N302" t="s">
        <v>5469</v>
      </c>
      <c r="O302" t="s">
        <v>5479</v>
      </c>
    </row>
    <row r="303" spans="1:15" x14ac:dyDescent="0.3">
      <c r="A303" t="s">
        <v>312</v>
      </c>
      <c r="B303" t="s">
        <v>1705</v>
      </c>
      <c r="C303" t="s">
        <v>2851</v>
      </c>
      <c r="D303" t="s">
        <v>3539</v>
      </c>
      <c r="E303" t="s">
        <v>4556</v>
      </c>
      <c r="F303" t="s">
        <v>4575</v>
      </c>
      <c r="G303" t="s">
        <v>4585</v>
      </c>
      <c r="H303" t="s">
        <v>4598</v>
      </c>
      <c r="I303">
        <v>1</v>
      </c>
      <c r="J303" t="s">
        <v>4809</v>
      </c>
      <c r="K303">
        <v>0</v>
      </c>
      <c r="L303">
        <v>13.79</v>
      </c>
      <c r="M303" t="s">
        <v>5464</v>
      </c>
      <c r="N303" t="s">
        <v>5470</v>
      </c>
      <c r="O303" t="s">
        <v>5477</v>
      </c>
    </row>
    <row r="304" spans="1:15" x14ac:dyDescent="0.3">
      <c r="A304" t="s">
        <v>313</v>
      </c>
      <c r="B304" t="s">
        <v>1706</v>
      </c>
      <c r="C304" t="s">
        <v>2628</v>
      </c>
      <c r="D304" t="s">
        <v>3540</v>
      </c>
      <c r="E304" t="s">
        <v>4571</v>
      </c>
      <c r="F304" t="s">
        <v>4578</v>
      </c>
      <c r="G304" t="s">
        <v>4587</v>
      </c>
      <c r="H304" t="s">
        <v>4596</v>
      </c>
      <c r="I304">
        <v>-1</v>
      </c>
      <c r="J304">
        <v>14.65</v>
      </c>
      <c r="K304" t="s">
        <v>5461</v>
      </c>
      <c r="L304">
        <v>5.34</v>
      </c>
      <c r="N304" t="s">
        <v>5472</v>
      </c>
      <c r="O304" t="s">
        <v>5479</v>
      </c>
    </row>
    <row r="305" spans="1:15" x14ac:dyDescent="0.3">
      <c r="A305" t="s">
        <v>314</v>
      </c>
      <c r="B305" t="s">
        <v>1707</v>
      </c>
      <c r="C305" t="s">
        <v>2867</v>
      </c>
      <c r="D305" t="s">
        <v>3541</v>
      </c>
      <c r="E305" t="s">
        <v>4570</v>
      </c>
      <c r="F305" t="s">
        <v>4573</v>
      </c>
      <c r="G305" t="s">
        <v>4583</v>
      </c>
      <c r="H305" t="s">
        <v>4604</v>
      </c>
      <c r="I305">
        <v>1</v>
      </c>
      <c r="J305" t="s">
        <v>4810</v>
      </c>
      <c r="L305">
        <v>0.83</v>
      </c>
      <c r="M305" t="s">
        <v>5466</v>
      </c>
      <c r="N305" t="s">
        <v>5472</v>
      </c>
      <c r="O305" t="s">
        <v>5480</v>
      </c>
    </row>
    <row r="306" spans="1:15" x14ac:dyDescent="0.3">
      <c r="A306" t="s">
        <v>315</v>
      </c>
      <c r="B306" t="s">
        <v>1708</v>
      </c>
      <c r="C306" t="s">
        <v>2868</v>
      </c>
      <c r="D306" t="s">
        <v>3542</v>
      </c>
      <c r="E306" t="s">
        <v>4570</v>
      </c>
      <c r="F306" t="s">
        <v>4574</v>
      </c>
      <c r="G306" t="s">
        <v>4585</v>
      </c>
      <c r="H306" t="s">
        <v>4602</v>
      </c>
      <c r="I306">
        <v>1</v>
      </c>
      <c r="J306" t="s">
        <v>4811</v>
      </c>
      <c r="K306" t="s">
        <v>5461</v>
      </c>
      <c r="L306">
        <v>14.81</v>
      </c>
      <c r="M306" t="s">
        <v>5464</v>
      </c>
      <c r="O306" t="s">
        <v>5475</v>
      </c>
    </row>
    <row r="307" spans="1:15" x14ac:dyDescent="0.3">
      <c r="A307" t="s">
        <v>316</v>
      </c>
      <c r="B307" t="s">
        <v>1709</v>
      </c>
      <c r="C307" t="s">
        <v>2867</v>
      </c>
      <c r="D307" t="s">
        <v>3543</v>
      </c>
      <c r="E307" t="s">
        <v>4565</v>
      </c>
      <c r="F307" t="s">
        <v>4579</v>
      </c>
      <c r="G307" t="s">
        <v>4583</v>
      </c>
      <c r="H307" t="s">
        <v>4610</v>
      </c>
      <c r="I307">
        <v>10</v>
      </c>
      <c r="J307">
        <v>81.78</v>
      </c>
      <c r="K307">
        <v>0</v>
      </c>
      <c r="L307">
        <v>2.5099999999999998</v>
      </c>
      <c r="N307" t="s">
        <v>5474</v>
      </c>
      <c r="O307" t="s">
        <v>5477</v>
      </c>
    </row>
    <row r="308" spans="1:15" x14ac:dyDescent="0.3">
      <c r="A308" t="s">
        <v>317</v>
      </c>
      <c r="B308" t="s">
        <v>1710</v>
      </c>
      <c r="C308" t="s">
        <v>2698</v>
      </c>
      <c r="D308" t="s">
        <v>3337</v>
      </c>
      <c r="E308" t="s">
        <v>4551</v>
      </c>
      <c r="F308" t="s">
        <v>4576</v>
      </c>
      <c r="G308" t="s">
        <v>4583</v>
      </c>
      <c r="H308" t="s">
        <v>4605</v>
      </c>
      <c r="I308">
        <v>5</v>
      </c>
      <c r="J308" t="s">
        <v>4812</v>
      </c>
      <c r="K308">
        <v>0</v>
      </c>
      <c r="L308">
        <v>8.9700000000000006</v>
      </c>
      <c r="M308" t="s">
        <v>5468</v>
      </c>
      <c r="N308" t="s">
        <v>5471</v>
      </c>
      <c r="O308" t="s">
        <v>5479</v>
      </c>
    </row>
    <row r="309" spans="1:15" x14ac:dyDescent="0.3">
      <c r="A309" t="s">
        <v>318</v>
      </c>
      <c r="B309" t="s">
        <v>1711</v>
      </c>
      <c r="C309" t="s">
        <v>2869</v>
      </c>
      <c r="D309" t="s">
        <v>3544</v>
      </c>
      <c r="E309" t="s">
        <v>4561</v>
      </c>
      <c r="F309" t="s">
        <v>4581</v>
      </c>
      <c r="G309" t="s">
        <v>4587</v>
      </c>
      <c r="H309" t="s">
        <v>4600</v>
      </c>
      <c r="I309">
        <v>4</v>
      </c>
      <c r="J309">
        <v>13.29</v>
      </c>
      <c r="K309" t="s">
        <v>5460</v>
      </c>
      <c r="L309">
        <v>0</v>
      </c>
      <c r="M309" t="s">
        <v>5462</v>
      </c>
      <c r="N309" t="s">
        <v>5471</v>
      </c>
      <c r="O309" t="s">
        <v>5475</v>
      </c>
    </row>
    <row r="310" spans="1:15" x14ac:dyDescent="0.3">
      <c r="A310" t="s">
        <v>319</v>
      </c>
      <c r="B310" t="s">
        <v>1712</v>
      </c>
      <c r="C310" t="s">
        <v>2626</v>
      </c>
      <c r="D310" t="s">
        <v>3545</v>
      </c>
      <c r="E310" t="s">
        <v>4561</v>
      </c>
      <c r="F310" t="s">
        <v>4581</v>
      </c>
      <c r="G310" t="s">
        <v>4583</v>
      </c>
      <c r="H310" t="s">
        <v>4604</v>
      </c>
      <c r="I310">
        <v>-1</v>
      </c>
      <c r="J310">
        <v>22.43</v>
      </c>
      <c r="K310">
        <v>0</v>
      </c>
      <c r="L310">
        <v>0.5</v>
      </c>
      <c r="N310" t="s">
        <v>5471</v>
      </c>
      <c r="O310" t="s">
        <v>5477</v>
      </c>
    </row>
    <row r="311" spans="1:15" x14ac:dyDescent="0.3">
      <c r="A311" t="s">
        <v>320</v>
      </c>
      <c r="B311" t="s">
        <v>1713</v>
      </c>
      <c r="C311" t="s">
        <v>2635</v>
      </c>
      <c r="D311" t="s">
        <v>3546</v>
      </c>
      <c r="E311" t="s">
        <v>4561</v>
      </c>
      <c r="F311" t="s">
        <v>4580</v>
      </c>
      <c r="G311" t="s">
        <v>4584</v>
      </c>
      <c r="H311" t="s">
        <v>4607</v>
      </c>
      <c r="I311">
        <v>2</v>
      </c>
      <c r="J311">
        <v>26.14</v>
      </c>
      <c r="K311">
        <v>0.1</v>
      </c>
      <c r="L311">
        <v>7.92</v>
      </c>
      <c r="M311" t="s">
        <v>5464</v>
      </c>
      <c r="N311" t="s">
        <v>5469</v>
      </c>
      <c r="O311" t="s">
        <v>5475</v>
      </c>
    </row>
    <row r="312" spans="1:15" x14ac:dyDescent="0.3">
      <c r="A312" t="s">
        <v>321</v>
      </c>
      <c r="B312" t="s">
        <v>1714</v>
      </c>
      <c r="C312" t="s">
        <v>2870</v>
      </c>
      <c r="D312" t="s">
        <v>3547</v>
      </c>
      <c r="E312" t="s">
        <v>4571</v>
      </c>
      <c r="F312" t="s">
        <v>4578</v>
      </c>
      <c r="G312" t="s">
        <v>4587</v>
      </c>
      <c r="H312" t="s">
        <v>4600</v>
      </c>
      <c r="I312">
        <v>10</v>
      </c>
      <c r="J312" t="s">
        <v>4813</v>
      </c>
      <c r="L312">
        <v>6.23</v>
      </c>
      <c r="M312" t="s">
        <v>5468</v>
      </c>
      <c r="O312" t="s">
        <v>5478</v>
      </c>
    </row>
    <row r="313" spans="1:15" x14ac:dyDescent="0.3">
      <c r="A313" t="s">
        <v>322</v>
      </c>
      <c r="B313" t="s">
        <v>1715</v>
      </c>
      <c r="C313" t="s">
        <v>2776</v>
      </c>
      <c r="D313" t="s">
        <v>3548</v>
      </c>
      <c r="E313" t="s">
        <v>4571</v>
      </c>
      <c r="F313" t="s">
        <v>4573</v>
      </c>
      <c r="H313" t="s">
        <v>4600</v>
      </c>
      <c r="I313">
        <v>2</v>
      </c>
      <c r="J313" t="s">
        <v>4814</v>
      </c>
      <c r="K313">
        <v>0</v>
      </c>
      <c r="L313">
        <v>10.69</v>
      </c>
      <c r="M313" t="s">
        <v>5463</v>
      </c>
      <c r="N313" t="s">
        <v>5474</v>
      </c>
      <c r="O313" t="s">
        <v>5475</v>
      </c>
    </row>
    <row r="314" spans="1:15" x14ac:dyDescent="0.3">
      <c r="A314" t="s">
        <v>323</v>
      </c>
      <c r="B314" t="s">
        <v>1716</v>
      </c>
      <c r="C314" t="s">
        <v>2871</v>
      </c>
      <c r="D314" t="s">
        <v>3549</v>
      </c>
      <c r="E314" t="s">
        <v>4568</v>
      </c>
      <c r="F314" t="s">
        <v>4573</v>
      </c>
      <c r="G314" t="s">
        <v>4586</v>
      </c>
      <c r="H314" t="s">
        <v>4597</v>
      </c>
      <c r="I314">
        <v>4</v>
      </c>
      <c r="J314" t="s">
        <v>4815</v>
      </c>
      <c r="K314">
        <v>0.05</v>
      </c>
      <c r="L314">
        <v>0.84</v>
      </c>
      <c r="M314" t="s">
        <v>5465</v>
      </c>
      <c r="N314" t="s">
        <v>5471</v>
      </c>
      <c r="O314" t="s">
        <v>5477</v>
      </c>
    </row>
    <row r="315" spans="1:15" x14ac:dyDescent="0.3">
      <c r="A315" t="s">
        <v>324</v>
      </c>
      <c r="B315" t="s">
        <v>1717</v>
      </c>
      <c r="C315" t="s">
        <v>2872</v>
      </c>
      <c r="D315" t="s">
        <v>3550</v>
      </c>
      <c r="E315" t="s">
        <v>4555</v>
      </c>
      <c r="F315" t="s">
        <v>4573</v>
      </c>
      <c r="G315" t="s">
        <v>4584</v>
      </c>
      <c r="H315" t="s">
        <v>4601</v>
      </c>
      <c r="I315">
        <v>3</v>
      </c>
      <c r="J315">
        <v>189.93</v>
      </c>
      <c r="K315" t="s">
        <v>5461</v>
      </c>
      <c r="L315">
        <v>4.9000000000000004</v>
      </c>
      <c r="N315" t="s">
        <v>5470</v>
      </c>
      <c r="O315" t="s">
        <v>5479</v>
      </c>
    </row>
    <row r="316" spans="1:15" x14ac:dyDescent="0.3">
      <c r="A316" t="s">
        <v>325</v>
      </c>
      <c r="B316" t="s">
        <v>1718</v>
      </c>
      <c r="C316" t="s">
        <v>2873</v>
      </c>
      <c r="D316" t="s">
        <v>3551</v>
      </c>
      <c r="E316" t="s">
        <v>4565</v>
      </c>
      <c r="F316" t="s">
        <v>4576</v>
      </c>
      <c r="G316" t="s">
        <v>4586</v>
      </c>
      <c r="H316" t="s">
        <v>4599</v>
      </c>
      <c r="I316">
        <v>1</v>
      </c>
      <c r="J316">
        <v>251.42</v>
      </c>
      <c r="K316">
        <v>0</v>
      </c>
      <c r="L316">
        <v>11.76</v>
      </c>
      <c r="M316" t="s">
        <v>5463</v>
      </c>
      <c r="N316" t="s">
        <v>5470</v>
      </c>
      <c r="O316" t="s">
        <v>5477</v>
      </c>
    </row>
    <row r="317" spans="1:15" x14ac:dyDescent="0.3">
      <c r="A317" t="s">
        <v>326</v>
      </c>
      <c r="B317" t="s">
        <v>1719</v>
      </c>
      <c r="C317" t="s">
        <v>2874</v>
      </c>
      <c r="D317" t="s">
        <v>3552</v>
      </c>
      <c r="E317" t="s">
        <v>4562</v>
      </c>
      <c r="F317" t="s">
        <v>4579</v>
      </c>
      <c r="G317" t="s">
        <v>4583</v>
      </c>
      <c r="H317" t="s">
        <v>4604</v>
      </c>
      <c r="I317">
        <v>3</v>
      </c>
      <c r="J317" t="s">
        <v>4816</v>
      </c>
      <c r="K317">
        <v>0.1</v>
      </c>
      <c r="L317">
        <v>6.6</v>
      </c>
      <c r="N317" t="s">
        <v>5469</v>
      </c>
      <c r="O317" t="s">
        <v>5475</v>
      </c>
    </row>
    <row r="318" spans="1:15" x14ac:dyDescent="0.3">
      <c r="A318" t="s">
        <v>327</v>
      </c>
      <c r="B318" t="s">
        <v>1720</v>
      </c>
      <c r="C318" t="s">
        <v>2875</v>
      </c>
      <c r="D318" t="s">
        <v>3553</v>
      </c>
      <c r="E318" t="s">
        <v>4564</v>
      </c>
      <c r="F318" t="s">
        <v>4578</v>
      </c>
      <c r="G318" t="s">
        <v>4585</v>
      </c>
      <c r="H318" t="s">
        <v>4592</v>
      </c>
      <c r="I318">
        <v>1</v>
      </c>
      <c r="J318">
        <v>6.32</v>
      </c>
      <c r="K318">
        <v>0</v>
      </c>
      <c r="L318">
        <v>6.42</v>
      </c>
      <c r="M318" t="s">
        <v>5463</v>
      </c>
      <c r="N318" t="s">
        <v>5474</v>
      </c>
      <c r="O318" t="s">
        <v>5477</v>
      </c>
    </row>
    <row r="319" spans="1:15" x14ac:dyDescent="0.3">
      <c r="A319" t="s">
        <v>328</v>
      </c>
      <c r="B319" t="s">
        <v>1721</v>
      </c>
      <c r="C319" t="s">
        <v>2766</v>
      </c>
      <c r="D319" t="s">
        <v>3554</v>
      </c>
      <c r="E319" t="s">
        <v>4560</v>
      </c>
      <c r="F319" t="s">
        <v>4573</v>
      </c>
      <c r="G319" t="s">
        <v>4587</v>
      </c>
      <c r="H319" t="s">
        <v>4606</v>
      </c>
      <c r="I319">
        <v>4</v>
      </c>
      <c r="J319">
        <v>30.07</v>
      </c>
      <c r="K319">
        <v>0.1</v>
      </c>
      <c r="L319">
        <v>10</v>
      </c>
      <c r="M319" t="s">
        <v>5462</v>
      </c>
      <c r="N319" t="s">
        <v>5473</v>
      </c>
      <c r="O319" t="s">
        <v>5479</v>
      </c>
    </row>
    <row r="320" spans="1:15" x14ac:dyDescent="0.3">
      <c r="A320" t="s">
        <v>329</v>
      </c>
      <c r="B320" t="s">
        <v>1722</v>
      </c>
      <c r="C320" t="s">
        <v>2876</v>
      </c>
      <c r="D320" t="s">
        <v>3555</v>
      </c>
      <c r="E320" t="s">
        <v>4567</v>
      </c>
      <c r="F320" t="s">
        <v>4582</v>
      </c>
      <c r="H320" t="s">
        <v>4596</v>
      </c>
      <c r="I320">
        <v>2</v>
      </c>
      <c r="J320" t="s">
        <v>4817</v>
      </c>
      <c r="L320">
        <v>1.9</v>
      </c>
      <c r="M320" t="s">
        <v>5468</v>
      </c>
      <c r="N320" t="s">
        <v>5472</v>
      </c>
      <c r="O320" t="s">
        <v>5479</v>
      </c>
    </row>
    <row r="321" spans="1:15" x14ac:dyDescent="0.3">
      <c r="A321" t="s">
        <v>330</v>
      </c>
      <c r="B321" t="s">
        <v>1723</v>
      </c>
      <c r="C321" t="s">
        <v>2744</v>
      </c>
      <c r="D321" t="s">
        <v>3556</v>
      </c>
      <c r="E321" t="s">
        <v>4566</v>
      </c>
      <c r="F321" t="s">
        <v>4573</v>
      </c>
      <c r="G321" t="s">
        <v>4587</v>
      </c>
      <c r="H321" t="s">
        <v>4606</v>
      </c>
      <c r="I321">
        <v>10</v>
      </c>
      <c r="J321" t="s">
        <v>4818</v>
      </c>
      <c r="K321" t="s">
        <v>5461</v>
      </c>
      <c r="L321">
        <v>5.32</v>
      </c>
      <c r="M321" t="s">
        <v>5465</v>
      </c>
      <c r="O321" t="s">
        <v>5479</v>
      </c>
    </row>
    <row r="322" spans="1:15" x14ac:dyDescent="0.3">
      <c r="A322" t="s">
        <v>331</v>
      </c>
      <c r="B322" t="s">
        <v>1724</v>
      </c>
      <c r="C322" t="s">
        <v>2877</v>
      </c>
      <c r="D322" t="s">
        <v>3557</v>
      </c>
      <c r="E322" t="s">
        <v>4554</v>
      </c>
      <c r="F322" t="s">
        <v>4574</v>
      </c>
      <c r="G322" t="s">
        <v>4583</v>
      </c>
      <c r="H322" t="s">
        <v>4588</v>
      </c>
      <c r="I322">
        <v>2</v>
      </c>
      <c r="J322" t="s">
        <v>4819</v>
      </c>
      <c r="K322" t="s">
        <v>5461</v>
      </c>
      <c r="L322">
        <v>10.41</v>
      </c>
      <c r="M322" t="s">
        <v>5465</v>
      </c>
      <c r="N322" t="s">
        <v>5473</v>
      </c>
      <c r="O322" t="s">
        <v>5477</v>
      </c>
    </row>
    <row r="323" spans="1:15" x14ac:dyDescent="0.3">
      <c r="A323" t="s">
        <v>332</v>
      </c>
      <c r="B323" t="s">
        <v>1725</v>
      </c>
      <c r="C323" t="s">
        <v>2878</v>
      </c>
      <c r="E323" t="s">
        <v>4568</v>
      </c>
      <c r="F323" t="s">
        <v>4573</v>
      </c>
      <c r="G323" t="s">
        <v>4587</v>
      </c>
      <c r="H323" t="s">
        <v>4596</v>
      </c>
      <c r="I323">
        <v>-1</v>
      </c>
      <c r="J323" t="s">
        <v>4820</v>
      </c>
      <c r="K323">
        <v>0.15</v>
      </c>
      <c r="L323">
        <v>0.4</v>
      </c>
      <c r="M323" t="s">
        <v>5465</v>
      </c>
      <c r="N323" t="s">
        <v>5473</v>
      </c>
      <c r="O323" t="s">
        <v>5477</v>
      </c>
    </row>
    <row r="324" spans="1:15" x14ac:dyDescent="0.3">
      <c r="A324" t="s">
        <v>333</v>
      </c>
      <c r="B324" t="s">
        <v>1726</v>
      </c>
      <c r="C324" t="s">
        <v>2879</v>
      </c>
      <c r="D324" t="s">
        <v>3558</v>
      </c>
      <c r="E324" t="s">
        <v>4556</v>
      </c>
      <c r="F324" t="s">
        <v>4576</v>
      </c>
      <c r="G324" t="s">
        <v>4585</v>
      </c>
      <c r="H324" t="s">
        <v>4592</v>
      </c>
      <c r="I324">
        <v>10</v>
      </c>
      <c r="J324" t="s">
        <v>4821</v>
      </c>
      <c r="K324">
        <v>0</v>
      </c>
      <c r="L324">
        <v>8.64</v>
      </c>
      <c r="M324" t="s">
        <v>5467</v>
      </c>
      <c r="N324" t="s">
        <v>5473</v>
      </c>
      <c r="O324" t="s">
        <v>5475</v>
      </c>
    </row>
    <row r="325" spans="1:15" x14ac:dyDescent="0.3">
      <c r="A325" t="s">
        <v>334</v>
      </c>
      <c r="B325" t="s">
        <v>1727</v>
      </c>
      <c r="C325" t="s">
        <v>2880</v>
      </c>
      <c r="D325" t="s">
        <v>3559</v>
      </c>
      <c r="E325" t="s">
        <v>4563</v>
      </c>
      <c r="F325" t="s">
        <v>4578</v>
      </c>
      <c r="G325" t="s">
        <v>4583</v>
      </c>
      <c r="H325" t="s">
        <v>4610</v>
      </c>
      <c r="I325">
        <v>2</v>
      </c>
      <c r="J325">
        <v>83.23</v>
      </c>
      <c r="K325" t="s">
        <v>5461</v>
      </c>
      <c r="L325">
        <v>13.15</v>
      </c>
      <c r="N325" t="s">
        <v>5472</v>
      </c>
      <c r="O325" t="s">
        <v>5475</v>
      </c>
    </row>
    <row r="326" spans="1:15" x14ac:dyDescent="0.3">
      <c r="A326" t="s">
        <v>335</v>
      </c>
      <c r="B326" t="s">
        <v>1728</v>
      </c>
      <c r="C326" t="s">
        <v>2881</v>
      </c>
      <c r="D326" t="s">
        <v>3560</v>
      </c>
      <c r="E326" t="s">
        <v>4550</v>
      </c>
      <c r="F326" t="s">
        <v>4573</v>
      </c>
      <c r="G326" t="s">
        <v>4587</v>
      </c>
      <c r="H326" t="s">
        <v>4606</v>
      </c>
      <c r="I326">
        <v>2</v>
      </c>
      <c r="J326" t="s">
        <v>4822</v>
      </c>
      <c r="K326">
        <v>0</v>
      </c>
      <c r="L326">
        <v>14.97</v>
      </c>
      <c r="N326" t="s">
        <v>5470</v>
      </c>
      <c r="O326" t="s">
        <v>5477</v>
      </c>
    </row>
    <row r="327" spans="1:15" x14ac:dyDescent="0.3">
      <c r="A327" t="s">
        <v>336</v>
      </c>
      <c r="B327" t="s">
        <v>1729</v>
      </c>
      <c r="C327" t="s">
        <v>2637</v>
      </c>
      <c r="D327" t="s">
        <v>3561</v>
      </c>
      <c r="E327" t="s">
        <v>4562</v>
      </c>
      <c r="F327" t="s">
        <v>4576</v>
      </c>
      <c r="G327" t="s">
        <v>4587</v>
      </c>
      <c r="H327" t="s">
        <v>4600</v>
      </c>
      <c r="I327">
        <v>1</v>
      </c>
      <c r="J327" t="s">
        <v>4823</v>
      </c>
      <c r="K327">
        <v>0</v>
      </c>
      <c r="L327">
        <v>8.83</v>
      </c>
      <c r="M327" t="s">
        <v>5465</v>
      </c>
      <c r="N327" t="s">
        <v>5471</v>
      </c>
      <c r="O327" t="s">
        <v>5479</v>
      </c>
    </row>
    <row r="328" spans="1:15" x14ac:dyDescent="0.3">
      <c r="A328" t="s">
        <v>337</v>
      </c>
      <c r="B328" t="s">
        <v>1730</v>
      </c>
      <c r="C328" t="s">
        <v>2672</v>
      </c>
      <c r="D328" t="s">
        <v>3562</v>
      </c>
      <c r="E328" t="s">
        <v>4553</v>
      </c>
      <c r="F328" t="s">
        <v>4582</v>
      </c>
      <c r="G328" t="s">
        <v>4583</v>
      </c>
      <c r="H328" t="s">
        <v>4604</v>
      </c>
      <c r="I328">
        <v>1</v>
      </c>
      <c r="J328">
        <v>23.31</v>
      </c>
      <c r="K328">
        <v>0</v>
      </c>
      <c r="L328">
        <v>0</v>
      </c>
      <c r="M328" t="s">
        <v>5462</v>
      </c>
      <c r="O328" t="s">
        <v>5477</v>
      </c>
    </row>
    <row r="329" spans="1:15" x14ac:dyDescent="0.3">
      <c r="A329" t="s">
        <v>338</v>
      </c>
      <c r="B329" t="s">
        <v>1731</v>
      </c>
      <c r="C329" t="s">
        <v>2819</v>
      </c>
      <c r="D329" t="s">
        <v>3563</v>
      </c>
      <c r="E329" t="s">
        <v>4563</v>
      </c>
      <c r="F329" t="s">
        <v>4578</v>
      </c>
      <c r="G329" t="s">
        <v>4584</v>
      </c>
      <c r="H329" t="s">
        <v>4589</v>
      </c>
      <c r="I329">
        <v>5</v>
      </c>
      <c r="J329" t="s">
        <v>4824</v>
      </c>
      <c r="K329">
        <v>0</v>
      </c>
      <c r="N329" t="s">
        <v>5472</v>
      </c>
      <c r="O329" t="s">
        <v>5478</v>
      </c>
    </row>
    <row r="330" spans="1:15" x14ac:dyDescent="0.3">
      <c r="A330" t="s">
        <v>339</v>
      </c>
      <c r="B330" t="s">
        <v>1732</v>
      </c>
      <c r="C330" t="s">
        <v>2802</v>
      </c>
      <c r="D330" t="s">
        <v>3564</v>
      </c>
      <c r="E330" t="s">
        <v>4550</v>
      </c>
      <c r="F330" t="s">
        <v>4573</v>
      </c>
      <c r="G330" t="s">
        <v>4586</v>
      </c>
      <c r="H330" t="s">
        <v>4609</v>
      </c>
      <c r="I330">
        <v>1</v>
      </c>
      <c r="J330" t="s">
        <v>4825</v>
      </c>
      <c r="K330">
        <v>0.1</v>
      </c>
      <c r="L330">
        <v>5.79</v>
      </c>
      <c r="N330" t="s">
        <v>5473</v>
      </c>
      <c r="O330" t="s">
        <v>5479</v>
      </c>
    </row>
    <row r="331" spans="1:15" x14ac:dyDescent="0.3">
      <c r="A331" t="s">
        <v>340</v>
      </c>
      <c r="B331" t="s">
        <v>1733</v>
      </c>
      <c r="C331" t="s">
        <v>2882</v>
      </c>
      <c r="D331" t="s">
        <v>3565</v>
      </c>
      <c r="E331" t="s">
        <v>4568</v>
      </c>
      <c r="F331" t="s">
        <v>4582</v>
      </c>
      <c r="G331" t="s">
        <v>4585</v>
      </c>
      <c r="H331" t="s">
        <v>4598</v>
      </c>
      <c r="I331">
        <v>-1</v>
      </c>
      <c r="J331">
        <v>3.01</v>
      </c>
      <c r="K331">
        <v>0</v>
      </c>
      <c r="L331">
        <v>6.21</v>
      </c>
      <c r="M331" t="s">
        <v>5465</v>
      </c>
      <c r="N331" t="s">
        <v>5472</v>
      </c>
      <c r="O331" t="s">
        <v>5480</v>
      </c>
    </row>
    <row r="332" spans="1:15" x14ac:dyDescent="0.3">
      <c r="A332" t="s">
        <v>341</v>
      </c>
      <c r="B332" t="s">
        <v>1734</v>
      </c>
      <c r="C332" t="s">
        <v>2883</v>
      </c>
      <c r="D332" t="s">
        <v>3566</v>
      </c>
      <c r="E332" t="s">
        <v>4567</v>
      </c>
      <c r="F332" t="s">
        <v>4577</v>
      </c>
      <c r="G332" t="s">
        <v>4585</v>
      </c>
      <c r="H332" t="s">
        <v>4591</v>
      </c>
      <c r="I332">
        <v>1</v>
      </c>
      <c r="J332">
        <v>7.96</v>
      </c>
      <c r="K332" t="s">
        <v>5460</v>
      </c>
      <c r="L332">
        <v>5.62</v>
      </c>
      <c r="M332" t="s">
        <v>5464</v>
      </c>
      <c r="N332" t="s">
        <v>5474</v>
      </c>
      <c r="O332" t="s">
        <v>5478</v>
      </c>
    </row>
    <row r="333" spans="1:15" x14ac:dyDescent="0.3">
      <c r="A333" t="s">
        <v>342</v>
      </c>
      <c r="B333" t="s">
        <v>1735</v>
      </c>
      <c r="C333" t="s">
        <v>2640</v>
      </c>
      <c r="D333" t="s">
        <v>3567</v>
      </c>
      <c r="E333" t="s">
        <v>4563</v>
      </c>
      <c r="F333" t="s">
        <v>4578</v>
      </c>
      <c r="G333" t="s">
        <v>4585</v>
      </c>
      <c r="H333" t="s">
        <v>4591</v>
      </c>
      <c r="I333">
        <v>4</v>
      </c>
      <c r="J333" t="s">
        <v>4826</v>
      </c>
      <c r="K333">
        <v>0</v>
      </c>
      <c r="L333">
        <v>1.48</v>
      </c>
      <c r="N333" t="s">
        <v>5471</v>
      </c>
      <c r="O333" t="s">
        <v>5479</v>
      </c>
    </row>
    <row r="334" spans="1:15" x14ac:dyDescent="0.3">
      <c r="A334" t="s">
        <v>343</v>
      </c>
      <c r="B334" t="s">
        <v>1736</v>
      </c>
      <c r="C334" t="s">
        <v>2884</v>
      </c>
      <c r="D334" t="s">
        <v>3568</v>
      </c>
      <c r="E334" t="s">
        <v>4552</v>
      </c>
      <c r="F334" t="s">
        <v>4575</v>
      </c>
      <c r="G334" t="s">
        <v>4583</v>
      </c>
      <c r="H334" t="s">
        <v>4610</v>
      </c>
      <c r="I334">
        <v>2</v>
      </c>
      <c r="J334">
        <v>81.97</v>
      </c>
      <c r="K334">
        <v>0.05</v>
      </c>
      <c r="L334">
        <v>10.47</v>
      </c>
      <c r="M334" t="s">
        <v>5468</v>
      </c>
      <c r="N334" t="s">
        <v>5474</v>
      </c>
      <c r="O334" t="s">
        <v>5480</v>
      </c>
    </row>
    <row r="335" spans="1:15" x14ac:dyDescent="0.3">
      <c r="A335" t="s">
        <v>344</v>
      </c>
      <c r="B335" t="s">
        <v>1737</v>
      </c>
      <c r="C335" t="s">
        <v>2795</v>
      </c>
      <c r="D335" t="s">
        <v>3569</v>
      </c>
      <c r="E335" t="s">
        <v>4570</v>
      </c>
      <c r="F335" t="s">
        <v>4573</v>
      </c>
      <c r="G335" t="s">
        <v>4587</v>
      </c>
      <c r="H335" t="s">
        <v>4600</v>
      </c>
      <c r="I335">
        <v>2</v>
      </c>
      <c r="J335" t="s">
        <v>4827</v>
      </c>
      <c r="K335">
        <v>0.1</v>
      </c>
      <c r="L335">
        <v>10.34</v>
      </c>
      <c r="M335" t="s">
        <v>5468</v>
      </c>
      <c r="N335" t="s">
        <v>5474</v>
      </c>
      <c r="O335" t="s">
        <v>5477</v>
      </c>
    </row>
    <row r="336" spans="1:15" x14ac:dyDescent="0.3">
      <c r="A336" t="s">
        <v>345</v>
      </c>
      <c r="B336" t="s">
        <v>1738</v>
      </c>
      <c r="C336" t="s">
        <v>2885</v>
      </c>
      <c r="D336" t="s">
        <v>3570</v>
      </c>
      <c r="E336" t="s">
        <v>4555</v>
      </c>
      <c r="F336" t="s">
        <v>4573</v>
      </c>
      <c r="G336" t="s">
        <v>4586</v>
      </c>
      <c r="H336" t="s">
        <v>4593</v>
      </c>
      <c r="I336">
        <v>2</v>
      </c>
      <c r="J336">
        <v>104.84</v>
      </c>
      <c r="K336" t="s">
        <v>5460</v>
      </c>
      <c r="L336">
        <v>0</v>
      </c>
      <c r="M336" t="s">
        <v>5465</v>
      </c>
      <c r="N336" t="s">
        <v>5474</v>
      </c>
      <c r="O336" t="s">
        <v>5477</v>
      </c>
    </row>
    <row r="337" spans="1:15" x14ac:dyDescent="0.3">
      <c r="A337" t="s">
        <v>346</v>
      </c>
      <c r="B337" t="s">
        <v>1739</v>
      </c>
      <c r="C337" t="s">
        <v>2767</v>
      </c>
      <c r="D337" t="s">
        <v>3571</v>
      </c>
      <c r="E337" t="s">
        <v>4560</v>
      </c>
      <c r="F337" t="s">
        <v>4573</v>
      </c>
      <c r="G337" t="s">
        <v>4584</v>
      </c>
      <c r="H337" t="s">
        <v>4589</v>
      </c>
      <c r="I337">
        <v>1</v>
      </c>
      <c r="J337" t="s">
        <v>4828</v>
      </c>
      <c r="K337">
        <v>0.1</v>
      </c>
      <c r="L337">
        <v>11.93</v>
      </c>
      <c r="M337" t="s">
        <v>5467</v>
      </c>
      <c r="N337" t="s">
        <v>5471</v>
      </c>
      <c r="O337" t="s">
        <v>5477</v>
      </c>
    </row>
    <row r="338" spans="1:15" x14ac:dyDescent="0.3">
      <c r="A338" t="s">
        <v>347</v>
      </c>
      <c r="B338" t="s">
        <v>1461</v>
      </c>
      <c r="C338" t="s">
        <v>2886</v>
      </c>
      <c r="D338" t="s">
        <v>3572</v>
      </c>
      <c r="E338" t="s">
        <v>4561</v>
      </c>
      <c r="F338" t="s">
        <v>4580</v>
      </c>
      <c r="G338" t="s">
        <v>4587</v>
      </c>
      <c r="H338" t="s">
        <v>4594</v>
      </c>
      <c r="I338">
        <v>1</v>
      </c>
      <c r="J338">
        <v>58.41</v>
      </c>
      <c r="K338">
        <v>0.05</v>
      </c>
      <c r="L338">
        <v>0</v>
      </c>
      <c r="N338" t="s">
        <v>5470</v>
      </c>
      <c r="O338" t="s">
        <v>5477</v>
      </c>
    </row>
    <row r="339" spans="1:15" x14ac:dyDescent="0.3">
      <c r="A339" t="s">
        <v>348</v>
      </c>
      <c r="B339" t="s">
        <v>1740</v>
      </c>
      <c r="C339" t="s">
        <v>2887</v>
      </c>
      <c r="D339" t="s">
        <v>3573</v>
      </c>
      <c r="E339" t="s">
        <v>4551</v>
      </c>
      <c r="F339" t="s">
        <v>4576</v>
      </c>
      <c r="G339" t="s">
        <v>4583</v>
      </c>
      <c r="H339" t="s">
        <v>4610</v>
      </c>
      <c r="I339">
        <v>4</v>
      </c>
      <c r="J339" t="s">
        <v>4829</v>
      </c>
      <c r="L339">
        <v>3.37</v>
      </c>
      <c r="M339" t="s">
        <v>5465</v>
      </c>
      <c r="N339" t="s">
        <v>5471</v>
      </c>
      <c r="O339" t="s">
        <v>5478</v>
      </c>
    </row>
    <row r="340" spans="1:15" x14ac:dyDescent="0.3">
      <c r="A340" t="s">
        <v>349</v>
      </c>
      <c r="B340" t="s">
        <v>1741</v>
      </c>
      <c r="C340" t="s">
        <v>2888</v>
      </c>
      <c r="D340" t="s">
        <v>3574</v>
      </c>
      <c r="E340" t="s">
        <v>4549</v>
      </c>
      <c r="F340" t="s">
        <v>4574</v>
      </c>
      <c r="G340" t="s">
        <v>4584</v>
      </c>
      <c r="H340" t="s">
        <v>4595</v>
      </c>
      <c r="I340">
        <v>4</v>
      </c>
      <c r="J340" t="s">
        <v>4830</v>
      </c>
      <c r="K340" t="s">
        <v>5461</v>
      </c>
      <c r="L340">
        <v>7.8</v>
      </c>
      <c r="M340" t="s">
        <v>5463</v>
      </c>
      <c r="N340" t="s">
        <v>5472</v>
      </c>
      <c r="O340" t="s">
        <v>5476</v>
      </c>
    </row>
    <row r="341" spans="1:15" x14ac:dyDescent="0.3">
      <c r="A341" t="s">
        <v>350</v>
      </c>
      <c r="B341" t="s">
        <v>1742</v>
      </c>
      <c r="C341" t="s">
        <v>2889</v>
      </c>
      <c r="D341" t="s">
        <v>3575</v>
      </c>
      <c r="E341" t="s">
        <v>4555</v>
      </c>
      <c r="F341" t="s">
        <v>4578</v>
      </c>
      <c r="G341" t="s">
        <v>4584</v>
      </c>
      <c r="H341" t="s">
        <v>4601</v>
      </c>
      <c r="I341">
        <v>5</v>
      </c>
      <c r="J341" t="s">
        <v>4831</v>
      </c>
      <c r="K341">
        <v>0</v>
      </c>
      <c r="L341">
        <v>0</v>
      </c>
      <c r="M341" t="s">
        <v>5467</v>
      </c>
      <c r="N341" t="s">
        <v>5472</v>
      </c>
      <c r="O341" t="s">
        <v>5477</v>
      </c>
    </row>
    <row r="342" spans="1:15" x14ac:dyDescent="0.3">
      <c r="A342" t="s">
        <v>351</v>
      </c>
      <c r="B342" t="s">
        <v>1743</v>
      </c>
      <c r="C342" t="s">
        <v>2694</v>
      </c>
      <c r="D342" t="s">
        <v>3576</v>
      </c>
      <c r="E342" t="s">
        <v>4571</v>
      </c>
      <c r="F342" t="s">
        <v>4578</v>
      </c>
      <c r="G342" t="s">
        <v>4584</v>
      </c>
      <c r="H342" t="s">
        <v>4589</v>
      </c>
      <c r="I342">
        <v>2</v>
      </c>
      <c r="J342" t="s">
        <v>4832</v>
      </c>
      <c r="K342" t="s">
        <v>5461</v>
      </c>
      <c r="L342">
        <v>4.51</v>
      </c>
      <c r="M342" t="s">
        <v>5467</v>
      </c>
      <c r="N342" t="s">
        <v>5472</v>
      </c>
      <c r="O342" t="s">
        <v>5479</v>
      </c>
    </row>
    <row r="343" spans="1:15" x14ac:dyDescent="0.3">
      <c r="A343" t="s">
        <v>352</v>
      </c>
      <c r="B343" t="s">
        <v>1744</v>
      </c>
      <c r="C343" t="s">
        <v>2890</v>
      </c>
      <c r="D343" t="s">
        <v>3577</v>
      </c>
      <c r="E343" t="s">
        <v>4559</v>
      </c>
      <c r="F343" t="s">
        <v>4573</v>
      </c>
      <c r="G343" t="s">
        <v>4587</v>
      </c>
      <c r="H343" t="s">
        <v>4594</v>
      </c>
      <c r="I343">
        <v>1</v>
      </c>
      <c r="J343" t="s">
        <v>4833</v>
      </c>
      <c r="K343">
        <v>0</v>
      </c>
      <c r="L343">
        <v>8.6</v>
      </c>
      <c r="M343" t="s">
        <v>5463</v>
      </c>
      <c r="O343" t="s">
        <v>5477</v>
      </c>
    </row>
    <row r="344" spans="1:15" x14ac:dyDescent="0.3">
      <c r="A344" t="s">
        <v>353</v>
      </c>
      <c r="B344" t="s">
        <v>1745</v>
      </c>
      <c r="C344" t="s">
        <v>2891</v>
      </c>
      <c r="D344" t="s">
        <v>3578</v>
      </c>
      <c r="E344" t="s">
        <v>4566</v>
      </c>
      <c r="F344" t="s">
        <v>4577</v>
      </c>
      <c r="G344" t="s">
        <v>4587</v>
      </c>
      <c r="H344" t="s">
        <v>4594</v>
      </c>
      <c r="I344">
        <v>5</v>
      </c>
      <c r="J344">
        <v>62.33</v>
      </c>
      <c r="K344">
        <v>0.1</v>
      </c>
      <c r="L344">
        <v>8.39</v>
      </c>
      <c r="M344" t="s">
        <v>5462</v>
      </c>
      <c r="N344" t="s">
        <v>5473</v>
      </c>
      <c r="O344" t="s">
        <v>5476</v>
      </c>
    </row>
    <row r="345" spans="1:15" x14ac:dyDescent="0.3">
      <c r="A345" t="s">
        <v>354</v>
      </c>
      <c r="B345" t="s">
        <v>1746</v>
      </c>
      <c r="C345" t="s">
        <v>2659</v>
      </c>
      <c r="D345" t="s">
        <v>3579</v>
      </c>
      <c r="E345" t="s">
        <v>4570</v>
      </c>
      <c r="F345" t="s">
        <v>4573</v>
      </c>
      <c r="G345" t="s">
        <v>4584</v>
      </c>
      <c r="H345" t="s">
        <v>4601</v>
      </c>
      <c r="I345">
        <v>10</v>
      </c>
      <c r="J345" t="s">
        <v>4834</v>
      </c>
      <c r="K345">
        <v>0</v>
      </c>
      <c r="L345">
        <v>6.39</v>
      </c>
      <c r="M345" t="s">
        <v>5466</v>
      </c>
      <c r="N345" t="s">
        <v>5473</v>
      </c>
      <c r="O345" t="s">
        <v>5478</v>
      </c>
    </row>
    <row r="346" spans="1:15" x14ac:dyDescent="0.3">
      <c r="A346" t="s">
        <v>355</v>
      </c>
      <c r="B346" t="s">
        <v>1747</v>
      </c>
      <c r="C346" t="s">
        <v>2647</v>
      </c>
      <c r="E346" t="s">
        <v>4552</v>
      </c>
      <c r="F346" t="s">
        <v>4579</v>
      </c>
      <c r="G346" t="s">
        <v>4583</v>
      </c>
      <c r="H346" t="s">
        <v>4588</v>
      </c>
      <c r="I346">
        <v>-1</v>
      </c>
      <c r="J346">
        <v>39.44</v>
      </c>
      <c r="K346">
        <v>0</v>
      </c>
      <c r="L346">
        <v>12.29</v>
      </c>
      <c r="M346" t="s">
        <v>5467</v>
      </c>
      <c r="N346" t="s">
        <v>5469</v>
      </c>
      <c r="O346" t="s">
        <v>5475</v>
      </c>
    </row>
    <row r="347" spans="1:15" x14ac:dyDescent="0.3">
      <c r="A347" t="s">
        <v>356</v>
      </c>
      <c r="B347" t="s">
        <v>1748</v>
      </c>
      <c r="C347" t="s">
        <v>2867</v>
      </c>
      <c r="D347" t="s">
        <v>3580</v>
      </c>
      <c r="E347" t="s">
        <v>4557</v>
      </c>
      <c r="F347" t="s">
        <v>4581</v>
      </c>
      <c r="G347" t="s">
        <v>4584</v>
      </c>
      <c r="H347" t="s">
        <v>4601</v>
      </c>
      <c r="I347">
        <v>4</v>
      </c>
      <c r="J347">
        <v>195.96</v>
      </c>
      <c r="K347">
        <v>0.1</v>
      </c>
      <c r="L347">
        <v>8.98</v>
      </c>
      <c r="M347" t="s">
        <v>5466</v>
      </c>
      <c r="N347" t="s">
        <v>5474</v>
      </c>
      <c r="O347" t="s">
        <v>5480</v>
      </c>
    </row>
    <row r="348" spans="1:15" x14ac:dyDescent="0.3">
      <c r="A348" t="s">
        <v>357</v>
      </c>
      <c r="B348" t="s">
        <v>1749</v>
      </c>
      <c r="C348" t="s">
        <v>2722</v>
      </c>
      <c r="D348" t="s">
        <v>3581</v>
      </c>
      <c r="E348" t="s">
        <v>4557</v>
      </c>
      <c r="G348" t="s">
        <v>4586</v>
      </c>
      <c r="H348" t="s">
        <v>4593</v>
      </c>
      <c r="I348">
        <v>10</v>
      </c>
      <c r="J348">
        <v>109.79</v>
      </c>
      <c r="L348">
        <v>10.97</v>
      </c>
      <c r="M348" t="s">
        <v>5466</v>
      </c>
      <c r="N348" t="s">
        <v>5472</v>
      </c>
      <c r="O348" t="s">
        <v>5478</v>
      </c>
    </row>
    <row r="349" spans="1:15" x14ac:dyDescent="0.3">
      <c r="A349" t="s">
        <v>358</v>
      </c>
      <c r="B349" t="s">
        <v>1691</v>
      </c>
      <c r="C349" t="s">
        <v>2892</v>
      </c>
      <c r="D349" t="s">
        <v>3582</v>
      </c>
      <c r="E349" t="s">
        <v>4558</v>
      </c>
      <c r="F349" t="s">
        <v>4581</v>
      </c>
      <c r="G349" t="s">
        <v>4587</v>
      </c>
      <c r="H349" t="s">
        <v>4596</v>
      </c>
      <c r="I349">
        <v>3</v>
      </c>
      <c r="J349">
        <v>14.43</v>
      </c>
      <c r="K349">
        <v>0.05</v>
      </c>
      <c r="L349">
        <v>2.54</v>
      </c>
      <c r="N349" t="s">
        <v>5472</v>
      </c>
      <c r="O349" t="s">
        <v>5477</v>
      </c>
    </row>
    <row r="350" spans="1:15" x14ac:dyDescent="0.3">
      <c r="A350" t="s">
        <v>359</v>
      </c>
      <c r="B350" t="s">
        <v>1750</v>
      </c>
      <c r="C350" t="s">
        <v>2833</v>
      </c>
      <c r="D350" t="s">
        <v>3583</v>
      </c>
      <c r="E350" t="s">
        <v>4563</v>
      </c>
      <c r="F350" t="s">
        <v>4578</v>
      </c>
      <c r="G350" t="s">
        <v>4584</v>
      </c>
      <c r="H350" t="s">
        <v>4603</v>
      </c>
      <c r="I350">
        <v>5</v>
      </c>
      <c r="J350">
        <v>9.9700000000000006</v>
      </c>
      <c r="K350">
        <v>0</v>
      </c>
      <c r="L350">
        <v>5.75</v>
      </c>
      <c r="M350" t="s">
        <v>5464</v>
      </c>
      <c r="O350" t="s">
        <v>5477</v>
      </c>
    </row>
    <row r="351" spans="1:15" x14ac:dyDescent="0.3">
      <c r="A351" t="s">
        <v>360</v>
      </c>
      <c r="B351" t="s">
        <v>1751</v>
      </c>
      <c r="C351" t="s">
        <v>2891</v>
      </c>
      <c r="D351" t="s">
        <v>3584</v>
      </c>
      <c r="E351" t="s">
        <v>4554</v>
      </c>
      <c r="F351" t="s">
        <v>4573</v>
      </c>
      <c r="G351" t="s">
        <v>4586</v>
      </c>
      <c r="H351" t="s">
        <v>4609</v>
      </c>
      <c r="I351">
        <v>3</v>
      </c>
      <c r="J351" t="s">
        <v>4835</v>
      </c>
      <c r="K351">
        <v>0</v>
      </c>
      <c r="L351">
        <v>2.67</v>
      </c>
      <c r="M351" t="s">
        <v>5468</v>
      </c>
      <c r="N351" t="s">
        <v>5469</v>
      </c>
      <c r="O351" t="s">
        <v>5477</v>
      </c>
    </row>
    <row r="352" spans="1:15" x14ac:dyDescent="0.3">
      <c r="A352" t="s">
        <v>361</v>
      </c>
      <c r="B352" t="s">
        <v>1752</v>
      </c>
      <c r="C352" t="s">
        <v>2893</v>
      </c>
      <c r="D352" t="s">
        <v>3585</v>
      </c>
      <c r="E352" t="s">
        <v>4551</v>
      </c>
      <c r="F352" t="s">
        <v>4576</v>
      </c>
      <c r="G352" t="s">
        <v>4587</v>
      </c>
      <c r="H352" t="s">
        <v>4596</v>
      </c>
      <c r="I352">
        <v>5</v>
      </c>
      <c r="J352" t="s">
        <v>4836</v>
      </c>
      <c r="K352">
        <v>0.1</v>
      </c>
      <c r="L352">
        <v>7.16</v>
      </c>
      <c r="M352" t="s">
        <v>5464</v>
      </c>
      <c r="N352" t="s">
        <v>5472</v>
      </c>
      <c r="O352" t="s">
        <v>5476</v>
      </c>
    </row>
    <row r="353" spans="1:15" x14ac:dyDescent="0.3">
      <c r="A353" t="s">
        <v>362</v>
      </c>
      <c r="B353" t="s">
        <v>1753</v>
      </c>
      <c r="C353" t="s">
        <v>2788</v>
      </c>
      <c r="D353" t="s">
        <v>3586</v>
      </c>
      <c r="E353" t="s">
        <v>4566</v>
      </c>
      <c r="F353" t="s">
        <v>4573</v>
      </c>
      <c r="G353" t="s">
        <v>4587</v>
      </c>
      <c r="H353" t="s">
        <v>4600</v>
      </c>
      <c r="I353">
        <v>1</v>
      </c>
      <c r="J353" t="s">
        <v>4837</v>
      </c>
      <c r="K353">
        <v>0.1</v>
      </c>
      <c r="L353">
        <v>13.27</v>
      </c>
      <c r="N353" t="s">
        <v>5474</v>
      </c>
      <c r="O353" t="s">
        <v>5477</v>
      </c>
    </row>
    <row r="354" spans="1:15" x14ac:dyDescent="0.3">
      <c r="A354" t="s">
        <v>363</v>
      </c>
      <c r="B354" t="s">
        <v>1754</v>
      </c>
      <c r="C354" t="s">
        <v>2725</v>
      </c>
      <c r="D354" t="s">
        <v>3587</v>
      </c>
      <c r="E354" t="s">
        <v>4550</v>
      </c>
      <c r="F354" t="s">
        <v>4573</v>
      </c>
      <c r="G354" t="s">
        <v>4587</v>
      </c>
      <c r="H354" t="s">
        <v>4600</v>
      </c>
      <c r="I354">
        <v>10</v>
      </c>
      <c r="J354">
        <v>12.82</v>
      </c>
      <c r="K354">
        <v>0</v>
      </c>
      <c r="L354">
        <v>2.4700000000000002</v>
      </c>
      <c r="M354" t="s">
        <v>5463</v>
      </c>
      <c r="N354" t="s">
        <v>5471</v>
      </c>
      <c r="O354" t="s">
        <v>5477</v>
      </c>
    </row>
    <row r="355" spans="1:15" x14ac:dyDescent="0.3">
      <c r="A355" t="s">
        <v>364</v>
      </c>
      <c r="B355" t="s">
        <v>1533</v>
      </c>
      <c r="C355" t="s">
        <v>2819</v>
      </c>
      <c r="D355" t="s">
        <v>3588</v>
      </c>
      <c r="E355" t="s">
        <v>4550</v>
      </c>
      <c r="F355" t="s">
        <v>4574</v>
      </c>
      <c r="G355" t="s">
        <v>4584</v>
      </c>
      <c r="H355" t="s">
        <v>4608</v>
      </c>
      <c r="I355">
        <v>2</v>
      </c>
      <c r="J355" t="s">
        <v>4838</v>
      </c>
      <c r="K355">
        <v>0</v>
      </c>
      <c r="L355">
        <v>9.0299999999999994</v>
      </c>
      <c r="M355" t="s">
        <v>5465</v>
      </c>
      <c r="N355" t="s">
        <v>5474</v>
      </c>
      <c r="O355" t="s">
        <v>5477</v>
      </c>
    </row>
    <row r="356" spans="1:15" x14ac:dyDescent="0.3">
      <c r="A356" t="s">
        <v>365</v>
      </c>
      <c r="B356" t="s">
        <v>1755</v>
      </c>
      <c r="C356" t="s">
        <v>2886</v>
      </c>
      <c r="D356" t="s">
        <v>3589</v>
      </c>
      <c r="E356" t="s">
        <v>4557</v>
      </c>
      <c r="F356" t="s">
        <v>4572</v>
      </c>
      <c r="G356" t="s">
        <v>4586</v>
      </c>
      <c r="H356" t="s">
        <v>4593</v>
      </c>
      <c r="I356">
        <v>10</v>
      </c>
      <c r="J356" t="s">
        <v>4839</v>
      </c>
      <c r="L356">
        <v>6.27</v>
      </c>
      <c r="M356" t="s">
        <v>5464</v>
      </c>
      <c r="O356" t="s">
        <v>5475</v>
      </c>
    </row>
    <row r="357" spans="1:15" x14ac:dyDescent="0.3">
      <c r="A357" t="s">
        <v>366</v>
      </c>
      <c r="B357" t="s">
        <v>1756</v>
      </c>
      <c r="C357" t="s">
        <v>2850</v>
      </c>
      <c r="D357" t="s">
        <v>3590</v>
      </c>
      <c r="E357" t="s">
        <v>4561</v>
      </c>
      <c r="F357" t="s">
        <v>4581</v>
      </c>
      <c r="G357" t="s">
        <v>4587</v>
      </c>
      <c r="H357" t="s">
        <v>4606</v>
      </c>
      <c r="I357">
        <v>2</v>
      </c>
      <c r="J357" t="s">
        <v>4840</v>
      </c>
      <c r="K357" t="s">
        <v>5460</v>
      </c>
      <c r="L357">
        <v>5.64</v>
      </c>
      <c r="M357" t="s">
        <v>5468</v>
      </c>
      <c r="N357" t="s">
        <v>5472</v>
      </c>
      <c r="O357" t="s">
        <v>5477</v>
      </c>
    </row>
    <row r="358" spans="1:15" x14ac:dyDescent="0.3">
      <c r="A358" t="s">
        <v>367</v>
      </c>
      <c r="B358" t="s">
        <v>1757</v>
      </c>
      <c r="C358" t="s">
        <v>2894</v>
      </c>
      <c r="D358" t="s">
        <v>3591</v>
      </c>
      <c r="E358" t="s">
        <v>4568</v>
      </c>
      <c r="F358" t="s">
        <v>4577</v>
      </c>
      <c r="G358" t="s">
        <v>4584</v>
      </c>
      <c r="H358" t="s">
        <v>4603</v>
      </c>
      <c r="I358">
        <v>-1</v>
      </c>
      <c r="J358" t="s">
        <v>4841</v>
      </c>
      <c r="K358">
        <v>0.1</v>
      </c>
      <c r="L358">
        <v>13.77</v>
      </c>
      <c r="M358" t="s">
        <v>5468</v>
      </c>
      <c r="N358" t="s">
        <v>5471</v>
      </c>
      <c r="O358" t="s">
        <v>5476</v>
      </c>
    </row>
    <row r="359" spans="1:15" x14ac:dyDescent="0.3">
      <c r="A359" t="s">
        <v>368</v>
      </c>
      <c r="B359" t="s">
        <v>1758</v>
      </c>
      <c r="C359" t="s">
        <v>2895</v>
      </c>
      <c r="D359" t="s">
        <v>3592</v>
      </c>
      <c r="E359" t="s">
        <v>4553</v>
      </c>
      <c r="F359" t="s">
        <v>4577</v>
      </c>
      <c r="G359" t="s">
        <v>4584</v>
      </c>
      <c r="H359" t="s">
        <v>4589</v>
      </c>
      <c r="I359">
        <v>2</v>
      </c>
      <c r="J359">
        <v>35.130000000000003</v>
      </c>
      <c r="K359">
        <v>0.1</v>
      </c>
      <c r="L359">
        <v>4.96</v>
      </c>
      <c r="M359" t="s">
        <v>5462</v>
      </c>
      <c r="N359" t="s">
        <v>5473</v>
      </c>
      <c r="O359" t="s">
        <v>5477</v>
      </c>
    </row>
    <row r="360" spans="1:15" x14ac:dyDescent="0.3">
      <c r="A360" t="s">
        <v>369</v>
      </c>
      <c r="B360" t="s">
        <v>1759</v>
      </c>
      <c r="C360" t="s">
        <v>2896</v>
      </c>
      <c r="E360" t="s">
        <v>4571</v>
      </c>
      <c r="F360" t="s">
        <v>4578</v>
      </c>
      <c r="G360" t="s">
        <v>4587</v>
      </c>
      <c r="H360" t="s">
        <v>4596</v>
      </c>
      <c r="I360">
        <v>5</v>
      </c>
      <c r="J360" t="s">
        <v>4842</v>
      </c>
      <c r="K360" t="s">
        <v>5460</v>
      </c>
      <c r="L360">
        <v>5.88</v>
      </c>
      <c r="M360" t="s">
        <v>5465</v>
      </c>
      <c r="N360" t="s">
        <v>5469</v>
      </c>
      <c r="O360" t="s">
        <v>5477</v>
      </c>
    </row>
    <row r="361" spans="1:15" x14ac:dyDescent="0.3">
      <c r="A361" t="s">
        <v>370</v>
      </c>
      <c r="B361" t="s">
        <v>1636</v>
      </c>
      <c r="C361" t="s">
        <v>2897</v>
      </c>
      <c r="D361" t="s">
        <v>3593</v>
      </c>
      <c r="E361" t="s">
        <v>4549</v>
      </c>
      <c r="F361" t="s">
        <v>4573</v>
      </c>
      <c r="G361" t="s">
        <v>4584</v>
      </c>
      <c r="H361" t="s">
        <v>4608</v>
      </c>
      <c r="I361">
        <v>3</v>
      </c>
      <c r="J361" t="s">
        <v>4843</v>
      </c>
      <c r="K361">
        <v>0.1</v>
      </c>
      <c r="L361">
        <v>7.75</v>
      </c>
      <c r="M361" t="s">
        <v>5468</v>
      </c>
      <c r="N361" t="s">
        <v>5473</v>
      </c>
      <c r="O361" t="s">
        <v>5478</v>
      </c>
    </row>
    <row r="362" spans="1:15" x14ac:dyDescent="0.3">
      <c r="A362" t="s">
        <v>371</v>
      </c>
      <c r="B362" t="s">
        <v>1760</v>
      </c>
      <c r="C362" t="s">
        <v>2626</v>
      </c>
      <c r="D362" t="s">
        <v>3594</v>
      </c>
      <c r="E362" t="s">
        <v>4554</v>
      </c>
      <c r="F362" t="s">
        <v>4574</v>
      </c>
      <c r="G362" t="s">
        <v>4584</v>
      </c>
      <c r="H362" t="s">
        <v>4595</v>
      </c>
      <c r="I362">
        <v>3</v>
      </c>
      <c r="J362" t="s">
        <v>4844</v>
      </c>
      <c r="K362">
        <v>0</v>
      </c>
      <c r="L362">
        <v>3.32</v>
      </c>
      <c r="M362" t="s">
        <v>5467</v>
      </c>
      <c r="N362" t="s">
        <v>5469</v>
      </c>
      <c r="O362" t="s">
        <v>5476</v>
      </c>
    </row>
    <row r="363" spans="1:15" x14ac:dyDescent="0.3">
      <c r="A363" t="s">
        <v>372</v>
      </c>
      <c r="B363" t="s">
        <v>1761</v>
      </c>
      <c r="C363" t="s">
        <v>2898</v>
      </c>
      <c r="D363" t="s">
        <v>3595</v>
      </c>
      <c r="E363" t="s">
        <v>4552</v>
      </c>
      <c r="F363" t="s">
        <v>4579</v>
      </c>
      <c r="G363" t="s">
        <v>4586</v>
      </c>
      <c r="H363" t="s">
        <v>4599</v>
      </c>
      <c r="I363">
        <v>1</v>
      </c>
      <c r="J363" t="s">
        <v>4845</v>
      </c>
      <c r="K363" t="s">
        <v>5460</v>
      </c>
      <c r="L363">
        <v>8.6999999999999993</v>
      </c>
      <c r="M363" t="s">
        <v>5466</v>
      </c>
      <c r="N363" t="s">
        <v>5474</v>
      </c>
      <c r="O363" t="s">
        <v>5480</v>
      </c>
    </row>
    <row r="364" spans="1:15" x14ac:dyDescent="0.3">
      <c r="A364" t="s">
        <v>373</v>
      </c>
      <c r="B364" t="s">
        <v>1762</v>
      </c>
      <c r="C364" t="s">
        <v>2899</v>
      </c>
      <c r="D364" t="s">
        <v>3596</v>
      </c>
      <c r="E364" t="s">
        <v>4565</v>
      </c>
      <c r="F364" t="s">
        <v>4576</v>
      </c>
      <c r="G364" t="s">
        <v>4584</v>
      </c>
      <c r="H364" t="s">
        <v>4607</v>
      </c>
      <c r="I364">
        <v>-1</v>
      </c>
      <c r="J364">
        <v>26.15</v>
      </c>
      <c r="K364">
        <v>0</v>
      </c>
      <c r="L364">
        <v>8.59</v>
      </c>
      <c r="M364" t="s">
        <v>5467</v>
      </c>
      <c r="N364" t="s">
        <v>5470</v>
      </c>
      <c r="O364" t="s">
        <v>5477</v>
      </c>
    </row>
    <row r="365" spans="1:15" x14ac:dyDescent="0.3">
      <c r="A365" t="s">
        <v>374</v>
      </c>
      <c r="B365" t="s">
        <v>1763</v>
      </c>
      <c r="C365" t="s">
        <v>2900</v>
      </c>
      <c r="D365" t="s">
        <v>3597</v>
      </c>
      <c r="E365" t="s">
        <v>4556</v>
      </c>
      <c r="F365" t="s">
        <v>4575</v>
      </c>
      <c r="G365" t="s">
        <v>4586</v>
      </c>
      <c r="H365" t="s">
        <v>4599</v>
      </c>
      <c r="I365">
        <v>2</v>
      </c>
      <c r="J365" t="s">
        <v>4846</v>
      </c>
      <c r="K365" t="s">
        <v>5460</v>
      </c>
      <c r="L365">
        <v>7.64</v>
      </c>
      <c r="N365" t="s">
        <v>5473</v>
      </c>
      <c r="O365" t="s">
        <v>5477</v>
      </c>
    </row>
    <row r="366" spans="1:15" x14ac:dyDescent="0.3">
      <c r="A366" t="s">
        <v>375</v>
      </c>
      <c r="B366" t="s">
        <v>1608</v>
      </c>
      <c r="C366" t="s">
        <v>2901</v>
      </c>
      <c r="D366" t="s">
        <v>3598</v>
      </c>
      <c r="E366" t="s">
        <v>4562</v>
      </c>
      <c r="F366" t="s">
        <v>4579</v>
      </c>
      <c r="G366" t="s">
        <v>4586</v>
      </c>
      <c r="H366" t="s">
        <v>4599</v>
      </c>
      <c r="I366">
        <v>4</v>
      </c>
      <c r="J366" t="s">
        <v>4847</v>
      </c>
      <c r="K366">
        <v>0.15</v>
      </c>
      <c r="L366">
        <v>9.64</v>
      </c>
      <c r="M366" t="s">
        <v>5465</v>
      </c>
      <c r="N366" t="s">
        <v>5474</v>
      </c>
      <c r="O366" t="s">
        <v>5477</v>
      </c>
    </row>
    <row r="367" spans="1:15" x14ac:dyDescent="0.3">
      <c r="A367" t="s">
        <v>376</v>
      </c>
      <c r="B367" t="s">
        <v>1764</v>
      </c>
      <c r="C367" t="s">
        <v>2902</v>
      </c>
      <c r="D367" t="s">
        <v>3599</v>
      </c>
      <c r="E367" t="s">
        <v>4555</v>
      </c>
      <c r="F367" t="s">
        <v>4573</v>
      </c>
      <c r="G367" t="s">
        <v>4584</v>
      </c>
      <c r="H367" t="s">
        <v>4608</v>
      </c>
      <c r="I367">
        <v>3</v>
      </c>
      <c r="J367" t="s">
        <v>4848</v>
      </c>
      <c r="K367">
        <v>0</v>
      </c>
      <c r="L367">
        <v>0.81</v>
      </c>
      <c r="M367" t="s">
        <v>5468</v>
      </c>
      <c r="O367" t="s">
        <v>5477</v>
      </c>
    </row>
    <row r="368" spans="1:15" x14ac:dyDescent="0.3">
      <c r="A368" t="s">
        <v>377</v>
      </c>
      <c r="B368" t="s">
        <v>1765</v>
      </c>
      <c r="C368" t="s">
        <v>2830</v>
      </c>
      <c r="D368" t="s">
        <v>3600</v>
      </c>
      <c r="E368" t="s">
        <v>4551</v>
      </c>
      <c r="F368" t="s">
        <v>4575</v>
      </c>
      <c r="G368" t="s">
        <v>4584</v>
      </c>
      <c r="H368" t="s">
        <v>4608</v>
      </c>
      <c r="I368">
        <v>10</v>
      </c>
      <c r="J368">
        <v>18.329999999999998</v>
      </c>
      <c r="K368">
        <v>0</v>
      </c>
      <c r="L368">
        <v>7.26</v>
      </c>
      <c r="M368" t="s">
        <v>5464</v>
      </c>
      <c r="O368" t="s">
        <v>5477</v>
      </c>
    </row>
    <row r="369" spans="1:15" x14ac:dyDescent="0.3">
      <c r="A369" t="s">
        <v>378</v>
      </c>
      <c r="B369" t="s">
        <v>1766</v>
      </c>
      <c r="C369" t="s">
        <v>2903</v>
      </c>
      <c r="D369" t="s">
        <v>3601</v>
      </c>
      <c r="E369" t="s">
        <v>4557</v>
      </c>
      <c r="F369" t="s">
        <v>4572</v>
      </c>
      <c r="G369" t="s">
        <v>4585</v>
      </c>
      <c r="H369" t="s">
        <v>4602</v>
      </c>
      <c r="I369">
        <v>1</v>
      </c>
      <c r="J369" t="s">
        <v>4768</v>
      </c>
      <c r="K369" t="s">
        <v>5460</v>
      </c>
      <c r="L369">
        <v>13.1</v>
      </c>
      <c r="M369" t="s">
        <v>5466</v>
      </c>
      <c r="N369" t="s">
        <v>5470</v>
      </c>
      <c r="O369" t="s">
        <v>5478</v>
      </c>
    </row>
    <row r="370" spans="1:15" x14ac:dyDescent="0.3">
      <c r="A370" t="s">
        <v>379</v>
      </c>
      <c r="B370" t="s">
        <v>1767</v>
      </c>
      <c r="C370" t="s">
        <v>2828</v>
      </c>
      <c r="D370" t="s">
        <v>3602</v>
      </c>
      <c r="E370" t="s">
        <v>4556</v>
      </c>
      <c r="F370" t="s">
        <v>4576</v>
      </c>
      <c r="G370" t="s">
        <v>4584</v>
      </c>
      <c r="H370" t="s">
        <v>4589</v>
      </c>
      <c r="I370">
        <v>5</v>
      </c>
      <c r="J370" t="s">
        <v>4849</v>
      </c>
      <c r="L370">
        <v>8.16</v>
      </c>
      <c r="N370" t="s">
        <v>5473</v>
      </c>
      <c r="O370" t="s">
        <v>5478</v>
      </c>
    </row>
    <row r="371" spans="1:15" x14ac:dyDescent="0.3">
      <c r="A371" t="s">
        <v>380</v>
      </c>
      <c r="B371" t="s">
        <v>1768</v>
      </c>
      <c r="C371" t="s">
        <v>2904</v>
      </c>
      <c r="D371" t="s">
        <v>3603</v>
      </c>
      <c r="E371" t="s">
        <v>4560</v>
      </c>
      <c r="F371" t="s">
        <v>4573</v>
      </c>
      <c r="G371" t="s">
        <v>4587</v>
      </c>
      <c r="H371" t="s">
        <v>4606</v>
      </c>
      <c r="I371">
        <v>10</v>
      </c>
      <c r="J371" t="s">
        <v>4850</v>
      </c>
      <c r="L371">
        <v>12.41</v>
      </c>
      <c r="M371" t="s">
        <v>5464</v>
      </c>
      <c r="N371" t="s">
        <v>5473</v>
      </c>
      <c r="O371" t="s">
        <v>5479</v>
      </c>
    </row>
    <row r="372" spans="1:15" x14ac:dyDescent="0.3">
      <c r="A372" t="s">
        <v>381</v>
      </c>
      <c r="B372" t="s">
        <v>1524</v>
      </c>
      <c r="C372" t="s">
        <v>2905</v>
      </c>
      <c r="D372" t="s">
        <v>3604</v>
      </c>
      <c r="E372" t="s">
        <v>4562</v>
      </c>
      <c r="F372" t="s">
        <v>4579</v>
      </c>
      <c r="G372" t="s">
        <v>4586</v>
      </c>
      <c r="H372" t="s">
        <v>4599</v>
      </c>
      <c r="I372">
        <v>5</v>
      </c>
      <c r="J372" t="s">
        <v>4851</v>
      </c>
      <c r="K372" t="s">
        <v>5460</v>
      </c>
      <c r="L372">
        <v>6.24</v>
      </c>
      <c r="M372" t="s">
        <v>5465</v>
      </c>
      <c r="N372" t="s">
        <v>5472</v>
      </c>
      <c r="O372" t="s">
        <v>5480</v>
      </c>
    </row>
    <row r="373" spans="1:15" x14ac:dyDescent="0.3">
      <c r="A373" t="s">
        <v>382</v>
      </c>
      <c r="B373" t="s">
        <v>1769</v>
      </c>
      <c r="C373" t="s">
        <v>2680</v>
      </c>
      <c r="D373" t="s">
        <v>3605</v>
      </c>
      <c r="E373" t="s">
        <v>4558</v>
      </c>
      <c r="F373" t="s">
        <v>4581</v>
      </c>
      <c r="G373" t="s">
        <v>4587</v>
      </c>
      <c r="H373" t="s">
        <v>4596</v>
      </c>
      <c r="I373">
        <v>1</v>
      </c>
      <c r="J373" t="s">
        <v>4852</v>
      </c>
      <c r="K373" t="s">
        <v>5460</v>
      </c>
      <c r="L373">
        <v>3.97</v>
      </c>
      <c r="M373" t="s">
        <v>5466</v>
      </c>
      <c r="N373" t="s">
        <v>5473</v>
      </c>
      <c r="O373" t="s">
        <v>5475</v>
      </c>
    </row>
    <row r="374" spans="1:15" x14ac:dyDescent="0.3">
      <c r="A374" t="s">
        <v>383</v>
      </c>
      <c r="B374" t="s">
        <v>1770</v>
      </c>
      <c r="C374" t="s">
        <v>2774</v>
      </c>
      <c r="D374" t="s">
        <v>3606</v>
      </c>
      <c r="E374" t="s">
        <v>4550</v>
      </c>
      <c r="F374" t="s">
        <v>4574</v>
      </c>
      <c r="G374" t="s">
        <v>4587</v>
      </c>
      <c r="H374" t="s">
        <v>4600</v>
      </c>
      <c r="I374">
        <v>2</v>
      </c>
      <c r="J374" t="s">
        <v>4853</v>
      </c>
      <c r="K374">
        <v>0.15</v>
      </c>
      <c r="L374">
        <v>0</v>
      </c>
      <c r="M374" t="s">
        <v>5465</v>
      </c>
      <c r="N374" t="s">
        <v>5471</v>
      </c>
      <c r="O374" t="s">
        <v>5477</v>
      </c>
    </row>
    <row r="375" spans="1:15" x14ac:dyDescent="0.3">
      <c r="A375" t="s">
        <v>384</v>
      </c>
      <c r="B375" t="s">
        <v>1771</v>
      </c>
      <c r="C375" t="s">
        <v>2906</v>
      </c>
      <c r="D375" t="s">
        <v>3607</v>
      </c>
      <c r="E375" t="s">
        <v>4564</v>
      </c>
      <c r="F375" t="s">
        <v>4573</v>
      </c>
      <c r="G375" t="s">
        <v>4583</v>
      </c>
      <c r="H375" t="s">
        <v>4610</v>
      </c>
      <c r="I375">
        <v>1</v>
      </c>
      <c r="J375">
        <v>82.91</v>
      </c>
      <c r="K375">
        <v>0.05</v>
      </c>
      <c r="L375">
        <v>5.99</v>
      </c>
      <c r="M375" t="s">
        <v>5464</v>
      </c>
      <c r="N375" t="s">
        <v>5471</v>
      </c>
      <c r="O375" t="s">
        <v>5477</v>
      </c>
    </row>
    <row r="376" spans="1:15" x14ac:dyDescent="0.3">
      <c r="A376" t="s">
        <v>385</v>
      </c>
      <c r="B376" t="s">
        <v>1772</v>
      </c>
      <c r="C376" t="s">
        <v>2709</v>
      </c>
      <c r="E376" t="s">
        <v>4552</v>
      </c>
      <c r="G376" t="s">
        <v>4584</v>
      </c>
      <c r="H376" t="s">
        <v>4608</v>
      </c>
      <c r="I376">
        <v>4</v>
      </c>
      <c r="J376">
        <v>18.670000000000002</v>
      </c>
      <c r="L376">
        <v>0.82</v>
      </c>
      <c r="M376" t="s">
        <v>5467</v>
      </c>
      <c r="N376" t="s">
        <v>5473</v>
      </c>
      <c r="O376" t="s">
        <v>5477</v>
      </c>
    </row>
    <row r="377" spans="1:15" x14ac:dyDescent="0.3">
      <c r="A377" t="s">
        <v>386</v>
      </c>
      <c r="B377" t="s">
        <v>1773</v>
      </c>
      <c r="C377" t="s">
        <v>2807</v>
      </c>
      <c r="D377" t="s">
        <v>3608</v>
      </c>
      <c r="E377" t="s">
        <v>4565</v>
      </c>
      <c r="F377" t="s">
        <v>4579</v>
      </c>
      <c r="G377" t="s">
        <v>4583</v>
      </c>
      <c r="H377" t="s">
        <v>4588</v>
      </c>
      <c r="I377">
        <v>2</v>
      </c>
      <c r="J377" t="s">
        <v>4854</v>
      </c>
      <c r="K377">
        <v>0</v>
      </c>
      <c r="L377">
        <v>1.98</v>
      </c>
      <c r="M377" t="s">
        <v>5466</v>
      </c>
      <c r="N377" t="s">
        <v>5473</v>
      </c>
      <c r="O377" t="s">
        <v>5477</v>
      </c>
    </row>
    <row r="378" spans="1:15" x14ac:dyDescent="0.3">
      <c r="A378" t="s">
        <v>387</v>
      </c>
      <c r="B378" t="s">
        <v>1774</v>
      </c>
      <c r="C378" t="s">
        <v>2694</v>
      </c>
      <c r="D378" t="s">
        <v>3609</v>
      </c>
      <c r="E378" t="s">
        <v>4564</v>
      </c>
      <c r="F378" t="s">
        <v>4578</v>
      </c>
      <c r="G378" t="s">
        <v>4583</v>
      </c>
      <c r="H378" t="s">
        <v>4588</v>
      </c>
      <c r="I378">
        <v>-1</v>
      </c>
      <c r="J378" t="s">
        <v>4855</v>
      </c>
      <c r="L378">
        <v>9.76</v>
      </c>
      <c r="M378" t="s">
        <v>5463</v>
      </c>
      <c r="N378" t="s">
        <v>5473</v>
      </c>
      <c r="O378" t="s">
        <v>5478</v>
      </c>
    </row>
    <row r="379" spans="1:15" x14ac:dyDescent="0.3">
      <c r="A379" t="s">
        <v>388</v>
      </c>
      <c r="B379" t="s">
        <v>1775</v>
      </c>
      <c r="C379" t="s">
        <v>2907</v>
      </c>
      <c r="D379" t="s">
        <v>3610</v>
      </c>
      <c r="E379" t="s">
        <v>4554</v>
      </c>
      <c r="F379" t="s">
        <v>4573</v>
      </c>
      <c r="G379" t="s">
        <v>4585</v>
      </c>
      <c r="H379" t="s">
        <v>4598</v>
      </c>
      <c r="I379">
        <v>1</v>
      </c>
      <c r="J379" t="s">
        <v>4856</v>
      </c>
      <c r="K379">
        <v>0.15</v>
      </c>
      <c r="L379">
        <v>6.23</v>
      </c>
      <c r="N379" t="s">
        <v>5473</v>
      </c>
      <c r="O379" t="s">
        <v>5477</v>
      </c>
    </row>
    <row r="380" spans="1:15" x14ac:dyDescent="0.3">
      <c r="A380" t="s">
        <v>389</v>
      </c>
      <c r="B380" t="s">
        <v>1776</v>
      </c>
      <c r="C380" t="s">
        <v>2765</v>
      </c>
      <c r="D380" t="s">
        <v>3611</v>
      </c>
      <c r="E380" t="s">
        <v>4567</v>
      </c>
      <c r="F380" t="s">
        <v>4573</v>
      </c>
      <c r="G380" t="s">
        <v>4584</v>
      </c>
      <c r="H380" t="s">
        <v>4608</v>
      </c>
      <c r="I380">
        <v>1</v>
      </c>
      <c r="J380">
        <v>19.05</v>
      </c>
      <c r="L380">
        <v>3.49</v>
      </c>
      <c r="M380" t="s">
        <v>5463</v>
      </c>
      <c r="O380" t="s">
        <v>5475</v>
      </c>
    </row>
    <row r="381" spans="1:15" x14ac:dyDescent="0.3">
      <c r="A381" t="s">
        <v>390</v>
      </c>
      <c r="B381" t="s">
        <v>1777</v>
      </c>
      <c r="C381" t="s">
        <v>2807</v>
      </c>
      <c r="D381" t="s">
        <v>3612</v>
      </c>
      <c r="E381" t="s">
        <v>4559</v>
      </c>
      <c r="F381" t="s">
        <v>4573</v>
      </c>
      <c r="G381" t="s">
        <v>4584</v>
      </c>
      <c r="H381" t="s">
        <v>4607</v>
      </c>
      <c r="I381">
        <v>2</v>
      </c>
      <c r="J381" t="s">
        <v>4857</v>
      </c>
      <c r="K381">
        <v>0</v>
      </c>
      <c r="L381">
        <v>8.06</v>
      </c>
      <c r="M381" t="s">
        <v>5464</v>
      </c>
      <c r="N381" t="s">
        <v>5472</v>
      </c>
      <c r="O381" t="s">
        <v>5477</v>
      </c>
    </row>
    <row r="382" spans="1:15" x14ac:dyDescent="0.3">
      <c r="A382" t="s">
        <v>391</v>
      </c>
      <c r="B382" t="s">
        <v>1778</v>
      </c>
      <c r="C382" t="s">
        <v>2908</v>
      </c>
      <c r="D382" t="s">
        <v>3613</v>
      </c>
      <c r="E382" t="s">
        <v>4565</v>
      </c>
      <c r="F382" t="s">
        <v>4575</v>
      </c>
      <c r="G382" t="s">
        <v>4583</v>
      </c>
      <c r="H382" t="s">
        <v>4610</v>
      </c>
      <c r="I382">
        <v>1</v>
      </c>
      <c r="J382" t="s">
        <v>4858</v>
      </c>
      <c r="K382">
        <v>0.05</v>
      </c>
      <c r="L382">
        <v>2.09</v>
      </c>
      <c r="M382" t="s">
        <v>5468</v>
      </c>
      <c r="O382" t="s">
        <v>5475</v>
      </c>
    </row>
    <row r="383" spans="1:15" x14ac:dyDescent="0.3">
      <c r="A383" t="s">
        <v>392</v>
      </c>
      <c r="B383" t="s">
        <v>1779</v>
      </c>
      <c r="C383" t="s">
        <v>2909</v>
      </c>
      <c r="D383" t="s">
        <v>3614</v>
      </c>
      <c r="E383" t="s">
        <v>4562</v>
      </c>
      <c r="G383" t="s">
        <v>4583</v>
      </c>
      <c r="H383" t="s">
        <v>4605</v>
      </c>
      <c r="I383">
        <v>10</v>
      </c>
      <c r="J383" t="s">
        <v>4859</v>
      </c>
      <c r="K383">
        <v>0.05</v>
      </c>
      <c r="L383">
        <v>7.33</v>
      </c>
      <c r="O383" t="s">
        <v>5477</v>
      </c>
    </row>
    <row r="384" spans="1:15" x14ac:dyDescent="0.3">
      <c r="A384" t="s">
        <v>393</v>
      </c>
      <c r="B384" t="s">
        <v>1780</v>
      </c>
      <c r="C384" t="s">
        <v>2910</v>
      </c>
      <c r="D384" t="s">
        <v>3615</v>
      </c>
      <c r="E384" t="s">
        <v>4557</v>
      </c>
      <c r="F384" t="s">
        <v>4581</v>
      </c>
      <c r="G384" t="s">
        <v>4587</v>
      </c>
      <c r="H384" t="s">
        <v>4596</v>
      </c>
      <c r="I384">
        <v>10</v>
      </c>
      <c r="J384">
        <v>15.07</v>
      </c>
      <c r="K384">
        <v>0</v>
      </c>
      <c r="L384">
        <v>7.22</v>
      </c>
      <c r="M384" t="s">
        <v>5463</v>
      </c>
      <c r="O384" t="s">
        <v>5477</v>
      </c>
    </row>
    <row r="385" spans="1:15" x14ac:dyDescent="0.3">
      <c r="A385" t="s">
        <v>394</v>
      </c>
      <c r="B385" t="s">
        <v>1781</v>
      </c>
      <c r="C385" t="s">
        <v>2911</v>
      </c>
      <c r="D385" t="s">
        <v>3616</v>
      </c>
      <c r="E385" t="s">
        <v>4561</v>
      </c>
      <c r="F385" t="s">
        <v>4581</v>
      </c>
      <c r="G385" t="s">
        <v>4583</v>
      </c>
      <c r="H385" t="s">
        <v>4610</v>
      </c>
      <c r="I385">
        <v>2</v>
      </c>
      <c r="J385" t="s">
        <v>4860</v>
      </c>
      <c r="K385" t="s">
        <v>5460</v>
      </c>
      <c r="L385">
        <v>10.46</v>
      </c>
      <c r="M385" t="s">
        <v>5468</v>
      </c>
      <c r="N385" t="s">
        <v>5474</v>
      </c>
      <c r="O385" t="s">
        <v>5476</v>
      </c>
    </row>
    <row r="386" spans="1:15" x14ac:dyDescent="0.3">
      <c r="A386" t="s">
        <v>395</v>
      </c>
      <c r="B386" t="s">
        <v>1782</v>
      </c>
      <c r="C386" t="s">
        <v>2912</v>
      </c>
      <c r="D386" t="s">
        <v>3617</v>
      </c>
      <c r="E386" t="s">
        <v>4549</v>
      </c>
      <c r="F386" t="s">
        <v>4574</v>
      </c>
      <c r="G386" t="s">
        <v>4586</v>
      </c>
      <c r="H386" t="s">
        <v>4599</v>
      </c>
      <c r="I386">
        <v>1</v>
      </c>
      <c r="J386" t="s">
        <v>4861</v>
      </c>
      <c r="K386" t="s">
        <v>5460</v>
      </c>
      <c r="N386" t="s">
        <v>5469</v>
      </c>
      <c r="O386" t="s">
        <v>5480</v>
      </c>
    </row>
    <row r="387" spans="1:15" x14ac:dyDescent="0.3">
      <c r="A387" t="s">
        <v>396</v>
      </c>
      <c r="B387" t="s">
        <v>1783</v>
      </c>
      <c r="C387" t="s">
        <v>2913</v>
      </c>
      <c r="D387" t="s">
        <v>3618</v>
      </c>
      <c r="E387" t="s">
        <v>4550</v>
      </c>
      <c r="F387" t="s">
        <v>4573</v>
      </c>
      <c r="G387" t="s">
        <v>4584</v>
      </c>
      <c r="H387" t="s">
        <v>4603</v>
      </c>
      <c r="I387">
        <v>4</v>
      </c>
      <c r="J387" t="s">
        <v>4862</v>
      </c>
      <c r="K387">
        <v>0.1</v>
      </c>
      <c r="L387">
        <v>7.87</v>
      </c>
      <c r="M387" t="s">
        <v>5462</v>
      </c>
      <c r="N387" t="s">
        <v>5474</v>
      </c>
      <c r="O387" t="s">
        <v>5477</v>
      </c>
    </row>
    <row r="388" spans="1:15" x14ac:dyDescent="0.3">
      <c r="A388" t="s">
        <v>397</v>
      </c>
      <c r="B388" t="s">
        <v>1784</v>
      </c>
      <c r="C388" t="s">
        <v>2670</v>
      </c>
      <c r="D388" t="s">
        <v>3619</v>
      </c>
      <c r="E388" t="s">
        <v>4558</v>
      </c>
      <c r="F388" t="s">
        <v>4572</v>
      </c>
      <c r="G388" t="s">
        <v>4584</v>
      </c>
      <c r="H388" t="s">
        <v>4603</v>
      </c>
      <c r="I388">
        <v>1</v>
      </c>
      <c r="J388" t="s">
        <v>4863</v>
      </c>
      <c r="K388">
        <v>0.05</v>
      </c>
      <c r="L388">
        <v>5.53</v>
      </c>
      <c r="M388" t="s">
        <v>5462</v>
      </c>
      <c r="N388" t="s">
        <v>5470</v>
      </c>
      <c r="O388" t="s">
        <v>5477</v>
      </c>
    </row>
    <row r="389" spans="1:15" x14ac:dyDescent="0.3">
      <c r="A389" t="s">
        <v>398</v>
      </c>
      <c r="B389" t="s">
        <v>1785</v>
      </c>
      <c r="C389" t="s">
        <v>2914</v>
      </c>
      <c r="D389" t="s">
        <v>3620</v>
      </c>
      <c r="E389" t="s">
        <v>4568</v>
      </c>
      <c r="F389" t="s">
        <v>4573</v>
      </c>
      <c r="G389" t="s">
        <v>4584</v>
      </c>
      <c r="H389" t="s">
        <v>4607</v>
      </c>
      <c r="I389">
        <v>3</v>
      </c>
      <c r="J389" t="s">
        <v>4864</v>
      </c>
      <c r="K389" t="s">
        <v>5461</v>
      </c>
      <c r="L389">
        <v>6.04</v>
      </c>
      <c r="M389" t="s">
        <v>5466</v>
      </c>
      <c r="N389" t="s">
        <v>5473</v>
      </c>
      <c r="O389" t="s">
        <v>5478</v>
      </c>
    </row>
    <row r="390" spans="1:15" x14ac:dyDescent="0.3">
      <c r="A390" t="s">
        <v>399</v>
      </c>
      <c r="B390" t="s">
        <v>1786</v>
      </c>
      <c r="C390" t="s">
        <v>2713</v>
      </c>
      <c r="D390" t="s">
        <v>3621</v>
      </c>
      <c r="E390" t="s">
        <v>4570</v>
      </c>
      <c r="F390" t="s">
        <v>4573</v>
      </c>
      <c r="G390" t="s">
        <v>4583</v>
      </c>
      <c r="H390" t="s">
        <v>4588</v>
      </c>
      <c r="I390">
        <v>2</v>
      </c>
      <c r="J390" t="s">
        <v>4865</v>
      </c>
      <c r="K390">
        <v>0</v>
      </c>
      <c r="L390">
        <v>10.01</v>
      </c>
      <c r="M390" t="s">
        <v>5464</v>
      </c>
      <c r="N390" t="s">
        <v>5473</v>
      </c>
      <c r="O390" t="s">
        <v>5477</v>
      </c>
    </row>
    <row r="391" spans="1:15" x14ac:dyDescent="0.3">
      <c r="A391" t="s">
        <v>400</v>
      </c>
      <c r="B391" t="s">
        <v>1787</v>
      </c>
      <c r="C391" t="s">
        <v>2787</v>
      </c>
      <c r="D391" t="s">
        <v>3622</v>
      </c>
      <c r="E391" t="s">
        <v>4564</v>
      </c>
      <c r="F391" t="s">
        <v>4578</v>
      </c>
      <c r="G391" t="s">
        <v>4585</v>
      </c>
      <c r="H391" t="s">
        <v>4590</v>
      </c>
      <c r="I391">
        <v>3</v>
      </c>
      <c r="J391">
        <v>14.42</v>
      </c>
      <c r="L391">
        <v>6.23</v>
      </c>
      <c r="O391" t="s">
        <v>5478</v>
      </c>
    </row>
    <row r="392" spans="1:15" x14ac:dyDescent="0.3">
      <c r="A392" t="s">
        <v>401</v>
      </c>
      <c r="B392" t="s">
        <v>1788</v>
      </c>
      <c r="C392" t="s">
        <v>2908</v>
      </c>
      <c r="D392" t="s">
        <v>3623</v>
      </c>
      <c r="E392" t="s">
        <v>4559</v>
      </c>
      <c r="F392" t="s">
        <v>4573</v>
      </c>
      <c r="G392" t="s">
        <v>4583</v>
      </c>
      <c r="H392" t="s">
        <v>4588</v>
      </c>
      <c r="I392">
        <v>-1</v>
      </c>
      <c r="J392">
        <v>40.31</v>
      </c>
      <c r="K392">
        <v>0</v>
      </c>
      <c r="L392">
        <v>10.08</v>
      </c>
      <c r="M392" t="s">
        <v>5462</v>
      </c>
      <c r="N392" t="s">
        <v>5473</v>
      </c>
      <c r="O392" t="s">
        <v>5475</v>
      </c>
    </row>
    <row r="393" spans="1:15" x14ac:dyDescent="0.3">
      <c r="A393" t="s">
        <v>402</v>
      </c>
      <c r="B393" t="s">
        <v>1789</v>
      </c>
      <c r="C393" t="s">
        <v>2915</v>
      </c>
      <c r="D393" t="s">
        <v>3624</v>
      </c>
      <c r="E393" t="s">
        <v>4556</v>
      </c>
      <c r="G393" t="s">
        <v>4586</v>
      </c>
      <c r="H393" t="s">
        <v>4599</v>
      </c>
      <c r="I393">
        <v>1</v>
      </c>
      <c r="J393">
        <v>242.75</v>
      </c>
      <c r="K393">
        <v>0.05</v>
      </c>
      <c r="L393">
        <v>3.89</v>
      </c>
      <c r="M393" t="s">
        <v>5464</v>
      </c>
      <c r="O393" t="s">
        <v>5479</v>
      </c>
    </row>
    <row r="395" spans="1:15" x14ac:dyDescent="0.3">
      <c r="A395" t="s">
        <v>403</v>
      </c>
      <c r="B395" t="s">
        <v>1790</v>
      </c>
      <c r="C395" t="s">
        <v>2916</v>
      </c>
      <c r="D395" t="s">
        <v>3625</v>
      </c>
      <c r="E395" t="s">
        <v>4548</v>
      </c>
      <c r="F395" t="s">
        <v>4578</v>
      </c>
      <c r="G395" t="s">
        <v>4586</v>
      </c>
      <c r="H395" t="s">
        <v>4599</v>
      </c>
      <c r="I395">
        <v>3</v>
      </c>
      <c r="J395">
        <v>253.84</v>
      </c>
      <c r="K395" t="s">
        <v>5460</v>
      </c>
      <c r="L395">
        <v>10.17</v>
      </c>
      <c r="M395" t="s">
        <v>5462</v>
      </c>
      <c r="N395" t="s">
        <v>5469</v>
      </c>
      <c r="O395" t="s">
        <v>5476</v>
      </c>
    </row>
    <row r="396" spans="1:15" x14ac:dyDescent="0.3">
      <c r="A396" t="s">
        <v>404</v>
      </c>
      <c r="B396" t="s">
        <v>1791</v>
      </c>
      <c r="C396" t="s">
        <v>2625</v>
      </c>
      <c r="D396" t="s">
        <v>3626</v>
      </c>
      <c r="E396" t="s">
        <v>4557</v>
      </c>
      <c r="F396" t="s">
        <v>4580</v>
      </c>
      <c r="G396" t="s">
        <v>4584</v>
      </c>
      <c r="H396" t="s">
        <v>4601</v>
      </c>
      <c r="I396">
        <v>4</v>
      </c>
      <c r="J396">
        <v>192.92</v>
      </c>
      <c r="K396">
        <v>0.05</v>
      </c>
      <c r="L396">
        <v>11.51</v>
      </c>
      <c r="N396" t="s">
        <v>5469</v>
      </c>
      <c r="O396" t="s">
        <v>5480</v>
      </c>
    </row>
    <row r="397" spans="1:15" x14ac:dyDescent="0.3">
      <c r="A397" t="s">
        <v>405</v>
      </c>
      <c r="B397" t="s">
        <v>1792</v>
      </c>
      <c r="C397" t="s">
        <v>2731</v>
      </c>
      <c r="D397" t="s">
        <v>3627</v>
      </c>
      <c r="E397" t="s">
        <v>4550</v>
      </c>
      <c r="F397" t="s">
        <v>4573</v>
      </c>
      <c r="G397" t="s">
        <v>4587</v>
      </c>
      <c r="H397" t="s">
        <v>4600</v>
      </c>
      <c r="I397">
        <v>2</v>
      </c>
      <c r="J397">
        <v>12.89</v>
      </c>
      <c r="K397">
        <v>0</v>
      </c>
      <c r="L397">
        <v>1.55</v>
      </c>
      <c r="M397" t="s">
        <v>5468</v>
      </c>
      <c r="N397" t="s">
        <v>5470</v>
      </c>
      <c r="O397" t="s">
        <v>5477</v>
      </c>
    </row>
    <row r="398" spans="1:15" x14ac:dyDescent="0.3">
      <c r="A398" t="s">
        <v>406</v>
      </c>
      <c r="B398" t="s">
        <v>1793</v>
      </c>
      <c r="C398" t="s">
        <v>2779</v>
      </c>
      <c r="D398" t="s">
        <v>3628</v>
      </c>
      <c r="E398" t="s">
        <v>4566</v>
      </c>
      <c r="F398" t="s">
        <v>4573</v>
      </c>
      <c r="G398" t="s">
        <v>4585</v>
      </c>
      <c r="H398" t="s">
        <v>4592</v>
      </c>
      <c r="I398">
        <v>4</v>
      </c>
      <c r="J398" t="s">
        <v>4866</v>
      </c>
      <c r="K398">
        <v>0</v>
      </c>
      <c r="L398">
        <v>6.71</v>
      </c>
      <c r="M398" t="s">
        <v>5464</v>
      </c>
      <c r="N398" t="s">
        <v>5471</v>
      </c>
      <c r="O398" t="s">
        <v>5477</v>
      </c>
    </row>
    <row r="399" spans="1:15" x14ac:dyDescent="0.3">
      <c r="A399" t="s">
        <v>407</v>
      </c>
      <c r="B399" t="s">
        <v>1469</v>
      </c>
      <c r="C399" t="s">
        <v>2917</v>
      </c>
      <c r="D399" t="s">
        <v>3629</v>
      </c>
      <c r="E399" t="s">
        <v>4560</v>
      </c>
      <c r="F399" t="s">
        <v>4573</v>
      </c>
      <c r="G399" t="s">
        <v>4585</v>
      </c>
      <c r="H399" t="s">
        <v>4602</v>
      </c>
      <c r="I399">
        <v>2</v>
      </c>
      <c r="J399">
        <v>4.2</v>
      </c>
      <c r="K399">
        <v>0</v>
      </c>
      <c r="L399">
        <v>9.18</v>
      </c>
      <c r="M399" t="s">
        <v>5466</v>
      </c>
      <c r="O399" t="s">
        <v>5479</v>
      </c>
    </row>
    <row r="400" spans="1:15" x14ac:dyDescent="0.3">
      <c r="A400" t="s">
        <v>408</v>
      </c>
      <c r="B400" t="s">
        <v>1794</v>
      </c>
      <c r="C400" t="s">
        <v>2734</v>
      </c>
      <c r="D400" t="s">
        <v>3630</v>
      </c>
      <c r="E400" t="s">
        <v>4550</v>
      </c>
      <c r="F400" t="s">
        <v>4573</v>
      </c>
      <c r="H400" t="s">
        <v>4597</v>
      </c>
      <c r="I400">
        <v>2</v>
      </c>
      <c r="J400" t="s">
        <v>4867</v>
      </c>
      <c r="K400">
        <v>0.15</v>
      </c>
      <c r="L400">
        <v>4.01</v>
      </c>
      <c r="M400" t="s">
        <v>5468</v>
      </c>
      <c r="N400" t="s">
        <v>5474</v>
      </c>
      <c r="O400" t="s">
        <v>5475</v>
      </c>
    </row>
    <row r="401" spans="1:15" x14ac:dyDescent="0.3">
      <c r="A401" t="s">
        <v>409</v>
      </c>
      <c r="B401" t="s">
        <v>1795</v>
      </c>
      <c r="C401" t="s">
        <v>2918</v>
      </c>
      <c r="D401" t="s">
        <v>3631</v>
      </c>
      <c r="E401" t="s">
        <v>4554</v>
      </c>
      <c r="F401" t="s">
        <v>4573</v>
      </c>
      <c r="G401" t="s">
        <v>4586</v>
      </c>
      <c r="H401" t="s">
        <v>4599</v>
      </c>
      <c r="I401">
        <v>10</v>
      </c>
      <c r="J401" t="s">
        <v>4868</v>
      </c>
      <c r="K401">
        <v>0.15</v>
      </c>
      <c r="L401">
        <v>13.29</v>
      </c>
      <c r="M401" t="s">
        <v>5466</v>
      </c>
      <c r="N401" t="s">
        <v>5474</v>
      </c>
      <c r="O401" t="s">
        <v>5480</v>
      </c>
    </row>
    <row r="402" spans="1:15" x14ac:dyDescent="0.3">
      <c r="A402" t="s">
        <v>410</v>
      </c>
      <c r="B402" t="s">
        <v>1796</v>
      </c>
      <c r="C402" t="s">
        <v>2890</v>
      </c>
      <c r="D402" t="s">
        <v>3632</v>
      </c>
      <c r="E402" t="s">
        <v>4570</v>
      </c>
      <c r="F402" t="s">
        <v>4573</v>
      </c>
      <c r="G402" t="s">
        <v>4584</v>
      </c>
      <c r="H402" t="s">
        <v>4595</v>
      </c>
      <c r="I402">
        <v>1</v>
      </c>
      <c r="J402" t="s">
        <v>4869</v>
      </c>
      <c r="K402">
        <v>0.15</v>
      </c>
      <c r="L402">
        <v>8.16</v>
      </c>
      <c r="M402" t="s">
        <v>5466</v>
      </c>
      <c r="N402" t="s">
        <v>5470</v>
      </c>
      <c r="O402" t="s">
        <v>5477</v>
      </c>
    </row>
    <row r="403" spans="1:15" x14ac:dyDescent="0.3">
      <c r="A403" t="s">
        <v>411</v>
      </c>
      <c r="B403" t="s">
        <v>1797</v>
      </c>
      <c r="C403" t="s">
        <v>2919</v>
      </c>
      <c r="D403" t="s">
        <v>3633</v>
      </c>
      <c r="E403" t="s">
        <v>4549</v>
      </c>
      <c r="F403" t="s">
        <v>4573</v>
      </c>
      <c r="G403" t="s">
        <v>4585</v>
      </c>
      <c r="H403" t="s">
        <v>4602</v>
      </c>
      <c r="I403">
        <v>1</v>
      </c>
      <c r="J403" t="s">
        <v>4870</v>
      </c>
      <c r="K403" t="s">
        <v>5461</v>
      </c>
      <c r="L403">
        <v>2.0299999999999998</v>
      </c>
      <c r="M403" t="s">
        <v>5463</v>
      </c>
      <c r="N403" t="s">
        <v>5471</v>
      </c>
      <c r="O403" t="s">
        <v>5478</v>
      </c>
    </row>
    <row r="404" spans="1:15" x14ac:dyDescent="0.3">
      <c r="A404" t="s">
        <v>412</v>
      </c>
      <c r="B404" t="s">
        <v>1798</v>
      </c>
      <c r="C404" t="s">
        <v>2920</v>
      </c>
      <c r="D404" t="s">
        <v>3634</v>
      </c>
      <c r="E404" t="s">
        <v>4561</v>
      </c>
      <c r="F404" t="s">
        <v>4581</v>
      </c>
      <c r="G404" t="s">
        <v>4583</v>
      </c>
      <c r="H404" t="s">
        <v>4610</v>
      </c>
      <c r="I404">
        <v>2</v>
      </c>
      <c r="J404" t="s">
        <v>4871</v>
      </c>
      <c r="K404">
        <v>0.1</v>
      </c>
      <c r="L404">
        <v>14.43</v>
      </c>
      <c r="M404" t="s">
        <v>5463</v>
      </c>
      <c r="N404" t="s">
        <v>5473</v>
      </c>
      <c r="O404" t="s">
        <v>5476</v>
      </c>
    </row>
    <row r="405" spans="1:15" x14ac:dyDescent="0.3">
      <c r="A405" t="s">
        <v>413</v>
      </c>
      <c r="B405" t="s">
        <v>1799</v>
      </c>
      <c r="C405" t="s">
        <v>2731</v>
      </c>
      <c r="D405" t="s">
        <v>3635</v>
      </c>
      <c r="E405" t="s">
        <v>4570</v>
      </c>
      <c r="F405" t="s">
        <v>4573</v>
      </c>
      <c r="G405" t="s">
        <v>4584</v>
      </c>
      <c r="H405" t="s">
        <v>4608</v>
      </c>
      <c r="I405">
        <v>4</v>
      </c>
      <c r="J405" t="s">
        <v>4872</v>
      </c>
      <c r="K405">
        <v>0.15</v>
      </c>
      <c r="L405">
        <v>4.58</v>
      </c>
      <c r="M405" t="s">
        <v>5462</v>
      </c>
      <c r="N405" t="s">
        <v>5469</v>
      </c>
      <c r="O405" t="s">
        <v>5480</v>
      </c>
    </row>
    <row r="406" spans="1:15" x14ac:dyDescent="0.3">
      <c r="A406" t="s">
        <v>414</v>
      </c>
      <c r="B406" t="s">
        <v>1800</v>
      </c>
      <c r="C406" t="s">
        <v>2921</v>
      </c>
      <c r="D406" t="s">
        <v>3636</v>
      </c>
      <c r="E406" t="s">
        <v>4547</v>
      </c>
      <c r="F406" t="s">
        <v>4580</v>
      </c>
      <c r="G406" t="s">
        <v>4587</v>
      </c>
      <c r="H406" t="s">
        <v>4600</v>
      </c>
      <c r="I406">
        <v>4</v>
      </c>
      <c r="J406" t="s">
        <v>4873</v>
      </c>
      <c r="K406">
        <v>0.05</v>
      </c>
      <c r="L406">
        <v>10.36</v>
      </c>
      <c r="M406" t="s">
        <v>5468</v>
      </c>
      <c r="N406" t="s">
        <v>5470</v>
      </c>
      <c r="O406" t="s">
        <v>5480</v>
      </c>
    </row>
    <row r="407" spans="1:15" x14ac:dyDescent="0.3">
      <c r="A407" t="s">
        <v>415</v>
      </c>
      <c r="B407" t="s">
        <v>1801</v>
      </c>
      <c r="C407" t="s">
        <v>2922</v>
      </c>
      <c r="D407" t="s">
        <v>3637</v>
      </c>
      <c r="E407" t="s">
        <v>4548</v>
      </c>
      <c r="F407" t="s">
        <v>4578</v>
      </c>
      <c r="G407" t="s">
        <v>4587</v>
      </c>
      <c r="H407" t="s">
        <v>4594</v>
      </c>
      <c r="I407">
        <v>2</v>
      </c>
      <c r="J407" t="s">
        <v>4874</v>
      </c>
      <c r="N407" t="s">
        <v>5473</v>
      </c>
      <c r="O407" t="s">
        <v>5479</v>
      </c>
    </row>
    <row r="408" spans="1:15" x14ac:dyDescent="0.3">
      <c r="A408" t="s">
        <v>416</v>
      </c>
      <c r="B408" t="s">
        <v>1802</v>
      </c>
      <c r="C408" t="s">
        <v>2622</v>
      </c>
      <c r="D408" t="s">
        <v>3638</v>
      </c>
      <c r="E408" t="s">
        <v>4558</v>
      </c>
      <c r="F408" t="s">
        <v>4572</v>
      </c>
      <c r="G408" t="s">
        <v>4583</v>
      </c>
      <c r="H408" t="s">
        <v>4605</v>
      </c>
      <c r="I408">
        <v>10</v>
      </c>
      <c r="J408">
        <v>45.48</v>
      </c>
      <c r="K408">
        <v>0.05</v>
      </c>
      <c r="L408">
        <v>1.7</v>
      </c>
      <c r="M408" t="s">
        <v>5463</v>
      </c>
      <c r="O408" t="s">
        <v>5480</v>
      </c>
    </row>
    <row r="409" spans="1:15" x14ac:dyDescent="0.3">
      <c r="A409" t="s">
        <v>417</v>
      </c>
      <c r="B409" t="s">
        <v>1803</v>
      </c>
      <c r="C409" t="s">
        <v>2923</v>
      </c>
      <c r="E409" t="s">
        <v>4565</v>
      </c>
      <c r="F409" t="s">
        <v>4576</v>
      </c>
      <c r="G409" t="s">
        <v>4583</v>
      </c>
      <c r="H409" t="s">
        <v>4610</v>
      </c>
      <c r="I409">
        <v>2</v>
      </c>
      <c r="J409" t="s">
        <v>4875</v>
      </c>
      <c r="K409" t="s">
        <v>5460</v>
      </c>
      <c r="L409">
        <v>2.48</v>
      </c>
      <c r="M409" t="s">
        <v>5466</v>
      </c>
      <c r="N409" t="s">
        <v>5469</v>
      </c>
      <c r="O409" t="s">
        <v>5478</v>
      </c>
    </row>
    <row r="410" spans="1:15" x14ac:dyDescent="0.3">
      <c r="A410" t="s">
        <v>418</v>
      </c>
      <c r="B410" t="s">
        <v>1804</v>
      </c>
      <c r="C410" t="s">
        <v>2924</v>
      </c>
      <c r="E410" t="s">
        <v>4554</v>
      </c>
      <c r="F410" t="s">
        <v>4574</v>
      </c>
      <c r="G410" t="s">
        <v>4583</v>
      </c>
      <c r="H410" t="s">
        <v>4610</v>
      </c>
      <c r="I410">
        <v>1</v>
      </c>
      <c r="J410" t="s">
        <v>4876</v>
      </c>
      <c r="K410">
        <v>0.15</v>
      </c>
      <c r="L410">
        <v>7.05</v>
      </c>
      <c r="M410" t="s">
        <v>5464</v>
      </c>
      <c r="N410" t="s">
        <v>5471</v>
      </c>
      <c r="O410" t="s">
        <v>5478</v>
      </c>
    </row>
    <row r="411" spans="1:15" x14ac:dyDescent="0.3">
      <c r="A411" t="s">
        <v>419</v>
      </c>
      <c r="B411" t="s">
        <v>1515</v>
      </c>
      <c r="C411" t="s">
        <v>2925</v>
      </c>
      <c r="D411" t="s">
        <v>3639</v>
      </c>
      <c r="E411" t="s">
        <v>4565</v>
      </c>
      <c r="F411" t="s">
        <v>4575</v>
      </c>
      <c r="G411" t="s">
        <v>4585</v>
      </c>
      <c r="H411" t="s">
        <v>4590</v>
      </c>
      <c r="I411">
        <v>10</v>
      </c>
      <c r="J411">
        <v>13.84</v>
      </c>
      <c r="K411">
        <v>0.05</v>
      </c>
      <c r="L411">
        <v>6.41</v>
      </c>
      <c r="M411" t="s">
        <v>5466</v>
      </c>
      <c r="N411" t="s">
        <v>5474</v>
      </c>
      <c r="O411" t="s">
        <v>5477</v>
      </c>
    </row>
    <row r="412" spans="1:15" x14ac:dyDescent="0.3">
      <c r="A412" t="s">
        <v>420</v>
      </c>
      <c r="B412" t="s">
        <v>1805</v>
      </c>
      <c r="C412" t="s">
        <v>2826</v>
      </c>
      <c r="D412" t="s">
        <v>3640</v>
      </c>
      <c r="E412" t="s">
        <v>4566</v>
      </c>
      <c r="F412" t="s">
        <v>4577</v>
      </c>
      <c r="G412" t="s">
        <v>4584</v>
      </c>
      <c r="H412" t="s">
        <v>4607</v>
      </c>
      <c r="I412">
        <v>1</v>
      </c>
      <c r="J412">
        <v>25.09</v>
      </c>
      <c r="K412" t="s">
        <v>5460</v>
      </c>
      <c r="L412">
        <v>13.77</v>
      </c>
      <c r="M412" t="s">
        <v>5466</v>
      </c>
      <c r="N412" t="s">
        <v>5473</v>
      </c>
      <c r="O412" t="s">
        <v>5476</v>
      </c>
    </row>
    <row r="413" spans="1:15" x14ac:dyDescent="0.3">
      <c r="A413" t="s">
        <v>421</v>
      </c>
      <c r="B413" t="s">
        <v>1806</v>
      </c>
      <c r="C413" t="s">
        <v>2650</v>
      </c>
      <c r="D413" t="s">
        <v>3641</v>
      </c>
      <c r="E413" t="s">
        <v>4553</v>
      </c>
      <c r="F413" t="s">
        <v>4582</v>
      </c>
      <c r="G413" t="s">
        <v>4585</v>
      </c>
      <c r="H413" t="s">
        <v>4602</v>
      </c>
      <c r="I413">
        <v>1</v>
      </c>
      <c r="J413">
        <v>4.04</v>
      </c>
      <c r="K413" t="s">
        <v>5460</v>
      </c>
      <c r="L413">
        <v>13.54</v>
      </c>
      <c r="M413" t="s">
        <v>5468</v>
      </c>
      <c r="N413" t="s">
        <v>5471</v>
      </c>
      <c r="O413" t="s">
        <v>5479</v>
      </c>
    </row>
    <row r="414" spans="1:15" x14ac:dyDescent="0.3">
      <c r="A414" t="s">
        <v>422</v>
      </c>
      <c r="B414" t="s">
        <v>1807</v>
      </c>
      <c r="C414" t="s">
        <v>2749</v>
      </c>
      <c r="D414" t="s">
        <v>3642</v>
      </c>
      <c r="E414" t="s">
        <v>4550</v>
      </c>
      <c r="F414" t="s">
        <v>4574</v>
      </c>
      <c r="G414" t="s">
        <v>4585</v>
      </c>
      <c r="H414" t="s">
        <v>4592</v>
      </c>
      <c r="I414">
        <v>5</v>
      </c>
      <c r="J414" t="s">
        <v>4877</v>
      </c>
      <c r="K414">
        <v>0</v>
      </c>
      <c r="L414">
        <v>9.36</v>
      </c>
      <c r="M414" t="s">
        <v>5468</v>
      </c>
      <c r="N414" t="s">
        <v>5474</v>
      </c>
      <c r="O414" t="s">
        <v>5477</v>
      </c>
    </row>
    <row r="415" spans="1:15" x14ac:dyDescent="0.3">
      <c r="A415" t="s">
        <v>423</v>
      </c>
      <c r="B415" t="s">
        <v>1808</v>
      </c>
      <c r="C415" t="s">
        <v>2926</v>
      </c>
      <c r="D415" t="s">
        <v>3643</v>
      </c>
      <c r="E415" t="s">
        <v>4561</v>
      </c>
      <c r="F415" t="s">
        <v>4572</v>
      </c>
      <c r="G415" t="s">
        <v>4586</v>
      </c>
      <c r="H415" t="s">
        <v>4609</v>
      </c>
      <c r="I415">
        <v>2</v>
      </c>
      <c r="J415">
        <v>124.95</v>
      </c>
      <c r="K415" t="s">
        <v>5460</v>
      </c>
      <c r="L415">
        <v>13.16</v>
      </c>
      <c r="M415" t="s">
        <v>5465</v>
      </c>
      <c r="N415" t="s">
        <v>5469</v>
      </c>
      <c r="O415" t="s">
        <v>5480</v>
      </c>
    </row>
    <row r="416" spans="1:15" x14ac:dyDescent="0.3">
      <c r="A416" t="s">
        <v>424</v>
      </c>
      <c r="B416" t="s">
        <v>1809</v>
      </c>
      <c r="C416" t="s">
        <v>2908</v>
      </c>
      <c r="D416" t="s">
        <v>3644</v>
      </c>
      <c r="E416" t="s">
        <v>4550</v>
      </c>
      <c r="F416" t="s">
        <v>4573</v>
      </c>
      <c r="G416" t="s">
        <v>4586</v>
      </c>
      <c r="H416" t="s">
        <v>4599</v>
      </c>
      <c r="I416">
        <v>10</v>
      </c>
      <c r="J416">
        <v>238.12</v>
      </c>
      <c r="K416">
        <v>0.15</v>
      </c>
      <c r="L416">
        <v>6.87</v>
      </c>
      <c r="M416" t="s">
        <v>5464</v>
      </c>
      <c r="O416" t="s">
        <v>5479</v>
      </c>
    </row>
    <row r="417" spans="1:15" x14ac:dyDescent="0.3">
      <c r="A417" t="s">
        <v>425</v>
      </c>
      <c r="B417" t="s">
        <v>1810</v>
      </c>
      <c r="C417" t="s">
        <v>2859</v>
      </c>
      <c r="D417" t="s">
        <v>3645</v>
      </c>
      <c r="E417" t="s">
        <v>4568</v>
      </c>
      <c r="F417" t="s">
        <v>4582</v>
      </c>
      <c r="G417" t="s">
        <v>4583</v>
      </c>
      <c r="H417" t="s">
        <v>4604</v>
      </c>
      <c r="I417">
        <v>3</v>
      </c>
      <c r="J417" t="s">
        <v>4878</v>
      </c>
      <c r="K417">
        <v>0</v>
      </c>
      <c r="L417">
        <v>13.15</v>
      </c>
      <c r="M417" t="s">
        <v>5467</v>
      </c>
      <c r="N417" t="s">
        <v>5472</v>
      </c>
      <c r="O417" t="s">
        <v>5477</v>
      </c>
    </row>
    <row r="418" spans="1:15" x14ac:dyDescent="0.3">
      <c r="A418" t="s">
        <v>426</v>
      </c>
      <c r="B418" t="s">
        <v>1811</v>
      </c>
      <c r="C418" t="s">
        <v>2835</v>
      </c>
      <c r="D418" t="s">
        <v>3646</v>
      </c>
      <c r="E418" t="s">
        <v>4558</v>
      </c>
      <c r="F418" t="s">
        <v>4572</v>
      </c>
      <c r="G418" t="s">
        <v>4584</v>
      </c>
      <c r="H418" t="s">
        <v>4607</v>
      </c>
      <c r="I418">
        <v>-1</v>
      </c>
      <c r="J418" t="s">
        <v>4879</v>
      </c>
      <c r="K418" t="s">
        <v>5460</v>
      </c>
      <c r="L418">
        <v>3.54</v>
      </c>
      <c r="M418" t="s">
        <v>5462</v>
      </c>
      <c r="N418" t="s">
        <v>5471</v>
      </c>
      <c r="O418" t="s">
        <v>5475</v>
      </c>
    </row>
    <row r="419" spans="1:15" x14ac:dyDescent="0.3">
      <c r="A419" t="s">
        <v>427</v>
      </c>
      <c r="B419" t="s">
        <v>1812</v>
      </c>
      <c r="C419" t="s">
        <v>2756</v>
      </c>
      <c r="D419" t="s">
        <v>3647</v>
      </c>
      <c r="E419" t="s">
        <v>4553</v>
      </c>
      <c r="F419" t="s">
        <v>4573</v>
      </c>
      <c r="G419" t="s">
        <v>4587</v>
      </c>
      <c r="H419" t="s">
        <v>4600</v>
      </c>
      <c r="I419">
        <v>4</v>
      </c>
      <c r="J419" t="s">
        <v>4880</v>
      </c>
      <c r="K419">
        <v>0</v>
      </c>
      <c r="L419">
        <v>1.46</v>
      </c>
      <c r="M419" t="s">
        <v>5467</v>
      </c>
      <c r="N419" t="s">
        <v>5474</v>
      </c>
      <c r="O419" t="s">
        <v>5476</v>
      </c>
    </row>
    <row r="420" spans="1:15" x14ac:dyDescent="0.3">
      <c r="A420" t="s">
        <v>428</v>
      </c>
      <c r="B420" t="s">
        <v>1813</v>
      </c>
      <c r="C420" t="s">
        <v>2809</v>
      </c>
      <c r="D420" t="s">
        <v>3648</v>
      </c>
      <c r="E420" t="s">
        <v>4548</v>
      </c>
      <c r="F420" t="s">
        <v>4578</v>
      </c>
      <c r="G420" t="s">
        <v>4583</v>
      </c>
      <c r="H420" t="s">
        <v>4610</v>
      </c>
      <c r="I420">
        <v>4</v>
      </c>
      <c r="J420" t="s">
        <v>4881</v>
      </c>
      <c r="K420">
        <v>0.15</v>
      </c>
      <c r="L420">
        <v>7.26</v>
      </c>
      <c r="M420" t="s">
        <v>5462</v>
      </c>
      <c r="N420" t="s">
        <v>5470</v>
      </c>
      <c r="O420" t="s">
        <v>5475</v>
      </c>
    </row>
    <row r="421" spans="1:15" x14ac:dyDescent="0.3">
      <c r="A421" t="s">
        <v>429</v>
      </c>
      <c r="B421" t="s">
        <v>1639</v>
      </c>
      <c r="C421" t="s">
        <v>2778</v>
      </c>
      <c r="D421" t="s">
        <v>3649</v>
      </c>
      <c r="E421" t="s">
        <v>4560</v>
      </c>
      <c r="F421" t="s">
        <v>4574</v>
      </c>
      <c r="G421" t="s">
        <v>4584</v>
      </c>
      <c r="H421" t="s">
        <v>4607</v>
      </c>
      <c r="I421">
        <v>4</v>
      </c>
      <c r="J421" t="s">
        <v>4882</v>
      </c>
      <c r="K421">
        <v>0</v>
      </c>
      <c r="L421">
        <v>5.88</v>
      </c>
      <c r="M421" t="s">
        <v>5462</v>
      </c>
      <c r="O421" t="s">
        <v>5480</v>
      </c>
    </row>
    <row r="422" spans="1:15" x14ac:dyDescent="0.3">
      <c r="A422" t="s">
        <v>430</v>
      </c>
      <c r="B422" t="s">
        <v>1814</v>
      </c>
      <c r="C422" t="s">
        <v>2719</v>
      </c>
      <c r="D422" t="s">
        <v>3650</v>
      </c>
      <c r="E422" t="s">
        <v>4558</v>
      </c>
      <c r="F422" t="s">
        <v>4580</v>
      </c>
      <c r="G422" t="s">
        <v>4586</v>
      </c>
      <c r="H422" t="s">
        <v>4609</v>
      </c>
      <c r="I422">
        <v>4</v>
      </c>
      <c r="J422">
        <v>123.81</v>
      </c>
      <c r="K422">
        <v>0</v>
      </c>
      <c r="L422">
        <v>12.98</v>
      </c>
      <c r="M422" t="s">
        <v>5462</v>
      </c>
      <c r="N422" t="s">
        <v>5470</v>
      </c>
      <c r="O422" t="s">
        <v>5477</v>
      </c>
    </row>
    <row r="423" spans="1:15" x14ac:dyDescent="0.3">
      <c r="A423" t="s">
        <v>431</v>
      </c>
      <c r="B423" t="s">
        <v>1815</v>
      </c>
      <c r="C423" t="s">
        <v>2927</v>
      </c>
      <c r="D423" t="s">
        <v>3651</v>
      </c>
      <c r="E423" t="s">
        <v>4553</v>
      </c>
      <c r="F423" t="s">
        <v>4582</v>
      </c>
      <c r="G423" t="s">
        <v>4586</v>
      </c>
      <c r="H423" t="s">
        <v>4609</v>
      </c>
      <c r="I423">
        <v>-1</v>
      </c>
      <c r="J423" t="s">
        <v>4883</v>
      </c>
      <c r="K423">
        <v>0.05</v>
      </c>
      <c r="L423">
        <v>0</v>
      </c>
      <c r="M423" t="s">
        <v>5463</v>
      </c>
      <c r="N423" t="s">
        <v>5474</v>
      </c>
      <c r="O423" t="s">
        <v>5477</v>
      </c>
    </row>
    <row r="424" spans="1:15" x14ac:dyDescent="0.3">
      <c r="A424" t="s">
        <v>432</v>
      </c>
      <c r="B424" t="s">
        <v>1816</v>
      </c>
      <c r="C424" t="s">
        <v>2928</v>
      </c>
      <c r="E424" t="s">
        <v>4561</v>
      </c>
      <c r="F424" t="s">
        <v>4572</v>
      </c>
      <c r="G424" t="s">
        <v>4585</v>
      </c>
      <c r="H424" t="s">
        <v>4602</v>
      </c>
      <c r="I424">
        <v>10</v>
      </c>
      <c r="J424" t="s">
        <v>4884</v>
      </c>
      <c r="K424">
        <v>0.1</v>
      </c>
      <c r="L424">
        <v>13.61</v>
      </c>
      <c r="M424" t="s">
        <v>5468</v>
      </c>
      <c r="N424" t="s">
        <v>5469</v>
      </c>
      <c r="O424" t="s">
        <v>5477</v>
      </c>
    </row>
    <row r="425" spans="1:15" x14ac:dyDescent="0.3">
      <c r="A425" t="s">
        <v>433</v>
      </c>
      <c r="B425" t="s">
        <v>1817</v>
      </c>
      <c r="C425" t="s">
        <v>2929</v>
      </c>
      <c r="D425" t="s">
        <v>3652</v>
      </c>
      <c r="E425" t="s">
        <v>4547</v>
      </c>
      <c r="F425" t="s">
        <v>4581</v>
      </c>
      <c r="G425" t="s">
        <v>4583</v>
      </c>
      <c r="H425" t="s">
        <v>4588</v>
      </c>
      <c r="I425">
        <v>3</v>
      </c>
      <c r="J425">
        <v>39.15</v>
      </c>
      <c r="K425">
        <v>0</v>
      </c>
      <c r="N425" t="s">
        <v>5472</v>
      </c>
      <c r="O425" t="s">
        <v>5477</v>
      </c>
    </row>
    <row r="426" spans="1:15" x14ac:dyDescent="0.3">
      <c r="A426" t="s">
        <v>434</v>
      </c>
      <c r="B426" t="s">
        <v>1818</v>
      </c>
      <c r="C426" t="s">
        <v>2930</v>
      </c>
      <c r="D426" t="s">
        <v>3653</v>
      </c>
      <c r="E426" t="s">
        <v>4568</v>
      </c>
      <c r="F426" t="s">
        <v>4573</v>
      </c>
      <c r="G426" t="s">
        <v>4584</v>
      </c>
      <c r="H426" t="s">
        <v>4608</v>
      </c>
      <c r="I426">
        <v>3</v>
      </c>
      <c r="J426">
        <v>18.23</v>
      </c>
      <c r="K426">
        <v>0</v>
      </c>
      <c r="L426">
        <v>5.17</v>
      </c>
      <c r="M426" t="s">
        <v>5464</v>
      </c>
      <c r="N426" t="s">
        <v>5474</v>
      </c>
      <c r="O426" t="s">
        <v>5477</v>
      </c>
    </row>
    <row r="427" spans="1:15" x14ac:dyDescent="0.3">
      <c r="A427" t="s">
        <v>435</v>
      </c>
      <c r="B427" t="s">
        <v>1819</v>
      </c>
      <c r="C427" t="s">
        <v>2631</v>
      </c>
      <c r="D427" t="s">
        <v>3654</v>
      </c>
      <c r="E427" t="s">
        <v>4567</v>
      </c>
      <c r="F427" t="s">
        <v>4582</v>
      </c>
      <c r="G427" t="s">
        <v>4585</v>
      </c>
      <c r="H427" t="s">
        <v>4590</v>
      </c>
      <c r="I427">
        <v>2</v>
      </c>
      <c r="J427" t="s">
        <v>4885</v>
      </c>
      <c r="K427">
        <v>0.05</v>
      </c>
      <c r="L427">
        <v>5.49</v>
      </c>
      <c r="N427" t="s">
        <v>5470</v>
      </c>
      <c r="O427" t="s">
        <v>5479</v>
      </c>
    </row>
    <row r="428" spans="1:15" x14ac:dyDescent="0.3">
      <c r="A428" t="s">
        <v>436</v>
      </c>
      <c r="B428" t="s">
        <v>1511</v>
      </c>
      <c r="C428" t="s">
        <v>2807</v>
      </c>
      <c r="D428" t="s">
        <v>3655</v>
      </c>
      <c r="E428" t="s">
        <v>4562</v>
      </c>
      <c r="F428" t="s">
        <v>4579</v>
      </c>
      <c r="G428" t="s">
        <v>4583</v>
      </c>
      <c r="H428" t="s">
        <v>4605</v>
      </c>
      <c r="I428">
        <v>1</v>
      </c>
      <c r="J428" t="s">
        <v>4886</v>
      </c>
      <c r="K428">
        <v>0</v>
      </c>
      <c r="L428">
        <v>4.91</v>
      </c>
      <c r="M428" t="s">
        <v>5468</v>
      </c>
      <c r="N428" t="s">
        <v>5471</v>
      </c>
      <c r="O428" t="s">
        <v>5476</v>
      </c>
    </row>
    <row r="429" spans="1:15" x14ac:dyDescent="0.3">
      <c r="A429" t="s">
        <v>437</v>
      </c>
      <c r="B429" t="s">
        <v>1820</v>
      </c>
      <c r="C429" t="s">
        <v>2686</v>
      </c>
      <c r="E429" t="s">
        <v>4565</v>
      </c>
      <c r="F429" t="s">
        <v>4575</v>
      </c>
      <c r="G429" t="s">
        <v>4584</v>
      </c>
      <c r="H429" t="s">
        <v>4607</v>
      </c>
      <c r="I429">
        <v>1</v>
      </c>
      <c r="J429" t="s">
        <v>4887</v>
      </c>
      <c r="K429">
        <v>0.1</v>
      </c>
      <c r="L429">
        <v>0</v>
      </c>
      <c r="M429" t="s">
        <v>5466</v>
      </c>
      <c r="N429" t="s">
        <v>5472</v>
      </c>
      <c r="O429" t="s">
        <v>5477</v>
      </c>
    </row>
    <row r="430" spans="1:15" x14ac:dyDescent="0.3">
      <c r="A430" t="s">
        <v>438</v>
      </c>
      <c r="B430" t="s">
        <v>1821</v>
      </c>
      <c r="C430" t="s">
        <v>2673</v>
      </c>
      <c r="D430" t="s">
        <v>3656</v>
      </c>
      <c r="E430" t="s">
        <v>4566</v>
      </c>
      <c r="F430" t="s">
        <v>4577</v>
      </c>
      <c r="G430" t="s">
        <v>4587</v>
      </c>
      <c r="H430" t="s">
        <v>4606</v>
      </c>
      <c r="I430">
        <v>1</v>
      </c>
      <c r="J430">
        <v>28.62</v>
      </c>
      <c r="K430">
        <v>0.1</v>
      </c>
      <c r="L430">
        <v>11.69</v>
      </c>
      <c r="M430" t="s">
        <v>5462</v>
      </c>
      <c r="N430" t="s">
        <v>5470</v>
      </c>
      <c r="O430" t="s">
        <v>5479</v>
      </c>
    </row>
    <row r="431" spans="1:15" x14ac:dyDescent="0.3">
      <c r="A431" t="s">
        <v>439</v>
      </c>
      <c r="B431" t="s">
        <v>1822</v>
      </c>
      <c r="C431" t="s">
        <v>2931</v>
      </c>
      <c r="D431" t="s">
        <v>3657</v>
      </c>
      <c r="E431" t="s">
        <v>4548</v>
      </c>
      <c r="F431" t="s">
        <v>4578</v>
      </c>
      <c r="G431" t="s">
        <v>4583</v>
      </c>
      <c r="H431" t="s">
        <v>4610</v>
      </c>
      <c r="I431">
        <v>1</v>
      </c>
      <c r="J431" t="s">
        <v>4888</v>
      </c>
      <c r="K431">
        <v>0.05</v>
      </c>
      <c r="L431">
        <v>12.49</v>
      </c>
      <c r="M431" t="s">
        <v>5468</v>
      </c>
      <c r="N431" t="s">
        <v>5471</v>
      </c>
      <c r="O431" t="s">
        <v>5479</v>
      </c>
    </row>
    <row r="432" spans="1:15" x14ac:dyDescent="0.3">
      <c r="A432" t="s">
        <v>440</v>
      </c>
      <c r="B432" t="s">
        <v>1823</v>
      </c>
      <c r="C432" t="s">
        <v>2932</v>
      </c>
      <c r="D432" t="s">
        <v>3658</v>
      </c>
      <c r="E432" t="s">
        <v>4550</v>
      </c>
      <c r="F432" t="s">
        <v>4574</v>
      </c>
      <c r="G432" t="s">
        <v>4585</v>
      </c>
      <c r="H432" t="s">
        <v>4592</v>
      </c>
      <c r="I432">
        <v>2</v>
      </c>
      <c r="J432" t="s">
        <v>4889</v>
      </c>
      <c r="K432" t="s">
        <v>5461</v>
      </c>
      <c r="L432">
        <v>4.0199999999999996</v>
      </c>
      <c r="M432" t="s">
        <v>5463</v>
      </c>
      <c r="N432" t="s">
        <v>5472</v>
      </c>
      <c r="O432" t="s">
        <v>5477</v>
      </c>
    </row>
    <row r="433" spans="1:15" x14ac:dyDescent="0.3">
      <c r="A433" t="s">
        <v>441</v>
      </c>
      <c r="B433" t="s">
        <v>1824</v>
      </c>
      <c r="C433" t="s">
        <v>2933</v>
      </c>
      <c r="E433" t="s">
        <v>4570</v>
      </c>
      <c r="F433" t="s">
        <v>4574</v>
      </c>
      <c r="G433" t="s">
        <v>4587</v>
      </c>
      <c r="H433" t="s">
        <v>4600</v>
      </c>
      <c r="I433">
        <v>5</v>
      </c>
      <c r="J433" t="s">
        <v>4890</v>
      </c>
      <c r="K433">
        <v>0.05</v>
      </c>
      <c r="L433">
        <v>5.84</v>
      </c>
      <c r="M433" t="s">
        <v>5467</v>
      </c>
      <c r="N433" t="s">
        <v>5473</v>
      </c>
      <c r="O433" t="s">
        <v>5475</v>
      </c>
    </row>
    <row r="434" spans="1:15" x14ac:dyDescent="0.3">
      <c r="A434" t="s">
        <v>442</v>
      </c>
      <c r="B434" t="s">
        <v>1705</v>
      </c>
      <c r="C434" t="s">
        <v>2934</v>
      </c>
      <c r="D434" t="s">
        <v>3659</v>
      </c>
      <c r="E434" t="s">
        <v>4556</v>
      </c>
      <c r="F434" t="s">
        <v>4576</v>
      </c>
      <c r="G434" t="s">
        <v>4586</v>
      </c>
      <c r="H434" t="s">
        <v>4609</v>
      </c>
      <c r="I434">
        <v>2</v>
      </c>
      <c r="J434">
        <v>129.16999999999999</v>
      </c>
      <c r="K434">
        <v>0.05</v>
      </c>
      <c r="L434">
        <v>4.84</v>
      </c>
      <c r="M434" t="s">
        <v>5468</v>
      </c>
      <c r="N434" t="s">
        <v>5471</v>
      </c>
      <c r="O434" t="s">
        <v>5477</v>
      </c>
    </row>
    <row r="435" spans="1:15" x14ac:dyDescent="0.3">
      <c r="A435" t="s">
        <v>443</v>
      </c>
      <c r="B435" t="s">
        <v>1825</v>
      </c>
      <c r="C435" t="s">
        <v>2935</v>
      </c>
      <c r="D435" t="s">
        <v>3660</v>
      </c>
      <c r="E435" t="s">
        <v>4570</v>
      </c>
      <c r="F435" t="s">
        <v>4573</v>
      </c>
      <c r="G435" t="s">
        <v>4583</v>
      </c>
      <c r="H435" t="s">
        <v>4604</v>
      </c>
      <c r="I435">
        <v>2</v>
      </c>
      <c r="J435">
        <v>22.45</v>
      </c>
      <c r="K435">
        <v>0</v>
      </c>
      <c r="L435">
        <v>12.84</v>
      </c>
      <c r="M435" t="s">
        <v>5465</v>
      </c>
      <c r="N435" t="s">
        <v>5472</v>
      </c>
      <c r="O435" t="s">
        <v>5476</v>
      </c>
    </row>
    <row r="436" spans="1:15" x14ac:dyDescent="0.3">
      <c r="A436" t="s">
        <v>444</v>
      </c>
      <c r="B436" t="s">
        <v>1826</v>
      </c>
      <c r="C436" t="s">
        <v>2936</v>
      </c>
      <c r="D436" t="s">
        <v>3661</v>
      </c>
      <c r="E436" t="s">
        <v>4561</v>
      </c>
      <c r="F436" t="s">
        <v>4572</v>
      </c>
      <c r="G436" t="s">
        <v>4586</v>
      </c>
      <c r="H436" t="s">
        <v>4599</v>
      </c>
      <c r="I436">
        <v>1</v>
      </c>
      <c r="J436" t="s">
        <v>4891</v>
      </c>
      <c r="K436">
        <v>0</v>
      </c>
      <c r="L436">
        <v>4.4000000000000004</v>
      </c>
      <c r="M436" t="s">
        <v>5468</v>
      </c>
      <c r="N436" t="s">
        <v>5469</v>
      </c>
      <c r="O436" t="s">
        <v>5477</v>
      </c>
    </row>
    <row r="437" spans="1:15" x14ac:dyDescent="0.3">
      <c r="A437" t="s">
        <v>445</v>
      </c>
      <c r="B437" t="s">
        <v>1827</v>
      </c>
      <c r="C437" t="s">
        <v>2937</v>
      </c>
      <c r="D437" t="s">
        <v>3662</v>
      </c>
      <c r="E437" t="s">
        <v>4560</v>
      </c>
      <c r="F437" t="s">
        <v>4573</v>
      </c>
      <c r="G437" t="s">
        <v>4584</v>
      </c>
      <c r="H437" t="s">
        <v>4603</v>
      </c>
      <c r="I437">
        <v>1</v>
      </c>
      <c r="J437">
        <v>9.27</v>
      </c>
      <c r="K437">
        <v>0.15</v>
      </c>
      <c r="L437">
        <v>0</v>
      </c>
      <c r="M437" t="s">
        <v>5463</v>
      </c>
      <c r="N437" t="s">
        <v>5470</v>
      </c>
      <c r="O437" t="s">
        <v>5478</v>
      </c>
    </row>
    <row r="438" spans="1:15" x14ac:dyDescent="0.3">
      <c r="A438" t="s">
        <v>446</v>
      </c>
      <c r="B438" t="s">
        <v>1828</v>
      </c>
      <c r="C438" t="s">
        <v>2938</v>
      </c>
      <c r="D438" t="s">
        <v>3663</v>
      </c>
      <c r="E438" t="s">
        <v>4555</v>
      </c>
      <c r="F438" t="s">
        <v>4573</v>
      </c>
      <c r="G438" t="s">
        <v>4585</v>
      </c>
      <c r="H438" t="s">
        <v>4590</v>
      </c>
      <c r="I438">
        <v>1</v>
      </c>
      <c r="J438" t="s">
        <v>4892</v>
      </c>
      <c r="K438">
        <v>0</v>
      </c>
      <c r="L438">
        <v>6.29</v>
      </c>
      <c r="M438" t="s">
        <v>5468</v>
      </c>
      <c r="N438" t="s">
        <v>5474</v>
      </c>
      <c r="O438" t="s">
        <v>5477</v>
      </c>
    </row>
    <row r="439" spans="1:15" x14ac:dyDescent="0.3">
      <c r="A439" t="s">
        <v>447</v>
      </c>
      <c r="B439" t="s">
        <v>1829</v>
      </c>
      <c r="C439" t="s">
        <v>2720</v>
      </c>
      <c r="D439" t="s">
        <v>3664</v>
      </c>
      <c r="E439" t="s">
        <v>4555</v>
      </c>
      <c r="F439" t="s">
        <v>4573</v>
      </c>
      <c r="G439" t="s">
        <v>4586</v>
      </c>
      <c r="H439" t="s">
        <v>4609</v>
      </c>
      <c r="I439">
        <v>4</v>
      </c>
      <c r="J439" t="s">
        <v>4893</v>
      </c>
      <c r="K439">
        <v>0</v>
      </c>
      <c r="L439">
        <v>3.63</v>
      </c>
      <c r="M439" t="s">
        <v>5464</v>
      </c>
      <c r="N439" t="s">
        <v>5474</v>
      </c>
      <c r="O439" t="s">
        <v>5477</v>
      </c>
    </row>
    <row r="440" spans="1:15" x14ac:dyDescent="0.3">
      <c r="A440" t="s">
        <v>448</v>
      </c>
      <c r="B440" t="s">
        <v>1830</v>
      </c>
      <c r="C440" t="s">
        <v>2797</v>
      </c>
      <c r="D440" t="s">
        <v>3665</v>
      </c>
      <c r="E440" t="s">
        <v>4556</v>
      </c>
      <c r="F440" t="s">
        <v>4579</v>
      </c>
      <c r="G440" t="s">
        <v>4586</v>
      </c>
      <c r="H440" t="s">
        <v>4609</v>
      </c>
      <c r="I440">
        <v>2</v>
      </c>
      <c r="J440">
        <v>132.28</v>
      </c>
      <c r="K440">
        <v>0</v>
      </c>
      <c r="L440">
        <v>13.56</v>
      </c>
      <c r="M440" t="s">
        <v>5463</v>
      </c>
      <c r="N440" t="s">
        <v>5471</v>
      </c>
      <c r="O440" t="s">
        <v>5480</v>
      </c>
    </row>
    <row r="441" spans="1:15" x14ac:dyDescent="0.3">
      <c r="A441" t="s">
        <v>449</v>
      </c>
      <c r="B441" t="s">
        <v>1831</v>
      </c>
      <c r="C441" t="s">
        <v>2939</v>
      </c>
      <c r="D441" t="s">
        <v>3666</v>
      </c>
      <c r="E441" t="s">
        <v>4569</v>
      </c>
      <c r="F441" t="s">
        <v>4572</v>
      </c>
      <c r="G441" t="s">
        <v>4587</v>
      </c>
      <c r="H441" t="s">
        <v>4596</v>
      </c>
      <c r="I441">
        <v>2</v>
      </c>
      <c r="J441" t="s">
        <v>4894</v>
      </c>
      <c r="K441" t="s">
        <v>5461</v>
      </c>
      <c r="L441">
        <v>6.88</v>
      </c>
      <c r="M441" t="s">
        <v>5466</v>
      </c>
      <c r="N441" t="s">
        <v>5470</v>
      </c>
      <c r="O441" t="s">
        <v>5477</v>
      </c>
    </row>
    <row r="442" spans="1:15" x14ac:dyDescent="0.3">
      <c r="A442" t="s">
        <v>450</v>
      </c>
      <c r="B442" t="s">
        <v>1832</v>
      </c>
      <c r="C442" t="s">
        <v>2815</v>
      </c>
      <c r="D442" t="s">
        <v>3667</v>
      </c>
      <c r="E442" t="s">
        <v>4565</v>
      </c>
      <c r="F442" t="s">
        <v>4575</v>
      </c>
      <c r="G442" t="s">
        <v>4587</v>
      </c>
      <c r="H442" t="s">
        <v>4606</v>
      </c>
      <c r="I442">
        <v>5</v>
      </c>
      <c r="J442" t="s">
        <v>4895</v>
      </c>
      <c r="L442">
        <v>0</v>
      </c>
      <c r="M442" t="s">
        <v>5463</v>
      </c>
      <c r="O442" t="s">
        <v>5477</v>
      </c>
    </row>
    <row r="443" spans="1:15" x14ac:dyDescent="0.3">
      <c r="A443" t="s">
        <v>451</v>
      </c>
      <c r="B443" t="s">
        <v>1833</v>
      </c>
      <c r="C443" t="s">
        <v>2940</v>
      </c>
      <c r="D443" t="s">
        <v>3668</v>
      </c>
      <c r="E443" t="s">
        <v>4571</v>
      </c>
      <c r="F443" t="s">
        <v>4578</v>
      </c>
      <c r="G443" t="s">
        <v>4585</v>
      </c>
      <c r="H443" t="s">
        <v>4591</v>
      </c>
      <c r="I443">
        <v>2</v>
      </c>
      <c r="J443" t="s">
        <v>4896</v>
      </c>
      <c r="K443">
        <v>0</v>
      </c>
      <c r="L443">
        <v>9.42</v>
      </c>
      <c r="N443" t="s">
        <v>5471</v>
      </c>
      <c r="O443" t="s">
        <v>5477</v>
      </c>
    </row>
    <row r="444" spans="1:15" x14ac:dyDescent="0.3">
      <c r="A444" t="s">
        <v>452</v>
      </c>
      <c r="B444" t="s">
        <v>1834</v>
      </c>
      <c r="C444" t="s">
        <v>2649</v>
      </c>
      <c r="D444" t="s">
        <v>3669</v>
      </c>
      <c r="E444" t="s">
        <v>4566</v>
      </c>
      <c r="F444" t="s">
        <v>4582</v>
      </c>
      <c r="H444" t="s">
        <v>4605</v>
      </c>
      <c r="I444">
        <v>1</v>
      </c>
      <c r="J444">
        <v>43.73</v>
      </c>
      <c r="K444">
        <v>0.05</v>
      </c>
      <c r="L444">
        <v>4.91</v>
      </c>
      <c r="M444" t="s">
        <v>5468</v>
      </c>
      <c r="N444" t="s">
        <v>5472</v>
      </c>
      <c r="O444" t="s">
        <v>5477</v>
      </c>
    </row>
    <row r="445" spans="1:15" x14ac:dyDescent="0.3">
      <c r="A445" t="s">
        <v>453</v>
      </c>
      <c r="B445" t="s">
        <v>1835</v>
      </c>
      <c r="C445" t="s">
        <v>2941</v>
      </c>
      <c r="D445" t="s">
        <v>3670</v>
      </c>
      <c r="E445" t="s">
        <v>4557</v>
      </c>
      <c r="F445" t="s">
        <v>4581</v>
      </c>
      <c r="G445" t="s">
        <v>4587</v>
      </c>
      <c r="H445" t="s">
        <v>4596</v>
      </c>
      <c r="I445">
        <v>1</v>
      </c>
      <c r="J445">
        <v>14.92</v>
      </c>
      <c r="K445">
        <v>0.05</v>
      </c>
      <c r="L445">
        <v>0</v>
      </c>
      <c r="N445" t="s">
        <v>5474</v>
      </c>
      <c r="O445" t="s">
        <v>5477</v>
      </c>
    </row>
    <row r="446" spans="1:15" x14ac:dyDescent="0.3">
      <c r="A446" t="s">
        <v>62</v>
      </c>
      <c r="B446" t="s">
        <v>1462</v>
      </c>
      <c r="C446" t="s">
        <v>2668</v>
      </c>
      <c r="D446" t="s">
        <v>3307</v>
      </c>
      <c r="E446" t="s">
        <v>4555</v>
      </c>
      <c r="F446" t="s">
        <v>4573</v>
      </c>
      <c r="G446" t="s">
        <v>4585</v>
      </c>
      <c r="H446" t="s">
        <v>4590</v>
      </c>
      <c r="I446">
        <v>4</v>
      </c>
      <c r="J446">
        <v>13.81</v>
      </c>
      <c r="K446">
        <v>0</v>
      </c>
      <c r="L446">
        <v>0</v>
      </c>
      <c r="O446" t="s">
        <v>5479</v>
      </c>
    </row>
    <row r="447" spans="1:15" x14ac:dyDescent="0.3">
      <c r="A447" t="s">
        <v>454</v>
      </c>
      <c r="B447" t="s">
        <v>1836</v>
      </c>
      <c r="C447" t="s">
        <v>2841</v>
      </c>
      <c r="E447" t="s">
        <v>4558</v>
      </c>
      <c r="F447" t="s">
        <v>4580</v>
      </c>
      <c r="G447" t="s">
        <v>4584</v>
      </c>
      <c r="H447" t="s">
        <v>4589</v>
      </c>
      <c r="I447">
        <v>1</v>
      </c>
      <c r="J447" t="s">
        <v>4897</v>
      </c>
      <c r="L447">
        <v>3.58</v>
      </c>
      <c r="M447" t="s">
        <v>5466</v>
      </c>
      <c r="N447" t="s">
        <v>5469</v>
      </c>
      <c r="O447" t="s">
        <v>5476</v>
      </c>
    </row>
    <row r="448" spans="1:15" x14ac:dyDescent="0.3">
      <c r="A448" t="s">
        <v>455</v>
      </c>
      <c r="B448" t="s">
        <v>1837</v>
      </c>
      <c r="C448" t="s">
        <v>2942</v>
      </c>
      <c r="E448" t="s">
        <v>4563</v>
      </c>
      <c r="F448" t="s">
        <v>4573</v>
      </c>
      <c r="G448" t="s">
        <v>4585</v>
      </c>
      <c r="H448" t="s">
        <v>4591</v>
      </c>
      <c r="I448">
        <v>1</v>
      </c>
      <c r="J448">
        <v>7.87</v>
      </c>
      <c r="K448" t="s">
        <v>5461</v>
      </c>
      <c r="L448">
        <v>5.07</v>
      </c>
      <c r="M448" t="s">
        <v>5464</v>
      </c>
      <c r="N448" t="s">
        <v>5469</v>
      </c>
      <c r="O448" t="s">
        <v>5475</v>
      </c>
    </row>
    <row r="449" spans="1:15" x14ac:dyDescent="0.3">
      <c r="A449" t="s">
        <v>456</v>
      </c>
      <c r="B449" t="s">
        <v>1838</v>
      </c>
      <c r="C449" t="s">
        <v>2943</v>
      </c>
      <c r="D449" t="s">
        <v>3671</v>
      </c>
      <c r="E449" t="s">
        <v>4568</v>
      </c>
      <c r="F449" t="s">
        <v>4577</v>
      </c>
      <c r="G449" t="s">
        <v>4584</v>
      </c>
      <c r="H449" t="s">
        <v>4603</v>
      </c>
      <c r="I449">
        <v>2</v>
      </c>
      <c r="J449">
        <v>9.0500000000000007</v>
      </c>
      <c r="K449">
        <v>0.05</v>
      </c>
      <c r="L449">
        <v>3.57</v>
      </c>
      <c r="N449" t="s">
        <v>5471</v>
      </c>
      <c r="O449" t="s">
        <v>5475</v>
      </c>
    </row>
    <row r="450" spans="1:15" x14ac:dyDescent="0.3">
      <c r="A450" t="s">
        <v>457</v>
      </c>
      <c r="B450" t="s">
        <v>1839</v>
      </c>
      <c r="C450" t="s">
        <v>2944</v>
      </c>
      <c r="D450" t="s">
        <v>3672</v>
      </c>
      <c r="E450" t="s">
        <v>4566</v>
      </c>
      <c r="F450" t="s">
        <v>4577</v>
      </c>
      <c r="G450" t="s">
        <v>4585</v>
      </c>
      <c r="H450" t="s">
        <v>4591</v>
      </c>
      <c r="I450">
        <v>1</v>
      </c>
      <c r="J450" t="s">
        <v>4898</v>
      </c>
      <c r="K450" t="s">
        <v>5460</v>
      </c>
      <c r="L450">
        <v>9.91</v>
      </c>
      <c r="M450" t="s">
        <v>5464</v>
      </c>
      <c r="N450" t="s">
        <v>5471</v>
      </c>
      <c r="O450" t="s">
        <v>5477</v>
      </c>
    </row>
    <row r="451" spans="1:15" x14ac:dyDescent="0.3">
      <c r="A451" t="s">
        <v>458</v>
      </c>
      <c r="B451" t="s">
        <v>1840</v>
      </c>
      <c r="C451" t="s">
        <v>2737</v>
      </c>
      <c r="D451" t="s">
        <v>3673</v>
      </c>
      <c r="E451" t="s">
        <v>4564</v>
      </c>
      <c r="F451" t="s">
        <v>4573</v>
      </c>
      <c r="G451" t="s">
        <v>4587</v>
      </c>
      <c r="H451" t="s">
        <v>4606</v>
      </c>
      <c r="I451">
        <v>3</v>
      </c>
      <c r="J451" t="s">
        <v>4899</v>
      </c>
      <c r="K451">
        <v>0.05</v>
      </c>
      <c r="L451">
        <v>11.03</v>
      </c>
      <c r="M451" t="s">
        <v>5465</v>
      </c>
      <c r="O451" t="s">
        <v>5477</v>
      </c>
    </row>
    <row r="452" spans="1:15" x14ac:dyDescent="0.3">
      <c r="A452" t="s">
        <v>459</v>
      </c>
      <c r="B452" t="s">
        <v>1841</v>
      </c>
      <c r="C452" t="s">
        <v>2721</v>
      </c>
      <c r="E452" t="s">
        <v>4568</v>
      </c>
      <c r="F452" t="s">
        <v>4582</v>
      </c>
      <c r="G452" t="s">
        <v>4586</v>
      </c>
      <c r="H452" t="s">
        <v>4593</v>
      </c>
      <c r="I452">
        <v>1</v>
      </c>
      <c r="J452" t="s">
        <v>4900</v>
      </c>
      <c r="K452">
        <v>0</v>
      </c>
      <c r="L452">
        <v>8</v>
      </c>
      <c r="M452" t="s">
        <v>5462</v>
      </c>
      <c r="N452" t="s">
        <v>5471</v>
      </c>
      <c r="O452" t="s">
        <v>5476</v>
      </c>
    </row>
    <row r="453" spans="1:15" x14ac:dyDescent="0.3">
      <c r="A453" t="s">
        <v>460</v>
      </c>
      <c r="B453" t="s">
        <v>1842</v>
      </c>
      <c r="C453" t="s">
        <v>2881</v>
      </c>
      <c r="D453" t="s">
        <v>3674</v>
      </c>
      <c r="E453" t="s">
        <v>4547</v>
      </c>
      <c r="F453" t="s">
        <v>4572</v>
      </c>
      <c r="G453" t="s">
        <v>4583</v>
      </c>
      <c r="H453" t="s">
        <v>4604</v>
      </c>
      <c r="I453">
        <v>3</v>
      </c>
      <c r="J453">
        <v>22.65</v>
      </c>
      <c r="K453">
        <v>0.05</v>
      </c>
      <c r="L453">
        <v>4.38</v>
      </c>
      <c r="M453" t="s">
        <v>5463</v>
      </c>
      <c r="N453" t="s">
        <v>5469</v>
      </c>
      <c r="O453" t="s">
        <v>5475</v>
      </c>
    </row>
    <row r="454" spans="1:15" x14ac:dyDescent="0.3">
      <c r="A454" t="s">
        <v>461</v>
      </c>
      <c r="B454" t="s">
        <v>1843</v>
      </c>
      <c r="C454" t="s">
        <v>2935</v>
      </c>
      <c r="D454" t="s">
        <v>3675</v>
      </c>
      <c r="E454" t="s">
        <v>4555</v>
      </c>
      <c r="F454" t="s">
        <v>4573</v>
      </c>
      <c r="G454" t="s">
        <v>4584</v>
      </c>
      <c r="H454" t="s">
        <v>4608</v>
      </c>
      <c r="I454">
        <v>4</v>
      </c>
      <c r="J454" t="s">
        <v>4901</v>
      </c>
      <c r="K454">
        <v>0</v>
      </c>
      <c r="L454">
        <v>6.34</v>
      </c>
      <c r="M454" t="s">
        <v>5462</v>
      </c>
      <c r="N454" t="s">
        <v>5474</v>
      </c>
      <c r="O454" t="s">
        <v>5477</v>
      </c>
    </row>
    <row r="455" spans="1:15" x14ac:dyDescent="0.3">
      <c r="A455" t="s">
        <v>462</v>
      </c>
      <c r="B455" t="s">
        <v>1844</v>
      </c>
      <c r="C455" t="s">
        <v>2945</v>
      </c>
      <c r="E455" t="s">
        <v>4566</v>
      </c>
      <c r="F455" t="s">
        <v>4582</v>
      </c>
      <c r="G455" t="s">
        <v>4585</v>
      </c>
      <c r="H455" t="s">
        <v>4598</v>
      </c>
      <c r="I455">
        <v>3</v>
      </c>
      <c r="J455" t="s">
        <v>4902</v>
      </c>
      <c r="K455" t="s">
        <v>5460</v>
      </c>
      <c r="L455">
        <v>2.88</v>
      </c>
      <c r="M455" t="s">
        <v>5462</v>
      </c>
      <c r="O455" t="s">
        <v>5476</v>
      </c>
    </row>
    <row r="456" spans="1:15" x14ac:dyDescent="0.3">
      <c r="A456" t="s">
        <v>463</v>
      </c>
      <c r="B456" t="s">
        <v>1845</v>
      </c>
      <c r="C456" t="s">
        <v>2946</v>
      </c>
      <c r="E456" t="s">
        <v>4556</v>
      </c>
      <c r="F456" t="s">
        <v>4575</v>
      </c>
      <c r="G456" t="s">
        <v>4587</v>
      </c>
      <c r="H456" t="s">
        <v>4606</v>
      </c>
      <c r="I456">
        <v>1</v>
      </c>
      <c r="J456">
        <v>29.32</v>
      </c>
      <c r="K456">
        <v>0</v>
      </c>
      <c r="L456">
        <v>5.01</v>
      </c>
      <c r="N456" t="s">
        <v>5469</v>
      </c>
      <c r="O456" t="s">
        <v>5477</v>
      </c>
    </row>
    <row r="457" spans="1:15" x14ac:dyDescent="0.3">
      <c r="A457" t="s">
        <v>464</v>
      </c>
      <c r="B457" t="s">
        <v>1846</v>
      </c>
      <c r="C457" t="s">
        <v>2829</v>
      </c>
      <c r="D457" t="s">
        <v>3676</v>
      </c>
      <c r="E457" t="s">
        <v>4556</v>
      </c>
      <c r="F457" t="s">
        <v>4575</v>
      </c>
      <c r="G457" t="s">
        <v>4587</v>
      </c>
      <c r="H457" t="s">
        <v>4606</v>
      </c>
      <c r="I457">
        <v>3</v>
      </c>
      <c r="J457" t="s">
        <v>4903</v>
      </c>
      <c r="K457">
        <v>0</v>
      </c>
      <c r="L457">
        <v>6.48</v>
      </c>
      <c r="N457" t="s">
        <v>5470</v>
      </c>
      <c r="O457" t="s">
        <v>5480</v>
      </c>
    </row>
    <row r="458" spans="1:15" x14ac:dyDescent="0.3">
      <c r="A458" t="s">
        <v>465</v>
      </c>
      <c r="B458" t="s">
        <v>1847</v>
      </c>
      <c r="C458" t="s">
        <v>2947</v>
      </c>
      <c r="D458" t="s">
        <v>3677</v>
      </c>
      <c r="E458" t="s">
        <v>4569</v>
      </c>
      <c r="G458" t="s">
        <v>4583</v>
      </c>
      <c r="H458" t="s">
        <v>4610</v>
      </c>
      <c r="I458">
        <v>1</v>
      </c>
      <c r="J458" t="s">
        <v>4904</v>
      </c>
      <c r="L458">
        <v>0</v>
      </c>
      <c r="M458" t="s">
        <v>5462</v>
      </c>
      <c r="N458" t="s">
        <v>5474</v>
      </c>
      <c r="O458" t="s">
        <v>5479</v>
      </c>
    </row>
    <row r="459" spans="1:15" x14ac:dyDescent="0.3">
      <c r="A459" t="s">
        <v>466</v>
      </c>
      <c r="B459" t="s">
        <v>1848</v>
      </c>
      <c r="C459" t="s">
        <v>2893</v>
      </c>
      <c r="D459" t="s">
        <v>3678</v>
      </c>
      <c r="E459" t="s">
        <v>4563</v>
      </c>
      <c r="F459" t="s">
        <v>4573</v>
      </c>
      <c r="G459" t="s">
        <v>4585</v>
      </c>
      <c r="H459" t="s">
        <v>4591</v>
      </c>
      <c r="I459">
        <v>1</v>
      </c>
      <c r="J459">
        <v>7.54</v>
      </c>
      <c r="L459">
        <v>7.31</v>
      </c>
      <c r="M459" t="s">
        <v>5462</v>
      </c>
      <c r="N459" t="s">
        <v>5471</v>
      </c>
      <c r="O459" t="s">
        <v>5477</v>
      </c>
    </row>
    <row r="460" spans="1:15" x14ac:dyDescent="0.3">
      <c r="A460" t="s">
        <v>467</v>
      </c>
      <c r="B460" t="s">
        <v>1849</v>
      </c>
      <c r="C460" t="s">
        <v>2810</v>
      </c>
      <c r="D460" t="s">
        <v>3679</v>
      </c>
      <c r="E460" t="s">
        <v>4550</v>
      </c>
      <c r="F460" t="s">
        <v>4573</v>
      </c>
      <c r="G460" t="s">
        <v>4583</v>
      </c>
      <c r="H460" t="s">
        <v>4605</v>
      </c>
      <c r="I460">
        <v>1</v>
      </c>
      <c r="J460">
        <v>45.84</v>
      </c>
      <c r="K460">
        <v>0.05</v>
      </c>
      <c r="L460">
        <v>8.06</v>
      </c>
      <c r="M460" t="s">
        <v>5462</v>
      </c>
      <c r="O460" t="s">
        <v>5478</v>
      </c>
    </row>
    <row r="461" spans="1:15" x14ac:dyDescent="0.3">
      <c r="A461" t="s">
        <v>468</v>
      </c>
      <c r="B461" t="s">
        <v>1850</v>
      </c>
      <c r="C461" t="s">
        <v>2948</v>
      </c>
      <c r="D461" t="s">
        <v>3680</v>
      </c>
      <c r="E461" t="s">
        <v>4559</v>
      </c>
      <c r="F461" t="s">
        <v>4582</v>
      </c>
      <c r="G461" t="s">
        <v>4584</v>
      </c>
      <c r="H461" t="s">
        <v>4595</v>
      </c>
      <c r="I461">
        <v>2</v>
      </c>
      <c r="J461" t="s">
        <v>4905</v>
      </c>
      <c r="K461" t="s">
        <v>5461</v>
      </c>
      <c r="L461">
        <v>0.95</v>
      </c>
      <c r="N461" t="s">
        <v>5472</v>
      </c>
      <c r="O461" t="s">
        <v>5476</v>
      </c>
    </row>
    <row r="462" spans="1:15" x14ac:dyDescent="0.3">
      <c r="A462" t="s">
        <v>469</v>
      </c>
      <c r="B462" t="s">
        <v>1851</v>
      </c>
      <c r="C462" t="s">
        <v>2949</v>
      </c>
      <c r="D462" t="s">
        <v>3681</v>
      </c>
      <c r="E462" t="s">
        <v>4547</v>
      </c>
      <c r="F462" t="s">
        <v>4580</v>
      </c>
      <c r="G462" t="s">
        <v>4585</v>
      </c>
      <c r="H462" t="s">
        <v>4598</v>
      </c>
      <c r="I462">
        <v>1</v>
      </c>
      <c r="J462" t="s">
        <v>4906</v>
      </c>
      <c r="L462">
        <v>0.5</v>
      </c>
      <c r="M462" t="s">
        <v>5468</v>
      </c>
      <c r="N462" t="s">
        <v>5473</v>
      </c>
      <c r="O462" t="s">
        <v>5477</v>
      </c>
    </row>
    <row r="463" spans="1:15" x14ac:dyDescent="0.3">
      <c r="A463" t="s">
        <v>470</v>
      </c>
      <c r="B463" t="s">
        <v>1852</v>
      </c>
      <c r="C463" t="s">
        <v>2931</v>
      </c>
      <c r="D463" t="s">
        <v>3682</v>
      </c>
      <c r="E463" t="s">
        <v>4568</v>
      </c>
      <c r="F463" t="s">
        <v>4582</v>
      </c>
      <c r="G463" t="s">
        <v>4583</v>
      </c>
      <c r="H463" t="s">
        <v>4610</v>
      </c>
      <c r="I463">
        <v>1</v>
      </c>
      <c r="J463" t="s">
        <v>4907</v>
      </c>
      <c r="K463">
        <v>0</v>
      </c>
      <c r="L463">
        <v>7.35</v>
      </c>
      <c r="M463" t="s">
        <v>5468</v>
      </c>
      <c r="N463" t="s">
        <v>5470</v>
      </c>
      <c r="O463" t="s">
        <v>5480</v>
      </c>
    </row>
    <row r="464" spans="1:15" x14ac:dyDescent="0.3">
      <c r="A464" t="s">
        <v>471</v>
      </c>
      <c r="B464" t="s">
        <v>1853</v>
      </c>
      <c r="C464" t="s">
        <v>2950</v>
      </c>
      <c r="D464" t="s">
        <v>3683</v>
      </c>
      <c r="E464" t="s">
        <v>4561</v>
      </c>
      <c r="F464" t="s">
        <v>4572</v>
      </c>
      <c r="G464" t="s">
        <v>4586</v>
      </c>
      <c r="H464" t="s">
        <v>4599</v>
      </c>
      <c r="I464">
        <v>1</v>
      </c>
      <c r="J464">
        <v>240.09</v>
      </c>
      <c r="K464" t="s">
        <v>5461</v>
      </c>
      <c r="L464">
        <v>12.39</v>
      </c>
      <c r="M464" t="s">
        <v>5464</v>
      </c>
      <c r="N464" t="s">
        <v>5473</v>
      </c>
      <c r="O464" t="s">
        <v>5480</v>
      </c>
    </row>
    <row r="465" spans="1:15" x14ac:dyDescent="0.3">
      <c r="A465" t="s">
        <v>472</v>
      </c>
      <c r="B465" t="s">
        <v>1854</v>
      </c>
      <c r="C465" t="s">
        <v>2826</v>
      </c>
      <c r="D465" t="s">
        <v>3684</v>
      </c>
      <c r="E465" t="s">
        <v>4556</v>
      </c>
      <c r="F465" t="s">
        <v>4575</v>
      </c>
      <c r="G465" t="s">
        <v>4583</v>
      </c>
      <c r="H465" t="s">
        <v>4604</v>
      </c>
      <c r="I465">
        <v>1</v>
      </c>
      <c r="J465" t="s">
        <v>4908</v>
      </c>
      <c r="K465">
        <v>0.1</v>
      </c>
      <c r="L465">
        <v>10.54</v>
      </c>
      <c r="M465" t="s">
        <v>5466</v>
      </c>
      <c r="N465" t="s">
        <v>5472</v>
      </c>
      <c r="O465" t="s">
        <v>5476</v>
      </c>
    </row>
    <row r="466" spans="1:15" x14ac:dyDescent="0.3">
      <c r="A466" t="s">
        <v>473</v>
      </c>
      <c r="B466" t="s">
        <v>1855</v>
      </c>
      <c r="C466" t="s">
        <v>2951</v>
      </c>
      <c r="D466" t="s">
        <v>3685</v>
      </c>
      <c r="E466" t="s">
        <v>4556</v>
      </c>
      <c r="F466" t="s">
        <v>4579</v>
      </c>
      <c r="G466" t="s">
        <v>4586</v>
      </c>
      <c r="H466" t="s">
        <v>4599</v>
      </c>
      <c r="I466">
        <v>1</v>
      </c>
      <c r="J466" t="s">
        <v>4909</v>
      </c>
      <c r="K466">
        <v>0</v>
      </c>
      <c r="L466">
        <v>13.22</v>
      </c>
      <c r="M466" t="s">
        <v>5464</v>
      </c>
      <c r="N466" t="s">
        <v>5471</v>
      </c>
      <c r="O466" t="s">
        <v>5477</v>
      </c>
    </row>
    <row r="467" spans="1:15" x14ac:dyDescent="0.3">
      <c r="A467" t="s">
        <v>474</v>
      </c>
      <c r="B467" t="s">
        <v>1856</v>
      </c>
      <c r="C467" t="s">
        <v>2952</v>
      </c>
      <c r="D467" t="s">
        <v>3686</v>
      </c>
      <c r="E467" t="s">
        <v>4554</v>
      </c>
      <c r="F467" t="s">
        <v>4573</v>
      </c>
      <c r="G467" t="s">
        <v>4587</v>
      </c>
      <c r="H467" t="s">
        <v>4596</v>
      </c>
      <c r="I467">
        <v>2</v>
      </c>
      <c r="J467" t="s">
        <v>4910</v>
      </c>
      <c r="K467" t="s">
        <v>5461</v>
      </c>
      <c r="L467">
        <v>9.7799999999999994</v>
      </c>
      <c r="M467" t="s">
        <v>5467</v>
      </c>
      <c r="N467" t="s">
        <v>5474</v>
      </c>
      <c r="O467" t="s">
        <v>5477</v>
      </c>
    </row>
    <row r="468" spans="1:15" x14ac:dyDescent="0.3">
      <c r="A468" t="s">
        <v>475</v>
      </c>
      <c r="B468" t="s">
        <v>1857</v>
      </c>
      <c r="C468" t="s">
        <v>2953</v>
      </c>
      <c r="D468" t="s">
        <v>3687</v>
      </c>
      <c r="E468" t="s">
        <v>4547</v>
      </c>
      <c r="F468" t="s">
        <v>4572</v>
      </c>
      <c r="G468" t="s">
        <v>4584</v>
      </c>
      <c r="H468" t="s">
        <v>4595</v>
      </c>
      <c r="I468">
        <v>5</v>
      </c>
      <c r="J468">
        <v>41.97</v>
      </c>
      <c r="L468">
        <v>11.66</v>
      </c>
      <c r="M468" t="s">
        <v>5466</v>
      </c>
      <c r="O468" t="s">
        <v>5478</v>
      </c>
    </row>
    <row r="469" spans="1:15" x14ac:dyDescent="0.3">
      <c r="A469" t="s">
        <v>476</v>
      </c>
      <c r="B469" t="s">
        <v>1858</v>
      </c>
      <c r="C469" t="s">
        <v>2703</v>
      </c>
      <c r="D469" t="s">
        <v>3688</v>
      </c>
      <c r="E469" t="s">
        <v>4559</v>
      </c>
      <c r="F469" t="s">
        <v>4573</v>
      </c>
      <c r="G469" t="s">
        <v>4586</v>
      </c>
      <c r="H469" t="s">
        <v>4593</v>
      </c>
      <c r="I469">
        <v>4</v>
      </c>
      <c r="J469" t="s">
        <v>4911</v>
      </c>
      <c r="K469">
        <v>0.1</v>
      </c>
      <c r="L469">
        <v>10.67</v>
      </c>
      <c r="M469" t="s">
        <v>5464</v>
      </c>
      <c r="N469" t="s">
        <v>5471</v>
      </c>
      <c r="O469" t="s">
        <v>5480</v>
      </c>
    </row>
    <row r="470" spans="1:15" x14ac:dyDescent="0.3">
      <c r="A470" t="s">
        <v>477</v>
      </c>
      <c r="B470" t="s">
        <v>1859</v>
      </c>
      <c r="C470" t="s">
        <v>2935</v>
      </c>
      <c r="E470" t="s">
        <v>4557</v>
      </c>
      <c r="F470" t="s">
        <v>4580</v>
      </c>
      <c r="G470" t="s">
        <v>4584</v>
      </c>
      <c r="H470" t="s">
        <v>4595</v>
      </c>
      <c r="I470">
        <v>4</v>
      </c>
      <c r="J470" t="s">
        <v>4912</v>
      </c>
      <c r="K470">
        <v>0.15</v>
      </c>
      <c r="L470">
        <v>7.38</v>
      </c>
      <c r="M470" t="s">
        <v>5464</v>
      </c>
      <c r="N470" t="s">
        <v>5470</v>
      </c>
      <c r="O470" t="s">
        <v>5476</v>
      </c>
    </row>
    <row r="471" spans="1:15" x14ac:dyDescent="0.3">
      <c r="A471" t="s">
        <v>478</v>
      </c>
      <c r="B471" t="s">
        <v>1860</v>
      </c>
      <c r="C471" t="s">
        <v>2954</v>
      </c>
      <c r="D471" t="s">
        <v>3689</v>
      </c>
      <c r="E471" t="s">
        <v>4565</v>
      </c>
      <c r="F471" t="s">
        <v>4575</v>
      </c>
      <c r="G471" t="s">
        <v>4583</v>
      </c>
      <c r="H471" t="s">
        <v>4588</v>
      </c>
      <c r="I471">
        <v>2</v>
      </c>
      <c r="J471">
        <v>38.47</v>
      </c>
      <c r="K471">
        <v>0.05</v>
      </c>
      <c r="L471">
        <v>14.08</v>
      </c>
      <c r="M471" t="s">
        <v>5468</v>
      </c>
      <c r="N471" t="s">
        <v>5473</v>
      </c>
      <c r="O471" t="s">
        <v>5477</v>
      </c>
    </row>
    <row r="472" spans="1:15" x14ac:dyDescent="0.3">
      <c r="A472" t="s">
        <v>479</v>
      </c>
      <c r="B472" t="s">
        <v>1861</v>
      </c>
      <c r="C472" t="s">
        <v>2955</v>
      </c>
      <c r="D472" t="s">
        <v>3690</v>
      </c>
      <c r="E472" t="s">
        <v>4557</v>
      </c>
      <c r="F472" t="s">
        <v>4581</v>
      </c>
      <c r="G472" t="s">
        <v>4585</v>
      </c>
      <c r="H472" t="s">
        <v>4590</v>
      </c>
      <c r="I472">
        <v>2</v>
      </c>
      <c r="J472" t="s">
        <v>4913</v>
      </c>
      <c r="K472" t="s">
        <v>5460</v>
      </c>
      <c r="L472">
        <v>8.17</v>
      </c>
      <c r="M472" t="s">
        <v>5467</v>
      </c>
      <c r="N472" t="s">
        <v>5471</v>
      </c>
      <c r="O472" t="s">
        <v>5477</v>
      </c>
    </row>
    <row r="473" spans="1:15" x14ac:dyDescent="0.3">
      <c r="A473" t="s">
        <v>480</v>
      </c>
      <c r="B473" t="s">
        <v>1862</v>
      </c>
      <c r="C473" t="s">
        <v>2956</v>
      </c>
      <c r="D473" t="s">
        <v>3691</v>
      </c>
      <c r="E473" t="s">
        <v>4551</v>
      </c>
      <c r="F473" t="s">
        <v>4575</v>
      </c>
      <c r="G473" t="s">
        <v>4587</v>
      </c>
      <c r="H473" t="s">
        <v>4594</v>
      </c>
      <c r="I473">
        <v>10</v>
      </c>
      <c r="J473" t="s">
        <v>4914</v>
      </c>
      <c r="K473">
        <v>0.05</v>
      </c>
      <c r="L473">
        <v>9.83</v>
      </c>
      <c r="M473" t="s">
        <v>5468</v>
      </c>
      <c r="N473" t="s">
        <v>5471</v>
      </c>
      <c r="O473" t="s">
        <v>5478</v>
      </c>
    </row>
    <row r="474" spans="1:15" x14ac:dyDescent="0.3">
      <c r="A474" t="s">
        <v>481</v>
      </c>
      <c r="B474" t="s">
        <v>1617</v>
      </c>
      <c r="C474" t="s">
        <v>2957</v>
      </c>
      <c r="D474" t="s">
        <v>3692</v>
      </c>
      <c r="E474" t="s">
        <v>4552</v>
      </c>
      <c r="F474" t="s">
        <v>4576</v>
      </c>
      <c r="G474" t="s">
        <v>4585</v>
      </c>
      <c r="H474" t="s">
        <v>4598</v>
      </c>
      <c r="I474">
        <v>2</v>
      </c>
      <c r="J474" t="s">
        <v>4915</v>
      </c>
      <c r="K474">
        <v>0.05</v>
      </c>
      <c r="L474">
        <v>6.22</v>
      </c>
      <c r="M474" t="s">
        <v>5465</v>
      </c>
      <c r="N474" t="s">
        <v>5470</v>
      </c>
      <c r="O474" t="s">
        <v>5478</v>
      </c>
    </row>
    <row r="475" spans="1:15" x14ac:dyDescent="0.3">
      <c r="A475" t="s">
        <v>482</v>
      </c>
      <c r="B475" t="s">
        <v>1863</v>
      </c>
      <c r="C475" t="s">
        <v>2859</v>
      </c>
      <c r="D475" t="s">
        <v>3693</v>
      </c>
      <c r="E475" t="s">
        <v>4553</v>
      </c>
      <c r="F475" t="s">
        <v>4573</v>
      </c>
      <c r="G475" t="s">
        <v>4587</v>
      </c>
      <c r="H475" t="s">
        <v>4600</v>
      </c>
      <c r="I475">
        <v>1</v>
      </c>
      <c r="J475" t="s">
        <v>4916</v>
      </c>
      <c r="K475">
        <v>0.15</v>
      </c>
      <c r="L475">
        <v>10.55</v>
      </c>
      <c r="M475" t="s">
        <v>5468</v>
      </c>
      <c r="N475" t="s">
        <v>5469</v>
      </c>
      <c r="O475" t="s">
        <v>5475</v>
      </c>
    </row>
    <row r="476" spans="1:15" x14ac:dyDescent="0.3">
      <c r="A476" t="s">
        <v>483</v>
      </c>
      <c r="B476" t="s">
        <v>1864</v>
      </c>
      <c r="C476" t="s">
        <v>2663</v>
      </c>
      <c r="D476" t="s">
        <v>3694</v>
      </c>
      <c r="E476" t="s">
        <v>4553</v>
      </c>
      <c r="F476" t="s">
        <v>4577</v>
      </c>
      <c r="G476" t="s">
        <v>4585</v>
      </c>
      <c r="H476" t="s">
        <v>4592</v>
      </c>
      <c r="I476">
        <v>5</v>
      </c>
      <c r="J476" t="s">
        <v>4917</v>
      </c>
      <c r="K476" t="s">
        <v>5460</v>
      </c>
      <c r="L476">
        <v>9.2200000000000006</v>
      </c>
      <c r="M476" t="s">
        <v>5465</v>
      </c>
      <c r="N476" t="s">
        <v>5474</v>
      </c>
      <c r="O476" t="s">
        <v>5477</v>
      </c>
    </row>
    <row r="477" spans="1:15" x14ac:dyDescent="0.3">
      <c r="A477" t="s">
        <v>484</v>
      </c>
      <c r="B477" t="s">
        <v>1865</v>
      </c>
      <c r="C477" t="s">
        <v>2663</v>
      </c>
      <c r="D477" t="s">
        <v>3695</v>
      </c>
      <c r="E477" t="s">
        <v>4550</v>
      </c>
      <c r="F477" t="s">
        <v>4574</v>
      </c>
      <c r="G477" t="s">
        <v>4585</v>
      </c>
      <c r="H477" t="s">
        <v>4592</v>
      </c>
      <c r="I477">
        <v>-1</v>
      </c>
      <c r="J477" t="s">
        <v>4751</v>
      </c>
      <c r="K477">
        <v>0.15</v>
      </c>
      <c r="L477">
        <v>0.31</v>
      </c>
      <c r="M477" t="s">
        <v>5462</v>
      </c>
      <c r="N477" t="s">
        <v>5471</v>
      </c>
      <c r="O477" t="s">
        <v>5477</v>
      </c>
    </row>
    <row r="478" spans="1:15" x14ac:dyDescent="0.3">
      <c r="A478" t="s">
        <v>485</v>
      </c>
      <c r="B478" t="s">
        <v>1866</v>
      </c>
      <c r="C478" t="s">
        <v>2732</v>
      </c>
      <c r="D478" t="s">
        <v>3696</v>
      </c>
      <c r="E478" t="s">
        <v>4561</v>
      </c>
      <c r="F478" t="s">
        <v>4581</v>
      </c>
      <c r="G478" t="s">
        <v>4587</v>
      </c>
      <c r="H478" t="s">
        <v>4596</v>
      </c>
      <c r="I478">
        <v>1</v>
      </c>
      <c r="J478" t="s">
        <v>4918</v>
      </c>
      <c r="K478">
        <v>0.05</v>
      </c>
      <c r="L478">
        <v>5.21</v>
      </c>
      <c r="M478" t="s">
        <v>5468</v>
      </c>
      <c r="N478" t="s">
        <v>5471</v>
      </c>
      <c r="O478" t="s">
        <v>5477</v>
      </c>
    </row>
    <row r="479" spans="1:15" x14ac:dyDescent="0.3">
      <c r="A479" t="s">
        <v>486</v>
      </c>
      <c r="B479" t="s">
        <v>1867</v>
      </c>
      <c r="C479" t="s">
        <v>2839</v>
      </c>
      <c r="D479" t="s">
        <v>3697</v>
      </c>
      <c r="E479" t="s">
        <v>4570</v>
      </c>
      <c r="F479" t="s">
        <v>4574</v>
      </c>
      <c r="G479" t="s">
        <v>4584</v>
      </c>
      <c r="H479" t="s">
        <v>4595</v>
      </c>
      <c r="I479">
        <v>4</v>
      </c>
      <c r="J479" t="s">
        <v>4919</v>
      </c>
      <c r="K479" t="s">
        <v>5461</v>
      </c>
      <c r="L479">
        <v>5.95</v>
      </c>
      <c r="N479" t="s">
        <v>5471</v>
      </c>
      <c r="O479" t="s">
        <v>5477</v>
      </c>
    </row>
    <row r="480" spans="1:15" x14ac:dyDescent="0.3">
      <c r="A480" t="s">
        <v>487</v>
      </c>
      <c r="B480" t="s">
        <v>1868</v>
      </c>
      <c r="C480" t="s">
        <v>2891</v>
      </c>
      <c r="D480" t="s">
        <v>3698</v>
      </c>
      <c r="E480" t="s">
        <v>4559</v>
      </c>
      <c r="F480" t="s">
        <v>4582</v>
      </c>
      <c r="G480" t="s">
        <v>4586</v>
      </c>
      <c r="H480" t="s">
        <v>4599</v>
      </c>
      <c r="I480">
        <v>2</v>
      </c>
      <c r="J480">
        <v>253.87</v>
      </c>
      <c r="K480">
        <v>0.15</v>
      </c>
      <c r="L480">
        <v>0.04</v>
      </c>
      <c r="M480" t="s">
        <v>5467</v>
      </c>
      <c r="N480" t="s">
        <v>5472</v>
      </c>
      <c r="O480" t="s">
        <v>5477</v>
      </c>
    </row>
    <row r="481" spans="1:15" x14ac:dyDescent="0.3">
      <c r="A481" t="s">
        <v>488</v>
      </c>
      <c r="B481" t="s">
        <v>1869</v>
      </c>
      <c r="C481" t="s">
        <v>2958</v>
      </c>
      <c r="D481" t="s">
        <v>3699</v>
      </c>
      <c r="E481" t="s">
        <v>4568</v>
      </c>
      <c r="F481" t="s">
        <v>4577</v>
      </c>
      <c r="G481" t="s">
        <v>4586</v>
      </c>
      <c r="H481" t="s">
        <v>4593</v>
      </c>
      <c r="I481">
        <v>3</v>
      </c>
      <c r="J481" t="s">
        <v>4920</v>
      </c>
      <c r="K481">
        <v>0</v>
      </c>
      <c r="L481">
        <v>0</v>
      </c>
      <c r="M481" t="s">
        <v>5468</v>
      </c>
      <c r="O481" t="s">
        <v>5480</v>
      </c>
    </row>
    <row r="482" spans="1:15" x14ac:dyDescent="0.3">
      <c r="A482" t="s">
        <v>489</v>
      </c>
      <c r="B482" t="s">
        <v>1870</v>
      </c>
      <c r="C482" t="s">
        <v>2959</v>
      </c>
      <c r="D482" t="s">
        <v>3700</v>
      </c>
      <c r="E482" t="s">
        <v>4558</v>
      </c>
      <c r="F482" t="s">
        <v>4572</v>
      </c>
      <c r="G482" t="s">
        <v>4586</v>
      </c>
      <c r="H482" t="s">
        <v>4597</v>
      </c>
      <c r="I482">
        <v>4</v>
      </c>
      <c r="J482">
        <v>92.41</v>
      </c>
      <c r="K482">
        <v>0.05</v>
      </c>
      <c r="L482">
        <v>2.98</v>
      </c>
      <c r="M482" t="s">
        <v>5466</v>
      </c>
      <c r="N482" t="s">
        <v>5471</v>
      </c>
      <c r="O482" t="s">
        <v>5477</v>
      </c>
    </row>
    <row r="483" spans="1:15" x14ac:dyDescent="0.3">
      <c r="A483" t="s">
        <v>490</v>
      </c>
      <c r="B483" t="s">
        <v>1871</v>
      </c>
      <c r="C483" t="s">
        <v>2759</v>
      </c>
      <c r="E483" t="s">
        <v>4550</v>
      </c>
      <c r="F483" t="s">
        <v>4573</v>
      </c>
      <c r="G483" t="s">
        <v>4584</v>
      </c>
      <c r="H483" t="s">
        <v>4608</v>
      </c>
      <c r="I483">
        <v>1</v>
      </c>
      <c r="J483" t="s">
        <v>4843</v>
      </c>
      <c r="K483">
        <v>0</v>
      </c>
      <c r="M483" t="s">
        <v>5466</v>
      </c>
      <c r="N483" t="s">
        <v>5474</v>
      </c>
      <c r="O483" t="s">
        <v>5477</v>
      </c>
    </row>
    <row r="484" spans="1:15" x14ac:dyDescent="0.3">
      <c r="A484" t="s">
        <v>491</v>
      </c>
      <c r="B484" t="s">
        <v>1872</v>
      </c>
      <c r="C484" t="s">
        <v>2666</v>
      </c>
      <c r="D484" t="s">
        <v>3701</v>
      </c>
      <c r="E484" t="s">
        <v>4562</v>
      </c>
      <c r="G484" t="s">
        <v>4583</v>
      </c>
      <c r="H484" t="s">
        <v>4605</v>
      </c>
      <c r="I484">
        <v>-1</v>
      </c>
      <c r="J484" t="s">
        <v>4921</v>
      </c>
      <c r="K484">
        <v>0</v>
      </c>
      <c r="L484">
        <v>14.84</v>
      </c>
      <c r="M484" t="s">
        <v>5464</v>
      </c>
      <c r="N484" t="s">
        <v>5469</v>
      </c>
      <c r="O484" t="s">
        <v>5478</v>
      </c>
    </row>
    <row r="485" spans="1:15" x14ac:dyDescent="0.3">
      <c r="A485" t="s">
        <v>357</v>
      </c>
      <c r="B485" t="s">
        <v>1749</v>
      </c>
      <c r="C485" t="s">
        <v>2722</v>
      </c>
      <c r="D485" t="s">
        <v>3581</v>
      </c>
      <c r="E485" t="s">
        <v>4557</v>
      </c>
      <c r="F485" t="s">
        <v>4572</v>
      </c>
      <c r="G485" t="s">
        <v>4586</v>
      </c>
      <c r="H485" t="s">
        <v>4593</v>
      </c>
      <c r="I485">
        <v>10</v>
      </c>
      <c r="J485">
        <v>109.79</v>
      </c>
      <c r="L485">
        <v>10.97</v>
      </c>
      <c r="M485" t="s">
        <v>5466</v>
      </c>
      <c r="N485" t="s">
        <v>5472</v>
      </c>
      <c r="O485" t="s">
        <v>5478</v>
      </c>
    </row>
    <row r="486" spans="1:15" x14ac:dyDescent="0.3">
      <c r="A486" t="s">
        <v>492</v>
      </c>
      <c r="B486" t="s">
        <v>1873</v>
      </c>
      <c r="C486" t="s">
        <v>2960</v>
      </c>
      <c r="D486" t="s">
        <v>3702</v>
      </c>
      <c r="E486" t="s">
        <v>4555</v>
      </c>
      <c r="F486" t="s">
        <v>4578</v>
      </c>
      <c r="G486" t="s">
        <v>4585</v>
      </c>
      <c r="H486" t="s">
        <v>4592</v>
      </c>
      <c r="I486">
        <v>2</v>
      </c>
      <c r="J486" t="s">
        <v>4922</v>
      </c>
      <c r="K486">
        <v>0</v>
      </c>
      <c r="L486">
        <v>11.22</v>
      </c>
      <c r="M486" t="s">
        <v>5468</v>
      </c>
      <c r="O486" t="s">
        <v>5475</v>
      </c>
    </row>
    <row r="487" spans="1:15" x14ac:dyDescent="0.3">
      <c r="A487" t="s">
        <v>493</v>
      </c>
      <c r="B487" t="s">
        <v>1874</v>
      </c>
      <c r="C487" t="s">
        <v>2961</v>
      </c>
      <c r="D487" t="s">
        <v>3703</v>
      </c>
      <c r="E487" t="s">
        <v>4560</v>
      </c>
      <c r="F487" t="s">
        <v>4574</v>
      </c>
      <c r="G487" t="s">
        <v>4585</v>
      </c>
      <c r="H487" t="s">
        <v>4592</v>
      </c>
      <c r="I487">
        <v>3</v>
      </c>
      <c r="J487">
        <v>6.41</v>
      </c>
      <c r="K487">
        <v>0</v>
      </c>
      <c r="L487">
        <v>4.26</v>
      </c>
      <c r="M487" t="s">
        <v>5463</v>
      </c>
      <c r="N487" t="s">
        <v>5472</v>
      </c>
      <c r="O487" t="s">
        <v>5477</v>
      </c>
    </row>
    <row r="488" spans="1:15" x14ac:dyDescent="0.3">
      <c r="A488" t="s">
        <v>494</v>
      </c>
      <c r="B488" t="s">
        <v>1875</v>
      </c>
      <c r="C488" t="s">
        <v>2962</v>
      </c>
      <c r="D488" t="s">
        <v>3704</v>
      </c>
      <c r="E488" t="s">
        <v>4562</v>
      </c>
      <c r="F488" t="s">
        <v>4576</v>
      </c>
      <c r="G488" t="s">
        <v>4583</v>
      </c>
      <c r="H488" t="s">
        <v>4604</v>
      </c>
      <c r="I488">
        <v>10</v>
      </c>
      <c r="J488">
        <v>23.61</v>
      </c>
      <c r="K488">
        <v>0</v>
      </c>
      <c r="L488">
        <v>0</v>
      </c>
      <c r="M488" t="s">
        <v>5465</v>
      </c>
      <c r="N488" t="s">
        <v>5473</v>
      </c>
      <c r="O488" t="s">
        <v>5477</v>
      </c>
    </row>
    <row r="489" spans="1:15" x14ac:dyDescent="0.3">
      <c r="A489" t="s">
        <v>495</v>
      </c>
      <c r="B489" t="s">
        <v>1876</v>
      </c>
      <c r="C489" t="s">
        <v>2807</v>
      </c>
      <c r="D489" t="s">
        <v>3705</v>
      </c>
      <c r="E489" t="s">
        <v>4563</v>
      </c>
      <c r="F489" t="s">
        <v>4578</v>
      </c>
      <c r="G489" t="s">
        <v>4584</v>
      </c>
      <c r="H489" t="s">
        <v>4589</v>
      </c>
      <c r="I489">
        <v>1</v>
      </c>
      <c r="J489">
        <v>34.799999999999997</v>
      </c>
      <c r="K489">
        <v>0</v>
      </c>
      <c r="L489">
        <v>6.48</v>
      </c>
      <c r="M489" t="s">
        <v>5466</v>
      </c>
      <c r="N489" t="s">
        <v>5471</v>
      </c>
      <c r="O489" t="s">
        <v>5477</v>
      </c>
    </row>
    <row r="490" spans="1:15" x14ac:dyDescent="0.3">
      <c r="A490" t="s">
        <v>496</v>
      </c>
      <c r="B490" t="s">
        <v>1877</v>
      </c>
      <c r="C490" t="s">
        <v>2779</v>
      </c>
      <c r="D490" t="s">
        <v>3706</v>
      </c>
      <c r="E490" t="s">
        <v>4567</v>
      </c>
      <c r="F490" t="s">
        <v>4577</v>
      </c>
      <c r="G490" t="s">
        <v>4585</v>
      </c>
      <c r="H490" t="s">
        <v>4598</v>
      </c>
      <c r="I490">
        <v>1</v>
      </c>
      <c r="J490" t="s">
        <v>4923</v>
      </c>
      <c r="L490">
        <v>7.09</v>
      </c>
      <c r="M490" t="s">
        <v>5466</v>
      </c>
      <c r="N490" t="s">
        <v>5471</v>
      </c>
      <c r="O490" t="s">
        <v>5480</v>
      </c>
    </row>
    <row r="491" spans="1:15" x14ac:dyDescent="0.3">
      <c r="A491" t="s">
        <v>497</v>
      </c>
      <c r="B491" t="s">
        <v>1878</v>
      </c>
      <c r="C491" t="s">
        <v>2963</v>
      </c>
      <c r="D491" t="s">
        <v>3707</v>
      </c>
      <c r="E491" t="s">
        <v>4557</v>
      </c>
      <c r="F491" t="s">
        <v>4581</v>
      </c>
      <c r="G491" t="s">
        <v>4584</v>
      </c>
      <c r="H491" t="s">
        <v>4603</v>
      </c>
      <c r="I491">
        <v>5</v>
      </c>
      <c r="J491" t="s">
        <v>4924</v>
      </c>
      <c r="K491">
        <v>0.05</v>
      </c>
      <c r="L491">
        <v>8.33</v>
      </c>
      <c r="M491" t="s">
        <v>5464</v>
      </c>
      <c r="N491" t="s">
        <v>5473</v>
      </c>
      <c r="O491" t="s">
        <v>5478</v>
      </c>
    </row>
    <row r="492" spans="1:15" x14ac:dyDescent="0.3">
      <c r="A492" t="s">
        <v>498</v>
      </c>
      <c r="B492" t="s">
        <v>1421</v>
      </c>
      <c r="C492" t="s">
        <v>2939</v>
      </c>
      <c r="D492" t="s">
        <v>3708</v>
      </c>
      <c r="E492" t="s">
        <v>4566</v>
      </c>
      <c r="F492" t="s">
        <v>4573</v>
      </c>
      <c r="G492" t="s">
        <v>4583</v>
      </c>
      <c r="H492" t="s">
        <v>4604</v>
      </c>
      <c r="I492">
        <v>1</v>
      </c>
      <c r="J492" t="s">
        <v>4925</v>
      </c>
      <c r="K492">
        <v>0</v>
      </c>
      <c r="L492">
        <v>5.05</v>
      </c>
      <c r="M492" t="s">
        <v>5464</v>
      </c>
      <c r="O492" t="s">
        <v>5477</v>
      </c>
    </row>
    <row r="493" spans="1:15" x14ac:dyDescent="0.3">
      <c r="A493" t="s">
        <v>499</v>
      </c>
      <c r="B493" t="s">
        <v>1879</v>
      </c>
      <c r="C493" t="s">
        <v>2964</v>
      </c>
      <c r="D493" t="s">
        <v>3709</v>
      </c>
      <c r="E493" t="s">
        <v>4559</v>
      </c>
      <c r="F493" t="s">
        <v>4582</v>
      </c>
      <c r="G493" t="s">
        <v>4583</v>
      </c>
      <c r="H493" t="s">
        <v>4610</v>
      </c>
      <c r="I493">
        <v>1</v>
      </c>
      <c r="J493">
        <v>82.97</v>
      </c>
      <c r="K493">
        <v>0</v>
      </c>
      <c r="L493">
        <v>10.3</v>
      </c>
      <c r="M493" t="s">
        <v>5462</v>
      </c>
      <c r="N493" t="s">
        <v>5473</v>
      </c>
      <c r="O493" t="s">
        <v>5475</v>
      </c>
    </row>
    <row r="494" spans="1:15" x14ac:dyDescent="0.3">
      <c r="A494" t="s">
        <v>500</v>
      </c>
      <c r="B494" t="s">
        <v>1880</v>
      </c>
      <c r="C494" t="s">
        <v>2965</v>
      </c>
      <c r="D494" t="s">
        <v>3710</v>
      </c>
      <c r="E494" t="s">
        <v>4554</v>
      </c>
      <c r="F494" t="s">
        <v>4573</v>
      </c>
      <c r="G494" t="s">
        <v>4585</v>
      </c>
      <c r="H494" t="s">
        <v>4598</v>
      </c>
      <c r="I494">
        <v>2</v>
      </c>
      <c r="J494" t="s">
        <v>4926</v>
      </c>
      <c r="K494">
        <v>0.15</v>
      </c>
      <c r="L494">
        <v>11.8</v>
      </c>
      <c r="M494" t="s">
        <v>5462</v>
      </c>
      <c r="O494" t="s">
        <v>5479</v>
      </c>
    </row>
    <row r="495" spans="1:15" x14ac:dyDescent="0.3">
      <c r="A495" t="s">
        <v>501</v>
      </c>
      <c r="B495" t="s">
        <v>1881</v>
      </c>
      <c r="C495" t="s">
        <v>2927</v>
      </c>
      <c r="D495" t="s">
        <v>3711</v>
      </c>
      <c r="E495" t="s">
        <v>4551</v>
      </c>
      <c r="F495" t="s">
        <v>4576</v>
      </c>
      <c r="G495" t="s">
        <v>4586</v>
      </c>
      <c r="H495" t="s">
        <v>4597</v>
      </c>
      <c r="I495">
        <v>1</v>
      </c>
      <c r="J495">
        <v>87.59</v>
      </c>
      <c r="K495" t="s">
        <v>5461</v>
      </c>
      <c r="L495">
        <v>11.48</v>
      </c>
      <c r="N495" t="s">
        <v>5471</v>
      </c>
      <c r="O495" t="s">
        <v>5477</v>
      </c>
    </row>
    <row r="496" spans="1:15" x14ac:dyDescent="0.3">
      <c r="A496" t="s">
        <v>502</v>
      </c>
      <c r="B496" t="s">
        <v>1795</v>
      </c>
      <c r="C496" t="s">
        <v>2966</v>
      </c>
      <c r="D496" t="s">
        <v>3712</v>
      </c>
      <c r="E496" t="s">
        <v>4571</v>
      </c>
      <c r="F496" t="s">
        <v>4573</v>
      </c>
      <c r="G496" t="s">
        <v>4583</v>
      </c>
      <c r="H496" t="s">
        <v>4605</v>
      </c>
      <c r="I496">
        <v>5</v>
      </c>
      <c r="J496">
        <v>42.81</v>
      </c>
      <c r="K496">
        <v>0</v>
      </c>
      <c r="L496">
        <v>11.01</v>
      </c>
      <c r="M496" t="s">
        <v>5462</v>
      </c>
      <c r="N496" t="s">
        <v>5469</v>
      </c>
      <c r="O496" t="s">
        <v>5477</v>
      </c>
    </row>
    <row r="497" spans="1:15" x14ac:dyDescent="0.3">
      <c r="A497" t="s">
        <v>503</v>
      </c>
      <c r="B497" t="s">
        <v>1882</v>
      </c>
      <c r="C497" t="s">
        <v>2740</v>
      </c>
      <c r="D497" t="s">
        <v>3713</v>
      </c>
      <c r="E497" t="s">
        <v>4553</v>
      </c>
      <c r="F497" t="s">
        <v>4582</v>
      </c>
      <c r="G497" t="s">
        <v>4583</v>
      </c>
      <c r="H497" t="s">
        <v>4605</v>
      </c>
      <c r="I497">
        <v>-1</v>
      </c>
      <c r="J497">
        <v>46.19</v>
      </c>
      <c r="K497" t="s">
        <v>5461</v>
      </c>
      <c r="L497">
        <v>8.4499999999999993</v>
      </c>
      <c r="M497" t="s">
        <v>5463</v>
      </c>
      <c r="O497" t="s">
        <v>5478</v>
      </c>
    </row>
    <row r="498" spans="1:15" x14ac:dyDescent="0.3">
      <c r="A498" t="s">
        <v>504</v>
      </c>
      <c r="B498" t="s">
        <v>1883</v>
      </c>
      <c r="C498" t="s">
        <v>2967</v>
      </c>
      <c r="D498" t="s">
        <v>3714</v>
      </c>
      <c r="E498" t="s">
        <v>4568</v>
      </c>
      <c r="F498" t="s">
        <v>4577</v>
      </c>
      <c r="G498" t="s">
        <v>4587</v>
      </c>
      <c r="H498" t="s">
        <v>4606</v>
      </c>
      <c r="I498">
        <v>-1</v>
      </c>
      <c r="J498" t="s">
        <v>4927</v>
      </c>
      <c r="K498">
        <v>0</v>
      </c>
      <c r="N498" t="s">
        <v>5471</v>
      </c>
      <c r="O498" t="s">
        <v>5478</v>
      </c>
    </row>
    <row r="499" spans="1:15" x14ac:dyDescent="0.3">
      <c r="A499" t="s">
        <v>505</v>
      </c>
      <c r="B499" t="s">
        <v>1884</v>
      </c>
      <c r="C499" t="s">
        <v>2846</v>
      </c>
      <c r="D499" t="s">
        <v>3715</v>
      </c>
      <c r="E499" t="s">
        <v>4570</v>
      </c>
      <c r="F499" t="s">
        <v>4574</v>
      </c>
      <c r="G499" t="s">
        <v>4587</v>
      </c>
      <c r="H499" t="s">
        <v>4600</v>
      </c>
      <c r="I499">
        <v>1</v>
      </c>
      <c r="J499">
        <v>13.47</v>
      </c>
      <c r="K499">
        <v>0.05</v>
      </c>
      <c r="L499">
        <v>14.8</v>
      </c>
      <c r="M499" t="s">
        <v>5465</v>
      </c>
      <c r="N499" t="s">
        <v>5471</v>
      </c>
      <c r="O499" t="s">
        <v>5477</v>
      </c>
    </row>
    <row r="500" spans="1:15" x14ac:dyDescent="0.3">
      <c r="A500" t="s">
        <v>506</v>
      </c>
      <c r="B500" t="s">
        <v>1885</v>
      </c>
      <c r="C500" t="s">
        <v>2968</v>
      </c>
      <c r="D500" t="s">
        <v>3716</v>
      </c>
      <c r="E500" t="s">
        <v>4569</v>
      </c>
      <c r="F500" t="s">
        <v>4580</v>
      </c>
      <c r="G500" t="s">
        <v>4586</v>
      </c>
      <c r="H500" t="s">
        <v>4599</v>
      </c>
      <c r="I500">
        <v>3</v>
      </c>
      <c r="J500">
        <v>261.13</v>
      </c>
      <c r="K500" t="s">
        <v>5461</v>
      </c>
      <c r="L500">
        <v>13.53</v>
      </c>
      <c r="M500" t="s">
        <v>5462</v>
      </c>
      <c r="N500" t="s">
        <v>5474</v>
      </c>
      <c r="O500" t="s">
        <v>5479</v>
      </c>
    </row>
    <row r="501" spans="1:15" x14ac:dyDescent="0.3">
      <c r="A501" t="s">
        <v>507</v>
      </c>
      <c r="B501" t="s">
        <v>1886</v>
      </c>
      <c r="C501" t="s">
        <v>2675</v>
      </c>
      <c r="D501" t="s">
        <v>3717</v>
      </c>
      <c r="E501" t="s">
        <v>4566</v>
      </c>
      <c r="F501" t="s">
        <v>4577</v>
      </c>
      <c r="G501" t="s">
        <v>4586</v>
      </c>
      <c r="H501" t="s">
        <v>4609</v>
      </c>
      <c r="I501">
        <v>10</v>
      </c>
      <c r="J501" t="s">
        <v>4928</v>
      </c>
      <c r="L501">
        <v>0</v>
      </c>
      <c r="M501" t="s">
        <v>5463</v>
      </c>
      <c r="N501" t="s">
        <v>5471</v>
      </c>
      <c r="O501" t="s">
        <v>5477</v>
      </c>
    </row>
    <row r="502" spans="1:15" x14ac:dyDescent="0.3">
      <c r="A502" t="s">
        <v>508</v>
      </c>
      <c r="B502" t="s">
        <v>1887</v>
      </c>
      <c r="C502" t="s">
        <v>2969</v>
      </c>
      <c r="E502" t="s">
        <v>4571</v>
      </c>
      <c r="F502" t="s">
        <v>4573</v>
      </c>
      <c r="G502" t="s">
        <v>4585</v>
      </c>
      <c r="H502" t="s">
        <v>4592</v>
      </c>
      <c r="I502">
        <v>1</v>
      </c>
      <c r="J502" t="s">
        <v>4929</v>
      </c>
      <c r="K502" t="s">
        <v>5460</v>
      </c>
      <c r="L502">
        <v>9.1300000000000008</v>
      </c>
      <c r="M502" t="s">
        <v>5468</v>
      </c>
      <c r="N502" t="s">
        <v>5469</v>
      </c>
      <c r="O502" t="s">
        <v>5479</v>
      </c>
    </row>
    <row r="503" spans="1:15" x14ac:dyDescent="0.3">
      <c r="A503" t="s">
        <v>509</v>
      </c>
      <c r="B503" t="s">
        <v>1888</v>
      </c>
      <c r="C503" t="s">
        <v>2962</v>
      </c>
      <c r="D503" t="s">
        <v>3718</v>
      </c>
      <c r="E503" t="s">
        <v>4558</v>
      </c>
      <c r="F503" t="s">
        <v>4572</v>
      </c>
      <c r="G503" t="s">
        <v>4583</v>
      </c>
      <c r="H503" t="s">
        <v>4588</v>
      </c>
      <c r="I503">
        <v>2</v>
      </c>
      <c r="J503" t="s">
        <v>4930</v>
      </c>
      <c r="K503" t="s">
        <v>5461</v>
      </c>
      <c r="L503">
        <v>3.92</v>
      </c>
      <c r="M503" t="s">
        <v>5462</v>
      </c>
      <c r="N503" t="s">
        <v>5470</v>
      </c>
      <c r="O503" t="s">
        <v>5478</v>
      </c>
    </row>
    <row r="504" spans="1:15" x14ac:dyDescent="0.3">
      <c r="A504" t="s">
        <v>510</v>
      </c>
      <c r="B504" t="s">
        <v>1889</v>
      </c>
      <c r="C504" t="s">
        <v>2669</v>
      </c>
      <c r="D504" t="s">
        <v>3719</v>
      </c>
      <c r="E504" t="s">
        <v>4555</v>
      </c>
      <c r="F504" t="s">
        <v>4578</v>
      </c>
      <c r="G504" t="s">
        <v>4586</v>
      </c>
      <c r="H504" t="s">
        <v>4597</v>
      </c>
      <c r="I504">
        <v>10</v>
      </c>
      <c r="J504">
        <v>89.89</v>
      </c>
      <c r="K504" t="s">
        <v>5460</v>
      </c>
      <c r="L504">
        <v>5.79</v>
      </c>
      <c r="M504" t="s">
        <v>5464</v>
      </c>
      <c r="N504" t="s">
        <v>5473</v>
      </c>
      <c r="O504" t="s">
        <v>5478</v>
      </c>
    </row>
    <row r="505" spans="1:15" x14ac:dyDescent="0.3">
      <c r="A505" t="s">
        <v>511</v>
      </c>
      <c r="B505" t="s">
        <v>1890</v>
      </c>
      <c r="C505" t="s">
        <v>2970</v>
      </c>
      <c r="D505" t="s">
        <v>3720</v>
      </c>
      <c r="E505" t="s">
        <v>4565</v>
      </c>
      <c r="F505" t="s">
        <v>4576</v>
      </c>
      <c r="G505" t="s">
        <v>4584</v>
      </c>
      <c r="H505" t="s">
        <v>4589</v>
      </c>
      <c r="I505">
        <v>1</v>
      </c>
      <c r="J505">
        <v>33.619999999999997</v>
      </c>
      <c r="K505">
        <v>0</v>
      </c>
      <c r="L505">
        <v>0</v>
      </c>
      <c r="M505" t="s">
        <v>5468</v>
      </c>
      <c r="N505" t="s">
        <v>5471</v>
      </c>
      <c r="O505" t="s">
        <v>5477</v>
      </c>
    </row>
    <row r="506" spans="1:15" x14ac:dyDescent="0.3">
      <c r="A506" t="s">
        <v>512</v>
      </c>
      <c r="B506" t="s">
        <v>1891</v>
      </c>
      <c r="C506" t="s">
        <v>2971</v>
      </c>
      <c r="D506" t="s">
        <v>3721</v>
      </c>
      <c r="E506" t="s">
        <v>4555</v>
      </c>
      <c r="F506" t="s">
        <v>4578</v>
      </c>
      <c r="G506" t="s">
        <v>4585</v>
      </c>
      <c r="H506" t="s">
        <v>4591</v>
      </c>
      <c r="I506">
        <v>1</v>
      </c>
      <c r="J506" t="s">
        <v>4931</v>
      </c>
      <c r="K506">
        <v>0</v>
      </c>
      <c r="L506">
        <v>12.26</v>
      </c>
      <c r="M506" t="s">
        <v>5468</v>
      </c>
      <c r="N506" t="s">
        <v>5471</v>
      </c>
      <c r="O506" t="s">
        <v>5477</v>
      </c>
    </row>
    <row r="507" spans="1:15" x14ac:dyDescent="0.3">
      <c r="A507" t="s">
        <v>513</v>
      </c>
      <c r="B507" t="s">
        <v>1892</v>
      </c>
      <c r="C507" t="s">
        <v>2972</v>
      </c>
      <c r="D507" t="s">
        <v>3722</v>
      </c>
      <c r="E507" t="s">
        <v>4555</v>
      </c>
      <c r="F507" t="s">
        <v>4578</v>
      </c>
      <c r="G507" t="s">
        <v>4585</v>
      </c>
      <c r="H507" t="s">
        <v>4602</v>
      </c>
      <c r="I507">
        <v>5</v>
      </c>
      <c r="J507">
        <v>4.28</v>
      </c>
      <c r="K507">
        <v>0</v>
      </c>
      <c r="L507">
        <v>5.6</v>
      </c>
      <c r="M507" t="s">
        <v>5467</v>
      </c>
      <c r="N507" t="s">
        <v>5472</v>
      </c>
      <c r="O507" t="s">
        <v>5480</v>
      </c>
    </row>
    <row r="508" spans="1:15" x14ac:dyDescent="0.3">
      <c r="A508" t="s">
        <v>514</v>
      </c>
      <c r="B508" t="s">
        <v>1893</v>
      </c>
      <c r="C508" t="s">
        <v>2973</v>
      </c>
      <c r="D508" t="s">
        <v>3723</v>
      </c>
      <c r="E508" t="s">
        <v>4561</v>
      </c>
      <c r="F508" t="s">
        <v>4572</v>
      </c>
      <c r="G508" t="s">
        <v>4587</v>
      </c>
      <c r="H508" t="s">
        <v>4596</v>
      </c>
      <c r="I508">
        <v>-1</v>
      </c>
      <c r="J508">
        <v>14.71</v>
      </c>
      <c r="L508">
        <v>10.28</v>
      </c>
      <c r="N508" t="s">
        <v>5471</v>
      </c>
      <c r="O508" t="s">
        <v>5477</v>
      </c>
    </row>
    <row r="509" spans="1:15" x14ac:dyDescent="0.3">
      <c r="A509" t="s">
        <v>515</v>
      </c>
      <c r="B509" t="s">
        <v>1894</v>
      </c>
      <c r="C509" t="s">
        <v>2936</v>
      </c>
      <c r="D509" t="s">
        <v>3724</v>
      </c>
      <c r="E509" t="s">
        <v>4564</v>
      </c>
      <c r="F509" t="s">
        <v>4578</v>
      </c>
      <c r="G509" t="s">
        <v>4584</v>
      </c>
      <c r="H509" t="s">
        <v>4595</v>
      </c>
      <c r="I509">
        <v>2</v>
      </c>
      <c r="J509">
        <v>41.91</v>
      </c>
      <c r="K509">
        <v>0.15</v>
      </c>
      <c r="L509">
        <v>11.89</v>
      </c>
      <c r="N509" t="s">
        <v>5473</v>
      </c>
      <c r="O509" t="s">
        <v>5476</v>
      </c>
    </row>
    <row r="510" spans="1:15" x14ac:dyDescent="0.3">
      <c r="A510" t="s">
        <v>516</v>
      </c>
      <c r="B510" t="s">
        <v>1895</v>
      </c>
      <c r="C510" t="s">
        <v>2918</v>
      </c>
      <c r="D510" t="s">
        <v>3725</v>
      </c>
      <c r="E510" t="s">
        <v>4571</v>
      </c>
      <c r="F510" t="s">
        <v>4578</v>
      </c>
      <c r="G510" t="s">
        <v>4585</v>
      </c>
      <c r="H510" t="s">
        <v>4598</v>
      </c>
      <c r="I510">
        <v>1</v>
      </c>
      <c r="J510" t="s">
        <v>4932</v>
      </c>
      <c r="K510">
        <v>0.1</v>
      </c>
      <c r="L510">
        <v>2.6</v>
      </c>
      <c r="M510" t="s">
        <v>5465</v>
      </c>
      <c r="N510" t="s">
        <v>5474</v>
      </c>
      <c r="O510" t="s">
        <v>5478</v>
      </c>
    </row>
    <row r="511" spans="1:15" x14ac:dyDescent="0.3">
      <c r="A511" t="s">
        <v>517</v>
      </c>
      <c r="B511" t="s">
        <v>1896</v>
      </c>
      <c r="C511" t="s">
        <v>2974</v>
      </c>
      <c r="D511" t="s">
        <v>3726</v>
      </c>
      <c r="E511" t="s">
        <v>4549</v>
      </c>
      <c r="F511" t="s">
        <v>4574</v>
      </c>
      <c r="G511" t="s">
        <v>4583</v>
      </c>
      <c r="H511" t="s">
        <v>4610</v>
      </c>
      <c r="I511">
        <v>1</v>
      </c>
      <c r="J511" t="s">
        <v>4933</v>
      </c>
      <c r="K511">
        <v>0.15</v>
      </c>
      <c r="L511">
        <v>14.01</v>
      </c>
      <c r="N511" t="s">
        <v>5470</v>
      </c>
      <c r="O511" t="s">
        <v>5480</v>
      </c>
    </row>
    <row r="512" spans="1:15" x14ac:dyDescent="0.3">
      <c r="A512" t="s">
        <v>518</v>
      </c>
      <c r="B512" t="s">
        <v>1897</v>
      </c>
      <c r="C512" t="s">
        <v>2911</v>
      </c>
      <c r="D512" t="s">
        <v>3727</v>
      </c>
      <c r="E512" t="s">
        <v>4568</v>
      </c>
      <c r="F512" t="s">
        <v>4573</v>
      </c>
      <c r="G512" t="s">
        <v>4586</v>
      </c>
      <c r="H512" t="s">
        <v>4597</v>
      </c>
      <c r="I512">
        <v>10</v>
      </c>
      <c r="J512" t="s">
        <v>4934</v>
      </c>
      <c r="K512" t="s">
        <v>5461</v>
      </c>
      <c r="L512">
        <v>6.68</v>
      </c>
      <c r="M512" t="s">
        <v>5468</v>
      </c>
      <c r="N512" t="s">
        <v>5471</v>
      </c>
      <c r="O512" t="s">
        <v>5477</v>
      </c>
    </row>
    <row r="513" spans="1:15" x14ac:dyDescent="0.3">
      <c r="A513" t="s">
        <v>519</v>
      </c>
      <c r="B513" t="s">
        <v>1898</v>
      </c>
      <c r="C513" t="s">
        <v>2975</v>
      </c>
      <c r="D513" t="s">
        <v>3728</v>
      </c>
      <c r="E513" t="s">
        <v>4557</v>
      </c>
      <c r="F513" t="s">
        <v>4580</v>
      </c>
      <c r="G513" t="s">
        <v>4584</v>
      </c>
      <c r="H513" t="s">
        <v>4589</v>
      </c>
      <c r="I513">
        <v>2</v>
      </c>
      <c r="J513" t="s">
        <v>4935</v>
      </c>
      <c r="K513">
        <v>0.1</v>
      </c>
      <c r="M513" t="s">
        <v>5466</v>
      </c>
      <c r="O513" t="s">
        <v>5479</v>
      </c>
    </row>
    <row r="514" spans="1:15" x14ac:dyDescent="0.3">
      <c r="A514" t="s">
        <v>520</v>
      </c>
      <c r="B514" t="s">
        <v>1899</v>
      </c>
      <c r="C514" t="s">
        <v>2784</v>
      </c>
      <c r="D514" t="s">
        <v>3729</v>
      </c>
      <c r="E514" t="s">
        <v>4559</v>
      </c>
      <c r="F514" t="s">
        <v>4577</v>
      </c>
      <c r="G514" t="s">
        <v>4583</v>
      </c>
      <c r="H514" t="s">
        <v>4604</v>
      </c>
      <c r="I514">
        <v>10</v>
      </c>
      <c r="J514">
        <v>23.52</v>
      </c>
      <c r="K514">
        <v>0.05</v>
      </c>
      <c r="L514">
        <v>11.99</v>
      </c>
      <c r="M514" t="s">
        <v>5465</v>
      </c>
      <c r="N514" t="s">
        <v>5473</v>
      </c>
      <c r="O514" t="s">
        <v>5477</v>
      </c>
    </row>
    <row r="515" spans="1:15" x14ac:dyDescent="0.3">
      <c r="A515" t="s">
        <v>521</v>
      </c>
      <c r="B515" t="s">
        <v>1900</v>
      </c>
      <c r="C515" t="s">
        <v>2962</v>
      </c>
      <c r="E515" t="s">
        <v>4555</v>
      </c>
      <c r="F515" t="s">
        <v>4578</v>
      </c>
      <c r="G515" t="s">
        <v>4586</v>
      </c>
      <c r="H515" t="s">
        <v>4593</v>
      </c>
      <c r="I515">
        <v>1</v>
      </c>
      <c r="J515">
        <v>108.54</v>
      </c>
      <c r="K515">
        <v>0</v>
      </c>
      <c r="L515">
        <v>11.18</v>
      </c>
      <c r="M515" t="s">
        <v>5464</v>
      </c>
      <c r="N515" t="s">
        <v>5473</v>
      </c>
      <c r="O515" t="s">
        <v>5478</v>
      </c>
    </row>
    <row r="516" spans="1:15" x14ac:dyDescent="0.3">
      <c r="A516" t="s">
        <v>522</v>
      </c>
      <c r="B516" t="s">
        <v>1901</v>
      </c>
      <c r="C516" t="s">
        <v>2914</v>
      </c>
      <c r="D516" t="s">
        <v>3730</v>
      </c>
      <c r="E516" t="s">
        <v>4554</v>
      </c>
      <c r="F516" t="s">
        <v>4573</v>
      </c>
      <c r="G516" t="s">
        <v>4584</v>
      </c>
      <c r="H516" t="s">
        <v>4595</v>
      </c>
      <c r="I516">
        <v>2</v>
      </c>
      <c r="J516" t="s">
        <v>4936</v>
      </c>
      <c r="K516">
        <v>0</v>
      </c>
      <c r="L516">
        <v>6.01</v>
      </c>
      <c r="M516" t="s">
        <v>5466</v>
      </c>
      <c r="N516" t="s">
        <v>5474</v>
      </c>
      <c r="O516" t="s">
        <v>5477</v>
      </c>
    </row>
    <row r="517" spans="1:15" x14ac:dyDescent="0.3">
      <c r="A517" t="s">
        <v>523</v>
      </c>
      <c r="B517" t="s">
        <v>1902</v>
      </c>
      <c r="C517" t="s">
        <v>2976</v>
      </c>
      <c r="D517" t="s">
        <v>3731</v>
      </c>
      <c r="E517" t="s">
        <v>4555</v>
      </c>
      <c r="F517" t="s">
        <v>4573</v>
      </c>
      <c r="G517" t="s">
        <v>4583</v>
      </c>
      <c r="H517" t="s">
        <v>4610</v>
      </c>
      <c r="I517">
        <v>1</v>
      </c>
      <c r="J517" t="s">
        <v>4937</v>
      </c>
      <c r="K517" t="s">
        <v>5460</v>
      </c>
      <c r="L517">
        <v>4.04</v>
      </c>
      <c r="M517" t="s">
        <v>5463</v>
      </c>
      <c r="O517" t="s">
        <v>5475</v>
      </c>
    </row>
    <row r="518" spans="1:15" x14ac:dyDescent="0.3">
      <c r="A518" t="s">
        <v>524</v>
      </c>
      <c r="B518" t="s">
        <v>1903</v>
      </c>
      <c r="C518" t="s">
        <v>2977</v>
      </c>
      <c r="D518" t="s">
        <v>3732</v>
      </c>
      <c r="E518" t="s">
        <v>4556</v>
      </c>
      <c r="F518" t="s">
        <v>4576</v>
      </c>
      <c r="G518" t="s">
        <v>4584</v>
      </c>
      <c r="H518" t="s">
        <v>4608</v>
      </c>
      <c r="I518">
        <v>1</v>
      </c>
      <c r="J518" t="s">
        <v>4938</v>
      </c>
      <c r="K518">
        <v>0</v>
      </c>
      <c r="L518">
        <v>13.14</v>
      </c>
      <c r="M518" t="s">
        <v>5467</v>
      </c>
      <c r="N518" t="s">
        <v>5474</v>
      </c>
      <c r="O518" t="s">
        <v>5479</v>
      </c>
    </row>
    <row r="519" spans="1:15" x14ac:dyDescent="0.3">
      <c r="A519" t="s">
        <v>525</v>
      </c>
      <c r="B519" t="s">
        <v>1728</v>
      </c>
      <c r="C519" t="s">
        <v>2690</v>
      </c>
      <c r="D519" t="s">
        <v>3733</v>
      </c>
      <c r="E519" t="s">
        <v>4571</v>
      </c>
      <c r="F519" t="s">
        <v>4578</v>
      </c>
      <c r="G519" t="s">
        <v>4587</v>
      </c>
      <c r="H519" t="s">
        <v>4594</v>
      </c>
      <c r="I519">
        <v>1</v>
      </c>
      <c r="J519" t="s">
        <v>4939</v>
      </c>
      <c r="K519" t="s">
        <v>5460</v>
      </c>
      <c r="L519">
        <v>0</v>
      </c>
      <c r="M519" t="s">
        <v>5464</v>
      </c>
      <c r="N519" t="s">
        <v>5473</v>
      </c>
      <c r="O519" t="s">
        <v>5477</v>
      </c>
    </row>
    <row r="520" spans="1:15" x14ac:dyDescent="0.3">
      <c r="A520" t="s">
        <v>526</v>
      </c>
      <c r="B520" t="s">
        <v>1904</v>
      </c>
      <c r="C520" t="s">
        <v>2845</v>
      </c>
      <c r="D520" t="s">
        <v>3734</v>
      </c>
      <c r="E520" t="s">
        <v>4565</v>
      </c>
      <c r="F520" t="s">
        <v>4576</v>
      </c>
      <c r="G520" t="s">
        <v>4583</v>
      </c>
      <c r="H520" t="s">
        <v>4610</v>
      </c>
      <c r="I520">
        <v>3</v>
      </c>
      <c r="J520" t="s">
        <v>4940</v>
      </c>
      <c r="K520" t="s">
        <v>5461</v>
      </c>
      <c r="L520">
        <v>5.25</v>
      </c>
      <c r="M520" t="s">
        <v>5465</v>
      </c>
      <c r="N520" t="s">
        <v>5469</v>
      </c>
      <c r="O520" t="s">
        <v>5479</v>
      </c>
    </row>
    <row r="521" spans="1:15" x14ac:dyDescent="0.3">
      <c r="A521" t="s">
        <v>527</v>
      </c>
      <c r="B521" t="s">
        <v>1905</v>
      </c>
      <c r="C521" t="s">
        <v>2710</v>
      </c>
      <c r="D521" t="s">
        <v>3735</v>
      </c>
      <c r="E521" t="s">
        <v>4548</v>
      </c>
      <c r="F521" t="s">
        <v>4578</v>
      </c>
      <c r="G521" t="s">
        <v>4586</v>
      </c>
      <c r="H521" t="s">
        <v>4597</v>
      </c>
      <c r="I521">
        <v>1</v>
      </c>
      <c r="J521" t="s">
        <v>4941</v>
      </c>
      <c r="K521">
        <v>0.05</v>
      </c>
      <c r="L521">
        <v>11.83</v>
      </c>
      <c r="M521" t="s">
        <v>5466</v>
      </c>
      <c r="N521" t="s">
        <v>5469</v>
      </c>
      <c r="O521" t="s">
        <v>5478</v>
      </c>
    </row>
    <row r="522" spans="1:15" x14ac:dyDescent="0.3">
      <c r="A522" t="s">
        <v>528</v>
      </c>
      <c r="B522" t="s">
        <v>1906</v>
      </c>
      <c r="C522" t="s">
        <v>2780</v>
      </c>
      <c r="D522" t="s">
        <v>3736</v>
      </c>
      <c r="E522" t="s">
        <v>4559</v>
      </c>
      <c r="F522" t="s">
        <v>4582</v>
      </c>
      <c r="G522" t="s">
        <v>4587</v>
      </c>
      <c r="H522" t="s">
        <v>4594</v>
      </c>
      <c r="I522">
        <v>4</v>
      </c>
      <c r="J522" t="s">
        <v>4942</v>
      </c>
      <c r="K522" t="s">
        <v>5460</v>
      </c>
      <c r="L522">
        <v>13.1</v>
      </c>
      <c r="M522" t="s">
        <v>5465</v>
      </c>
      <c r="N522" t="s">
        <v>5473</v>
      </c>
      <c r="O522" t="s">
        <v>5480</v>
      </c>
    </row>
    <row r="523" spans="1:15" x14ac:dyDescent="0.3">
      <c r="A523" t="s">
        <v>529</v>
      </c>
      <c r="B523" t="s">
        <v>1907</v>
      </c>
      <c r="C523" t="s">
        <v>2978</v>
      </c>
      <c r="D523" t="s">
        <v>3737</v>
      </c>
      <c r="E523" t="s">
        <v>4561</v>
      </c>
      <c r="F523" t="s">
        <v>4581</v>
      </c>
      <c r="G523" t="s">
        <v>4586</v>
      </c>
      <c r="H523" t="s">
        <v>4609</v>
      </c>
      <c r="I523">
        <v>4</v>
      </c>
      <c r="J523" t="s">
        <v>4943</v>
      </c>
      <c r="K523" t="s">
        <v>5460</v>
      </c>
      <c r="L523">
        <v>7.72</v>
      </c>
      <c r="M523" t="s">
        <v>5467</v>
      </c>
      <c r="N523" t="s">
        <v>5471</v>
      </c>
      <c r="O523" t="s">
        <v>5480</v>
      </c>
    </row>
    <row r="524" spans="1:15" x14ac:dyDescent="0.3">
      <c r="A524" t="s">
        <v>530</v>
      </c>
      <c r="B524" t="s">
        <v>1908</v>
      </c>
      <c r="C524" t="s">
        <v>2979</v>
      </c>
      <c r="D524" t="s">
        <v>3738</v>
      </c>
      <c r="E524" t="s">
        <v>4547</v>
      </c>
      <c r="F524" t="s">
        <v>4572</v>
      </c>
      <c r="G524" t="s">
        <v>4583</v>
      </c>
      <c r="H524" t="s">
        <v>4605</v>
      </c>
      <c r="I524">
        <v>-1</v>
      </c>
      <c r="J524">
        <v>46.55</v>
      </c>
      <c r="K524">
        <v>0</v>
      </c>
      <c r="L524">
        <v>5.34</v>
      </c>
      <c r="M524" t="s">
        <v>5462</v>
      </c>
      <c r="N524" t="s">
        <v>5472</v>
      </c>
      <c r="O524" t="s">
        <v>5480</v>
      </c>
    </row>
    <row r="525" spans="1:15" x14ac:dyDescent="0.3">
      <c r="A525" t="s">
        <v>531</v>
      </c>
      <c r="B525" t="s">
        <v>1909</v>
      </c>
      <c r="C525" t="s">
        <v>2953</v>
      </c>
      <c r="D525" t="s">
        <v>3739</v>
      </c>
      <c r="E525" t="s">
        <v>4571</v>
      </c>
      <c r="F525" t="s">
        <v>4573</v>
      </c>
      <c r="G525" t="s">
        <v>4586</v>
      </c>
      <c r="H525" t="s">
        <v>4597</v>
      </c>
      <c r="I525">
        <v>1</v>
      </c>
      <c r="J525" t="s">
        <v>4944</v>
      </c>
      <c r="K525" t="s">
        <v>5460</v>
      </c>
      <c r="L525">
        <v>11.98</v>
      </c>
      <c r="M525" t="s">
        <v>5468</v>
      </c>
      <c r="N525" t="s">
        <v>5474</v>
      </c>
      <c r="O525" t="s">
        <v>5480</v>
      </c>
    </row>
    <row r="526" spans="1:15" x14ac:dyDescent="0.3">
      <c r="A526" t="s">
        <v>532</v>
      </c>
      <c r="B526" t="s">
        <v>1910</v>
      </c>
      <c r="C526" t="s">
        <v>2980</v>
      </c>
      <c r="D526" t="s">
        <v>3740</v>
      </c>
      <c r="E526" t="s">
        <v>4558</v>
      </c>
      <c r="F526" t="s">
        <v>4580</v>
      </c>
      <c r="G526" t="s">
        <v>4585</v>
      </c>
      <c r="H526" t="s">
        <v>4598</v>
      </c>
      <c r="I526">
        <v>1</v>
      </c>
      <c r="J526" t="s">
        <v>4797</v>
      </c>
      <c r="K526">
        <v>0.05</v>
      </c>
      <c r="L526">
        <v>0.49</v>
      </c>
      <c r="M526" t="s">
        <v>5466</v>
      </c>
      <c r="N526" t="s">
        <v>5472</v>
      </c>
      <c r="O526" t="s">
        <v>5480</v>
      </c>
    </row>
    <row r="527" spans="1:15" x14ac:dyDescent="0.3">
      <c r="A527" t="s">
        <v>97</v>
      </c>
      <c r="B527" t="s">
        <v>1497</v>
      </c>
      <c r="C527" t="s">
        <v>2702</v>
      </c>
      <c r="D527" t="s">
        <v>3341</v>
      </c>
      <c r="E527" t="s">
        <v>4568</v>
      </c>
      <c r="F527" t="s">
        <v>4573</v>
      </c>
      <c r="G527" t="s">
        <v>4587</v>
      </c>
      <c r="H527" t="s">
        <v>4606</v>
      </c>
      <c r="I527">
        <v>1</v>
      </c>
      <c r="J527">
        <v>29.05</v>
      </c>
      <c r="K527">
        <v>0.05</v>
      </c>
      <c r="L527">
        <v>4.1500000000000004</v>
      </c>
      <c r="M527" t="s">
        <v>5465</v>
      </c>
      <c r="N527" t="s">
        <v>5469</v>
      </c>
      <c r="O527" t="s">
        <v>5477</v>
      </c>
    </row>
    <row r="528" spans="1:15" x14ac:dyDescent="0.3">
      <c r="A528" t="s">
        <v>533</v>
      </c>
      <c r="B528" t="s">
        <v>1911</v>
      </c>
      <c r="C528" t="s">
        <v>2802</v>
      </c>
      <c r="D528" t="s">
        <v>3741</v>
      </c>
      <c r="E528" t="s">
        <v>4567</v>
      </c>
      <c r="F528" t="s">
        <v>4577</v>
      </c>
      <c r="G528" t="s">
        <v>4584</v>
      </c>
      <c r="H528" t="s">
        <v>4603</v>
      </c>
      <c r="I528">
        <v>2</v>
      </c>
      <c r="J528" t="s">
        <v>4945</v>
      </c>
      <c r="K528" t="s">
        <v>5461</v>
      </c>
      <c r="L528">
        <v>0</v>
      </c>
      <c r="M528" t="s">
        <v>5463</v>
      </c>
      <c r="N528" t="s">
        <v>5470</v>
      </c>
      <c r="O528" t="s">
        <v>5477</v>
      </c>
    </row>
    <row r="529" spans="1:15" x14ac:dyDescent="0.3">
      <c r="A529" t="s">
        <v>534</v>
      </c>
      <c r="B529" t="s">
        <v>1912</v>
      </c>
      <c r="C529" t="s">
        <v>2981</v>
      </c>
      <c r="D529" t="s">
        <v>3742</v>
      </c>
      <c r="E529" t="s">
        <v>4547</v>
      </c>
      <c r="F529" t="s">
        <v>4581</v>
      </c>
      <c r="G529" t="s">
        <v>4587</v>
      </c>
      <c r="H529" t="s">
        <v>4594</v>
      </c>
      <c r="I529">
        <v>-1</v>
      </c>
      <c r="J529" t="s">
        <v>4946</v>
      </c>
      <c r="K529" t="s">
        <v>5460</v>
      </c>
      <c r="L529">
        <v>0</v>
      </c>
      <c r="M529" t="s">
        <v>5466</v>
      </c>
      <c r="N529" t="s">
        <v>5471</v>
      </c>
      <c r="O529" t="s">
        <v>5479</v>
      </c>
    </row>
    <row r="530" spans="1:15" x14ac:dyDescent="0.3">
      <c r="A530" t="s">
        <v>535</v>
      </c>
      <c r="B530" t="s">
        <v>1913</v>
      </c>
      <c r="C530" t="s">
        <v>2982</v>
      </c>
      <c r="D530" t="s">
        <v>3743</v>
      </c>
      <c r="E530" t="s">
        <v>4565</v>
      </c>
      <c r="F530" t="s">
        <v>4579</v>
      </c>
      <c r="G530" t="s">
        <v>4584</v>
      </c>
      <c r="H530" t="s">
        <v>4607</v>
      </c>
      <c r="I530">
        <v>-1</v>
      </c>
      <c r="J530" t="s">
        <v>4947</v>
      </c>
      <c r="K530" t="s">
        <v>5461</v>
      </c>
      <c r="L530">
        <v>12.46</v>
      </c>
      <c r="M530" t="s">
        <v>5464</v>
      </c>
      <c r="N530" t="s">
        <v>5471</v>
      </c>
      <c r="O530" t="s">
        <v>5475</v>
      </c>
    </row>
    <row r="531" spans="1:15" x14ac:dyDescent="0.3">
      <c r="A531" t="s">
        <v>536</v>
      </c>
      <c r="B531" t="s">
        <v>1914</v>
      </c>
      <c r="C531" t="s">
        <v>2983</v>
      </c>
      <c r="D531" t="s">
        <v>3744</v>
      </c>
      <c r="E531" t="s">
        <v>4556</v>
      </c>
      <c r="F531" t="s">
        <v>4575</v>
      </c>
      <c r="G531" t="s">
        <v>4583</v>
      </c>
      <c r="H531" t="s">
        <v>4610</v>
      </c>
      <c r="I531">
        <v>2</v>
      </c>
      <c r="J531">
        <v>78.510000000000005</v>
      </c>
      <c r="K531">
        <v>0</v>
      </c>
      <c r="L531">
        <v>10.8</v>
      </c>
      <c r="M531" t="s">
        <v>5464</v>
      </c>
      <c r="N531" t="s">
        <v>5469</v>
      </c>
      <c r="O531" t="s">
        <v>5477</v>
      </c>
    </row>
    <row r="532" spans="1:15" x14ac:dyDescent="0.3">
      <c r="A532" t="s">
        <v>537</v>
      </c>
      <c r="B532" t="s">
        <v>1915</v>
      </c>
      <c r="C532" t="s">
        <v>2832</v>
      </c>
      <c r="D532" t="s">
        <v>3745</v>
      </c>
      <c r="E532" t="s">
        <v>4557</v>
      </c>
      <c r="F532" t="s">
        <v>4572</v>
      </c>
      <c r="G532" t="s">
        <v>4583</v>
      </c>
      <c r="H532" t="s">
        <v>4588</v>
      </c>
      <c r="I532">
        <v>2</v>
      </c>
      <c r="J532">
        <v>39.64</v>
      </c>
      <c r="K532" t="s">
        <v>5461</v>
      </c>
      <c r="L532">
        <v>0</v>
      </c>
      <c r="M532" t="s">
        <v>5465</v>
      </c>
      <c r="O532" t="s">
        <v>5478</v>
      </c>
    </row>
    <row r="533" spans="1:15" x14ac:dyDescent="0.3">
      <c r="A533" t="s">
        <v>538</v>
      </c>
      <c r="B533" t="s">
        <v>1916</v>
      </c>
      <c r="C533" t="s">
        <v>2984</v>
      </c>
      <c r="D533" t="s">
        <v>3746</v>
      </c>
      <c r="E533" t="s">
        <v>4551</v>
      </c>
      <c r="F533" t="s">
        <v>4579</v>
      </c>
      <c r="G533" t="s">
        <v>4586</v>
      </c>
      <c r="H533" t="s">
        <v>4609</v>
      </c>
      <c r="I533">
        <v>1</v>
      </c>
      <c r="J533" t="s">
        <v>4948</v>
      </c>
      <c r="K533">
        <v>0</v>
      </c>
      <c r="L533">
        <v>0</v>
      </c>
      <c r="M533" t="s">
        <v>5464</v>
      </c>
      <c r="O533" t="s">
        <v>5475</v>
      </c>
    </row>
    <row r="534" spans="1:15" x14ac:dyDescent="0.3">
      <c r="A534" t="s">
        <v>539</v>
      </c>
      <c r="B534" t="s">
        <v>1917</v>
      </c>
      <c r="C534" t="s">
        <v>2685</v>
      </c>
      <c r="D534" t="s">
        <v>3747</v>
      </c>
      <c r="E534" t="s">
        <v>4547</v>
      </c>
      <c r="F534" t="s">
        <v>4581</v>
      </c>
      <c r="G534" t="s">
        <v>4583</v>
      </c>
      <c r="H534" t="s">
        <v>4604</v>
      </c>
      <c r="I534">
        <v>2</v>
      </c>
      <c r="J534" t="s">
        <v>4949</v>
      </c>
      <c r="K534">
        <v>0.1</v>
      </c>
      <c r="L534">
        <v>11.44</v>
      </c>
      <c r="M534" t="s">
        <v>5467</v>
      </c>
      <c r="O534" t="s">
        <v>5476</v>
      </c>
    </row>
    <row r="535" spans="1:15" x14ac:dyDescent="0.3">
      <c r="A535" t="s">
        <v>540</v>
      </c>
      <c r="B535" t="s">
        <v>1918</v>
      </c>
      <c r="C535" t="s">
        <v>2985</v>
      </c>
      <c r="D535" t="s">
        <v>3748</v>
      </c>
      <c r="E535" t="s">
        <v>4559</v>
      </c>
      <c r="F535" t="s">
        <v>4577</v>
      </c>
      <c r="G535" t="s">
        <v>4586</v>
      </c>
      <c r="H535" t="s">
        <v>4599</v>
      </c>
      <c r="I535">
        <v>1</v>
      </c>
      <c r="J535" t="s">
        <v>4950</v>
      </c>
      <c r="K535">
        <v>0</v>
      </c>
      <c r="L535">
        <v>8.1999999999999993</v>
      </c>
      <c r="M535" t="s">
        <v>5467</v>
      </c>
      <c r="N535" t="s">
        <v>5473</v>
      </c>
      <c r="O535" t="s">
        <v>5477</v>
      </c>
    </row>
    <row r="536" spans="1:15" x14ac:dyDescent="0.3">
      <c r="A536" t="s">
        <v>541</v>
      </c>
      <c r="B536" t="s">
        <v>1919</v>
      </c>
      <c r="C536" t="s">
        <v>2912</v>
      </c>
      <c r="D536" t="s">
        <v>3749</v>
      </c>
      <c r="E536" t="s">
        <v>4557</v>
      </c>
      <c r="F536" t="s">
        <v>4572</v>
      </c>
      <c r="G536" t="s">
        <v>4585</v>
      </c>
      <c r="H536" t="s">
        <v>4591</v>
      </c>
      <c r="I536">
        <v>5</v>
      </c>
      <c r="J536" t="s">
        <v>4951</v>
      </c>
      <c r="K536">
        <v>0.1</v>
      </c>
      <c r="L536">
        <v>6.16</v>
      </c>
      <c r="M536" t="s">
        <v>5465</v>
      </c>
      <c r="N536" t="s">
        <v>5471</v>
      </c>
      <c r="O536" t="s">
        <v>5477</v>
      </c>
    </row>
    <row r="537" spans="1:15" x14ac:dyDescent="0.3">
      <c r="A537" t="s">
        <v>542</v>
      </c>
      <c r="B537" t="s">
        <v>1920</v>
      </c>
      <c r="C537" t="s">
        <v>2716</v>
      </c>
      <c r="D537" t="s">
        <v>3750</v>
      </c>
      <c r="E537" t="s">
        <v>4547</v>
      </c>
      <c r="F537" t="s">
        <v>4580</v>
      </c>
      <c r="G537" t="s">
        <v>4586</v>
      </c>
      <c r="H537" t="s">
        <v>4609</v>
      </c>
      <c r="I537">
        <v>1</v>
      </c>
      <c r="J537" t="s">
        <v>4952</v>
      </c>
      <c r="K537" t="s">
        <v>5461</v>
      </c>
      <c r="L537">
        <v>7.78</v>
      </c>
      <c r="M537" t="s">
        <v>5467</v>
      </c>
      <c r="N537" t="s">
        <v>5469</v>
      </c>
      <c r="O537" t="s">
        <v>5480</v>
      </c>
    </row>
    <row r="538" spans="1:15" x14ac:dyDescent="0.3">
      <c r="A538" t="s">
        <v>543</v>
      </c>
      <c r="B538" t="s">
        <v>1921</v>
      </c>
      <c r="C538" t="s">
        <v>2986</v>
      </c>
      <c r="D538" t="s">
        <v>3751</v>
      </c>
      <c r="E538" t="s">
        <v>4565</v>
      </c>
      <c r="F538" t="s">
        <v>4579</v>
      </c>
      <c r="G538" t="s">
        <v>4583</v>
      </c>
      <c r="H538" t="s">
        <v>4605</v>
      </c>
      <c r="I538">
        <v>10</v>
      </c>
      <c r="J538" t="s">
        <v>4953</v>
      </c>
      <c r="K538" t="s">
        <v>5461</v>
      </c>
      <c r="L538">
        <v>6.95</v>
      </c>
      <c r="M538" t="s">
        <v>5467</v>
      </c>
      <c r="N538" t="s">
        <v>5469</v>
      </c>
      <c r="O538" t="s">
        <v>5480</v>
      </c>
    </row>
    <row r="539" spans="1:15" x14ac:dyDescent="0.3">
      <c r="A539" t="s">
        <v>544</v>
      </c>
      <c r="B539" t="s">
        <v>1922</v>
      </c>
      <c r="C539" t="s">
        <v>2987</v>
      </c>
      <c r="D539" t="s">
        <v>3752</v>
      </c>
      <c r="E539" t="s">
        <v>4554</v>
      </c>
      <c r="F539" t="s">
        <v>4573</v>
      </c>
      <c r="H539" t="s">
        <v>4589</v>
      </c>
      <c r="I539">
        <v>5</v>
      </c>
      <c r="J539" t="s">
        <v>4676</v>
      </c>
      <c r="K539">
        <v>0</v>
      </c>
      <c r="L539">
        <v>7.05</v>
      </c>
      <c r="M539" t="s">
        <v>5467</v>
      </c>
      <c r="N539" t="s">
        <v>5469</v>
      </c>
      <c r="O539" t="s">
        <v>5477</v>
      </c>
    </row>
    <row r="540" spans="1:15" x14ac:dyDescent="0.3">
      <c r="A540" t="s">
        <v>545</v>
      </c>
      <c r="B540" t="s">
        <v>1923</v>
      </c>
      <c r="C540" t="s">
        <v>2720</v>
      </c>
      <c r="D540" t="s">
        <v>3753</v>
      </c>
      <c r="E540" t="s">
        <v>4563</v>
      </c>
      <c r="F540" t="s">
        <v>4573</v>
      </c>
      <c r="G540" t="s">
        <v>4584</v>
      </c>
      <c r="H540" t="s">
        <v>4601</v>
      </c>
      <c r="I540">
        <v>-1</v>
      </c>
      <c r="J540" t="s">
        <v>4954</v>
      </c>
      <c r="K540">
        <v>0.05</v>
      </c>
      <c r="L540">
        <v>14.32</v>
      </c>
      <c r="M540" t="s">
        <v>5462</v>
      </c>
      <c r="O540" t="s">
        <v>5477</v>
      </c>
    </row>
    <row r="541" spans="1:15" x14ac:dyDescent="0.3">
      <c r="A541" t="s">
        <v>546</v>
      </c>
      <c r="B541" t="s">
        <v>1924</v>
      </c>
      <c r="C541" t="s">
        <v>2731</v>
      </c>
      <c r="D541" t="s">
        <v>3754</v>
      </c>
      <c r="E541" t="s">
        <v>4549</v>
      </c>
      <c r="F541" t="s">
        <v>4574</v>
      </c>
      <c r="G541" t="s">
        <v>4584</v>
      </c>
      <c r="H541" t="s">
        <v>4608</v>
      </c>
      <c r="I541">
        <v>1</v>
      </c>
      <c r="J541" t="s">
        <v>4675</v>
      </c>
      <c r="K541">
        <v>0.05</v>
      </c>
      <c r="L541">
        <v>1.5</v>
      </c>
      <c r="M541" t="s">
        <v>5462</v>
      </c>
      <c r="N541" t="s">
        <v>5472</v>
      </c>
      <c r="O541" t="s">
        <v>5475</v>
      </c>
    </row>
    <row r="542" spans="1:15" x14ac:dyDescent="0.3">
      <c r="A542" t="s">
        <v>547</v>
      </c>
      <c r="B542" t="s">
        <v>1925</v>
      </c>
      <c r="C542" t="s">
        <v>2702</v>
      </c>
      <c r="D542" t="s">
        <v>3755</v>
      </c>
      <c r="E542" t="s">
        <v>4554</v>
      </c>
      <c r="F542" t="s">
        <v>4573</v>
      </c>
      <c r="G542" t="s">
        <v>4584</v>
      </c>
      <c r="H542" t="s">
        <v>4601</v>
      </c>
      <c r="I542">
        <v>-1</v>
      </c>
      <c r="J542">
        <v>189.23</v>
      </c>
      <c r="K542">
        <v>0.15</v>
      </c>
      <c r="L542">
        <v>0</v>
      </c>
      <c r="M542" t="s">
        <v>5465</v>
      </c>
      <c r="N542" t="s">
        <v>5472</v>
      </c>
      <c r="O542" t="s">
        <v>5477</v>
      </c>
    </row>
    <row r="543" spans="1:15" x14ac:dyDescent="0.3">
      <c r="A543" t="s">
        <v>548</v>
      </c>
      <c r="B543" t="s">
        <v>1926</v>
      </c>
      <c r="C543" t="s">
        <v>2988</v>
      </c>
      <c r="D543" t="s">
        <v>3756</v>
      </c>
      <c r="E543" t="s">
        <v>4553</v>
      </c>
      <c r="F543" t="s">
        <v>4573</v>
      </c>
      <c r="G543" t="s">
        <v>4583</v>
      </c>
      <c r="H543" t="s">
        <v>4605</v>
      </c>
      <c r="I543">
        <v>1</v>
      </c>
      <c r="J543" t="s">
        <v>4955</v>
      </c>
      <c r="K543">
        <v>0.15</v>
      </c>
      <c r="L543">
        <v>12.57</v>
      </c>
      <c r="M543" t="s">
        <v>5464</v>
      </c>
      <c r="O543" t="s">
        <v>5477</v>
      </c>
    </row>
    <row r="544" spans="1:15" x14ac:dyDescent="0.3">
      <c r="A544" t="s">
        <v>549</v>
      </c>
      <c r="B544" t="s">
        <v>1927</v>
      </c>
      <c r="C544" t="s">
        <v>2848</v>
      </c>
      <c r="D544" t="s">
        <v>3757</v>
      </c>
      <c r="E544" t="s">
        <v>4559</v>
      </c>
      <c r="F544" t="s">
        <v>4582</v>
      </c>
      <c r="G544" t="s">
        <v>4587</v>
      </c>
      <c r="H544" t="s">
        <v>4594</v>
      </c>
      <c r="I544">
        <v>1</v>
      </c>
      <c r="J544" t="s">
        <v>4956</v>
      </c>
      <c r="K544">
        <v>0.05</v>
      </c>
      <c r="L544">
        <v>6.29</v>
      </c>
      <c r="M544" t="s">
        <v>5467</v>
      </c>
      <c r="N544" t="s">
        <v>5474</v>
      </c>
      <c r="O544" t="s">
        <v>5480</v>
      </c>
    </row>
    <row r="545" spans="1:15" x14ac:dyDescent="0.3">
      <c r="A545" t="s">
        <v>550</v>
      </c>
      <c r="B545" t="s">
        <v>1928</v>
      </c>
      <c r="C545" t="s">
        <v>2989</v>
      </c>
      <c r="D545" t="s">
        <v>3758</v>
      </c>
      <c r="E545" t="s">
        <v>4558</v>
      </c>
      <c r="F545" t="s">
        <v>4572</v>
      </c>
      <c r="G545" t="s">
        <v>4585</v>
      </c>
      <c r="H545" t="s">
        <v>4602</v>
      </c>
      <c r="I545">
        <v>1</v>
      </c>
      <c r="J545" t="s">
        <v>4957</v>
      </c>
      <c r="L545">
        <v>0</v>
      </c>
      <c r="M545" t="s">
        <v>5466</v>
      </c>
      <c r="N545" t="s">
        <v>5471</v>
      </c>
      <c r="O545" t="s">
        <v>5479</v>
      </c>
    </row>
    <row r="546" spans="1:15" x14ac:dyDescent="0.3">
      <c r="A546" t="s">
        <v>551</v>
      </c>
      <c r="B546" t="s">
        <v>1929</v>
      </c>
      <c r="C546" t="s">
        <v>2940</v>
      </c>
      <c r="D546" t="s">
        <v>3759</v>
      </c>
      <c r="E546" t="s">
        <v>4563</v>
      </c>
      <c r="F546" t="s">
        <v>4578</v>
      </c>
      <c r="G546" t="s">
        <v>4585</v>
      </c>
      <c r="H546" t="s">
        <v>4591</v>
      </c>
      <c r="I546">
        <v>4</v>
      </c>
      <c r="J546" t="s">
        <v>4958</v>
      </c>
      <c r="K546">
        <v>0</v>
      </c>
      <c r="L546">
        <v>5.35</v>
      </c>
      <c r="M546" t="s">
        <v>5467</v>
      </c>
      <c r="N546" t="s">
        <v>5469</v>
      </c>
      <c r="O546" t="s">
        <v>5478</v>
      </c>
    </row>
    <row r="547" spans="1:15" x14ac:dyDescent="0.3">
      <c r="A547" t="s">
        <v>552</v>
      </c>
      <c r="B547" t="s">
        <v>1901</v>
      </c>
      <c r="C547" t="s">
        <v>2647</v>
      </c>
      <c r="D547" t="s">
        <v>3760</v>
      </c>
      <c r="E547" t="s">
        <v>4548</v>
      </c>
      <c r="F547" t="s">
        <v>4573</v>
      </c>
      <c r="G547" t="s">
        <v>4584</v>
      </c>
      <c r="H547" t="s">
        <v>4603</v>
      </c>
      <c r="I547">
        <v>1</v>
      </c>
      <c r="J547">
        <v>9.6300000000000008</v>
      </c>
      <c r="K547" t="s">
        <v>5461</v>
      </c>
      <c r="L547">
        <v>3.94</v>
      </c>
      <c r="N547" t="s">
        <v>5469</v>
      </c>
      <c r="O547" t="s">
        <v>5479</v>
      </c>
    </row>
    <row r="548" spans="1:15" x14ac:dyDescent="0.3">
      <c r="A548" t="s">
        <v>553</v>
      </c>
      <c r="B548" t="s">
        <v>1930</v>
      </c>
      <c r="C548" t="s">
        <v>2990</v>
      </c>
      <c r="E548" t="s">
        <v>4569</v>
      </c>
      <c r="F548" t="s">
        <v>4581</v>
      </c>
      <c r="G548" t="s">
        <v>4584</v>
      </c>
      <c r="H548" t="s">
        <v>4603</v>
      </c>
      <c r="I548">
        <v>10</v>
      </c>
      <c r="J548" t="s">
        <v>4959</v>
      </c>
      <c r="K548">
        <v>0</v>
      </c>
      <c r="L548">
        <v>13.59</v>
      </c>
      <c r="M548" t="s">
        <v>5465</v>
      </c>
      <c r="N548" t="s">
        <v>5472</v>
      </c>
      <c r="O548" t="s">
        <v>5477</v>
      </c>
    </row>
    <row r="549" spans="1:15" x14ac:dyDescent="0.3">
      <c r="A549" t="s">
        <v>554</v>
      </c>
      <c r="B549" t="s">
        <v>1931</v>
      </c>
      <c r="C549" t="s">
        <v>2991</v>
      </c>
      <c r="D549" t="s">
        <v>3761</v>
      </c>
      <c r="E549" t="s">
        <v>4549</v>
      </c>
      <c r="F549" t="s">
        <v>4574</v>
      </c>
      <c r="G549" t="s">
        <v>4585</v>
      </c>
      <c r="H549" t="s">
        <v>4592</v>
      </c>
      <c r="I549">
        <v>10</v>
      </c>
      <c r="J549">
        <v>6.48</v>
      </c>
      <c r="K549" t="s">
        <v>5461</v>
      </c>
      <c r="L549">
        <v>5.86</v>
      </c>
      <c r="M549" t="s">
        <v>5468</v>
      </c>
      <c r="N549" t="s">
        <v>5471</v>
      </c>
      <c r="O549" t="s">
        <v>5477</v>
      </c>
    </row>
    <row r="550" spans="1:15" x14ac:dyDescent="0.3">
      <c r="A550" t="s">
        <v>555</v>
      </c>
      <c r="B550" t="s">
        <v>1932</v>
      </c>
      <c r="C550" t="s">
        <v>2705</v>
      </c>
      <c r="D550" t="s">
        <v>3762</v>
      </c>
      <c r="E550" t="s">
        <v>4561</v>
      </c>
      <c r="F550" t="s">
        <v>4581</v>
      </c>
      <c r="G550" t="s">
        <v>4585</v>
      </c>
      <c r="H550" t="s">
        <v>4590</v>
      </c>
      <c r="I550">
        <v>2</v>
      </c>
      <c r="J550" t="s">
        <v>4775</v>
      </c>
      <c r="K550">
        <v>0</v>
      </c>
      <c r="L550">
        <v>13.68</v>
      </c>
      <c r="M550" t="s">
        <v>5466</v>
      </c>
      <c r="N550" t="s">
        <v>5471</v>
      </c>
      <c r="O550" t="s">
        <v>5477</v>
      </c>
    </row>
    <row r="551" spans="1:15" x14ac:dyDescent="0.3">
      <c r="A551" t="s">
        <v>554</v>
      </c>
      <c r="B551" t="s">
        <v>1931</v>
      </c>
      <c r="C551" t="s">
        <v>2991</v>
      </c>
      <c r="D551" t="s">
        <v>3761</v>
      </c>
      <c r="E551" t="s">
        <v>4549</v>
      </c>
      <c r="F551" t="s">
        <v>4574</v>
      </c>
      <c r="G551" t="s">
        <v>4585</v>
      </c>
      <c r="H551" t="s">
        <v>4592</v>
      </c>
      <c r="I551">
        <v>10</v>
      </c>
      <c r="J551">
        <v>6.48</v>
      </c>
      <c r="K551" t="s">
        <v>5461</v>
      </c>
      <c r="L551">
        <v>5.86</v>
      </c>
      <c r="M551" t="s">
        <v>5468</v>
      </c>
      <c r="N551" t="s">
        <v>5471</v>
      </c>
      <c r="O551" t="s">
        <v>5477</v>
      </c>
    </row>
    <row r="552" spans="1:15" x14ac:dyDescent="0.3">
      <c r="A552" t="s">
        <v>556</v>
      </c>
      <c r="B552" t="s">
        <v>1933</v>
      </c>
      <c r="C552" t="s">
        <v>2674</v>
      </c>
      <c r="D552" t="s">
        <v>3763</v>
      </c>
      <c r="E552" t="s">
        <v>4553</v>
      </c>
      <c r="F552" t="s">
        <v>4577</v>
      </c>
      <c r="G552" t="s">
        <v>4587</v>
      </c>
      <c r="H552" t="s">
        <v>4594</v>
      </c>
      <c r="I552">
        <v>10</v>
      </c>
      <c r="J552" t="s">
        <v>4960</v>
      </c>
      <c r="L552">
        <v>10.220000000000001</v>
      </c>
      <c r="M552" t="s">
        <v>5465</v>
      </c>
      <c r="N552" t="s">
        <v>5474</v>
      </c>
      <c r="O552" t="s">
        <v>5475</v>
      </c>
    </row>
    <row r="553" spans="1:15" x14ac:dyDescent="0.3">
      <c r="A553" t="s">
        <v>557</v>
      </c>
      <c r="B553" t="s">
        <v>1934</v>
      </c>
      <c r="C553" t="s">
        <v>2992</v>
      </c>
      <c r="D553" t="s">
        <v>3764</v>
      </c>
      <c r="E553" t="s">
        <v>4554</v>
      </c>
      <c r="F553" t="s">
        <v>4574</v>
      </c>
      <c r="G553" t="s">
        <v>4587</v>
      </c>
      <c r="H553" t="s">
        <v>4606</v>
      </c>
      <c r="I553">
        <v>-1</v>
      </c>
      <c r="J553">
        <v>29.11</v>
      </c>
      <c r="L553">
        <v>4.76</v>
      </c>
      <c r="M553" t="s">
        <v>5466</v>
      </c>
      <c r="N553" t="s">
        <v>5474</v>
      </c>
      <c r="O553" t="s">
        <v>5475</v>
      </c>
    </row>
    <row r="554" spans="1:15" x14ac:dyDescent="0.3">
      <c r="A554" t="s">
        <v>558</v>
      </c>
      <c r="B554" t="s">
        <v>1566</v>
      </c>
      <c r="C554" t="s">
        <v>2838</v>
      </c>
      <c r="D554" t="s">
        <v>3765</v>
      </c>
      <c r="E554" t="s">
        <v>4561</v>
      </c>
      <c r="F554" t="s">
        <v>4581</v>
      </c>
      <c r="G554" t="s">
        <v>4584</v>
      </c>
      <c r="H554" t="s">
        <v>4601</v>
      </c>
      <c r="I554">
        <v>4</v>
      </c>
      <c r="J554" t="s">
        <v>4961</v>
      </c>
      <c r="K554">
        <v>0</v>
      </c>
      <c r="L554">
        <v>13</v>
      </c>
      <c r="M554" t="s">
        <v>5464</v>
      </c>
      <c r="N554" t="s">
        <v>5469</v>
      </c>
      <c r="O554" t="s">
        <v>5479</v>
      </c>
    </row>
    <row r="555" spans="1:15" x14ac:dyDescent="0.3">
      <c r="A555" t="s">
        <v>559</v>
      </c>
      <c r="B555" t="s">
        <v>1935</v>
      </c>
      <c r="C555" t="s">
        <v>2993</v>
      </c>
      <c r="D555" t="s">
        <v>3766</v>
      </c>
      <c r="E555" t="s">
        <v>4562</v>
      </c>
      <c r="F555" t="s">
        <v>4575</v>
      </c>
      <c r="G555" t="s">
        <v>4587</v>
      </c>
      <c r="H555" t="s">
        <v>4594</v>
      </c>
      <c r="I555">
        <v>4</v>
      </c>
      <c r="J555">
        <v>59.36</v>
      </c>
      <c r="K555" t="s">
        <v>5461</v>
      </c>
      <c r="L555">
        <v>11.14</v>
      </c>
      <c r="M555" t="s">
        <v>5462</v>
      </c>
      <c r="N555" t="s">
        <v>5473</v>
      </c>
      <c r="O555" t="s">
        <v>5477</v>
      </c>
    </row>
    <row r="556" spans="1:15" x14ac:dyDescent="0.3">
      <c r="A556" t="s">
        <v>560</v>
      </c>
      <c r="B556" t="s">
        <v>1936</v>
      </c>
      <c r="C556" t="s">
        <v>2758</v>
      </c>
      <c r="D556" t="s">
        <v>3767</v>
      </c>
      <c r="E556" t="s">
        <v>4569</v>
      </c>
      <c r="F556" t="s">
        <v>4572</v>
      </c>
      <c r="G556" t="s">
        <v>4583</v>
      </c>
      <c r="H556" t="s">
        <v>4610</v>
      </c>
      <c r="I556">
        <v>2</v>
      </c>
      <c r="J556" t="s">
        <v>4962</v>
      </c>
      <c r="K556">
        <v>0.05</v>
      </c>
      <c r="L556">
        <v>14.35</v>
      </c>
      <c r="M556" t="s">
        <v>5466</v>
      </c>
      <c r="N556" t="s">
        <v>5473</v>
      </c>
      <c r="O556" t="s">
        <v>5477</v>
      </c>
    </row>
    <row r="557" spans="1:15" x14ac:dyDescent="0.3">
      <c r="A557" t="s">
        <v>561</v>
      </c>
      <c r="B557" t="s">
        <v>1937</v>
      </c>
      <c r="C557" t="s">
        <v>2994</v>
      </c>
      <c r="E557" t="s">
        <v>4550</v>
      </c>
      <c r="F557" t="s">
        <v>4574</v>
      </c>
      <c r="G557" t="s">
        <v>4586</v>
      </c>
      <c r="H557" t="s">
        <v>4597</v>
      </c>
      <c r="I557">
        <v>5</v>
      </c>
      <c r="J557" t="s">
        <v>4963</v>
      </c>
      <c r="K557">
        <v>0</v>
      </c>
      <c r="L557">
        <v>0</v>
      </c>
      <c r="M557" t="s">
        <v>5468</v>
      </c>
      <c r="N557" t="s">
        <v>5472</v>
      </c>
      <c r="O557" t="s">
        <v>5477</v>
      </c>
    </row>
    <row r="558" spans="1:15" x14ac:dyDescent="0.3">
      <c r="A558" t="s">
        <v>562</v>
      </c>
      <c r="B558" t="s">
        <v>1938</v>
      </c>
      <c r="C558" t="s">
        <v>2632</v>
      </c>
      <c r="D558" t="s">
        <v>3768</v>
      </c>
      <c r="E558" t="s">
        <v>4570</v>
      </c>
      <c r="F558" t="s">
        <v>4573</v>
      </c>
      <c r="G558" t="s">
        <v>4584</v>
      </c>
      <c r="H558" t="s">
        <v>4603</v>
      </c>
      <c r="I558">
        <v>2</v>
      </c>
      <c r="J558" t="s">
        <v>4964</v>
      </c>
      <c r="K558">
        <v>0.05</v>
      </c>
      <c r="L558">
        <v>5.77</v>
      </c>
      <c r="M558" t="s">
        <v>5468</v>
      </c>
      <c r="N558" t="s">
        <v>5470</v>
      </c>
      <c r="O558" t="s">
        <v>5475</v>
      </c>
    </row>
    <row r="559" spans="1:15" x14ac:dyDescent="0.3">
      <c r="A559" t="s">
        <v>563</v>
      </c>
      <c r="B559" t="s">
        <v>1939</v>
      </c>
      <c r="C559" t="s">
        <v>2703</v>
      </c>
      <c r="E559" t="s">
        <v>4556</v>
      </c>
      <c r="F559" t="s">
        <v>4575</v>
      </c>
      <c r="G559" t="s">
        <v>4583</v>
      </c>
      <c r="H559" t="s">
        <v>4610</v>
      </c>
      <c r="I559">
        <v>10</v>
      </c>
      <c r="J559">
        <v>79.180000000000007</v>
      </c>
      <c r="K559">
        <v>0</v>
      </c>
      <c r="L559">
        <v>11.47</v>
      </c>
      <c r="M559" t="s">
        <v>5464</v>
      </c>
      <c r="N559" t="s">
        <v>5474</v>
      </c>
      <c r="O559" t="s">
        <v>5480</v>
      </c>
    </row>
    <row r="560" spans="1:15" x14ac:dyDescent="0.3">
      <c r="A560" t="s">
        <v>564</v>
      </c>
      <c r="B560" t="s">
        <v>1551</v>
      </c>
      <c r="C560" t="s">
        <v>2995</v>
      </c>
      <c r="D560" t="s">
        <v>3769</v>
      </c>
      <c r="E560" t="s">
        <v>4549</v>
      </c>
      <c r="F560" t="s">
        <v>4573</v>
      </c>
      <c r="G560" t="s">
        <v>4587</v>
      </c>
      <c r="H560" t="s">
        <v>4600</v>
      </c>
      <c r="I560">
        <v>1</v>
      </c>
      <c r="J560">
        <v>13.29</v>
      </c>
      <c r="K560">
        <v>0.15</v>
      </c>
      <c r="L560">
        <v>9.15</v>
      </c>
      <c r="M560" t="s">
        <v>5464</v>
      </c>
      <c r="N560" t="s">
        <v>5473</v>
      </c>
      <c r="O560" t="s">
        <v>5475</v>
      </c>
    </row>
    <row r="561" spans="1:15" x14ac:dyDescent="0.3">
      <c r="A561" t="s">
        <v>565</v>
      </c>
      <c r="B561" t="s">
        <v>1940</v>
      </c>
      <c r="C561" t="s">
        <v>2765</v>
      </c>
      <c r="D561" t="s">
        <v>3770</v>
      </c>
      <c r="E561" t="s">
        <v>4557</v>
      </c>
      <c r="F561" t="s">
        <v>4580</v>
      </c>
      <c r="G561" t="s">
        <v>4583</v>
      </c>
      <c r="H561" t="s">
        <v>4604</v>
      </c>
      <c r="I561">
        <v>2</v>
      </c>
      <c r="J561" t="s">
        <v>4965</v>
      </c>
      <c r="K561">
        <v>0.05</v>
      </c>
      <c r="L561">
        <v>10.029999999999999</v>
      </c>
      <c r="M561" t="s">
        <v>5463</v>
      </c>
      <c r="N561" t="s">
        <v>5474</v>
      </c>
      <c r="O561" t="s">
        <v>5476</v>
      </c>
    </row>
    <row r="562" spans="1:15" x14ac:dyDescent="0.3">
      <c r="A562" t="s">
        <v>566</v>
      </c>
      <c r="B562" t="s">
        <v>1941</v>
      </c>
      <c r="C562" t="s">
        <v>2897</v>
      </c>
      <c r="D562" t="s">
        <v>3771</v>
      </c>
      <c r="E562" t="s">
        <v>4547</v>
      </c>
      <c r="F562" t="s">
        <v>4580</v>
      </c>
      <c r="G562" t="s">
        <v>4583</v>
      </c>
      <c r="H562" t="s">
        <v>4588</v>
      </c>
      <c r="I562">
        <v>1</v>
      </c>
      <c r="J562">
        <v>39.49</v>
      </c>
      <c r="K562">
        <v>0.05</v>
      </c>
      <c r="L562">
        <v>13.41</v>
      </c>
      <c r="N562" t="s">
        <v>5472</v>
      </c>
      <c r="O562" t="s">
        <v>5477</v>
      </c>
    </row>
    <row r="563" spans="1:15" x14ac:dyDescent="0.3">
      <c r="A563" t="s">
        <v>567</v>
      </c>
      <c r="B563" t="s">
        <v>1729</v>
      </c>
      <c r="C563" t="s">
        <v>2962</v>
      </c>
      <c r="E563" t="s">
        <v>4550</v>
      </c>
      <c r="F563" t="s">
        <v>4574</v>
      </c>
      <c r="H563" t="s">
        <v>4607</v>
      </c>
      <c r="I563">
        <v>2</v>
      </c>
      <c r="J563" t="s">
        <v>4966</v>
      </c>
      <c r="K563">
        <v>0</v>
      </c>
      <c r="L563">
        <v>1.02</v>
      </c>
      <c r="M563" t="s">
        <v>5464</v>
      </c>
      <c r="N563" t="s">
        <v>5472</v>
      </c>
      <c r="O563" t="s">
        <v>5477</v>
      </c>
    </row>
    <row r="564" spans="1:15" x14ac:dyDescent="0.3">
      <c r="A564" t="s">
        <v>568</v>
      </c>
      <c r="B564" t="s">
        <v>1942</v>
      </c>
      <c r="C564" t="s">
        <v>2996</v>
      </c>
      <c r="D564" t="s">
        <v>3772</v>
      </c>
      <c r="E564" t="s">
        <v>4560</v>
      </c>
      <c r="F564" t="s">
        <v>4574</v>
      </c>
      <c r="G564" t="s">
        <v>4587</v>
      </c>
      <c r="H564" t="s">
        <v>4594</v>
      </c>
      <c r="I564">
        <v>2</v>
      </c>
      <c r="J564" t="s">
        <v>4967</v>
      </c>
      <c r="K564">
        <v>0.05</v>
      </c>
      <c r="L564">
        <v>13.01</v>
      </c>
      <c r="M564" t="s">
        <v>5465</v>
      </c>
      <c r="N564" t="s">
        <v>5473</v>
      </c>
      <c r="O564" t="s">
        <v>5477</v>
      </c>
    </row>
    <row r="565" spans="1:15" x14ac:dyDescent="0.3">
      <c r="A565" t="s">
        <v>569</v>
      </c>
      <c r="B565" t="s">
        <v>1943</v>
      </c>
      <c r="C565" t="s">
        <v>2997</v>
      </c>
      <c r="D565" t="s">
        <v>3773</v>
      </c>
      <c r="E565" t="s">
        <v>4549</v>
      </c>
      <c r="F565" t="s">
        <v>4574</v>
      </c>
      <c r="G565" t="s">
        <v>4583</v>
      </c>
      <c r="H565" t="s">
        <v>4588</v>
      </c>
      <c r="I565">
        <v>1</v>
      </c>
      <c r="J565" t="s">
        <v>4968</v>
      </c>
      <c r="K565">
        <v>0</v>
      </c>
      <c r="L565">
        <v>13.67</v>
      </c>
      <c r="M565" t="s">
        <v>5468</v>
      </c>
      <c r="N565" t="s">
        <v>5472</v>
      </c>
      <c r="O565" t="s">
        <v>5477</v>
      </c>
    </row>
    <row r="566" spans="1:15" x14ac:dyDescent="0.3">
      <c r="A566" t="s">
        <v>570</v>
      </c>
      <c r="B566" t="s">
        <v>1944</v>
      </c>
      <c r="C566" t="s">
        <v>2986</v>
      </c>
      <c r="D566" t="s">
        <v>3774</v>
      </c>
      <c r="E566" t="s">
        <v>4551</v>
      </c>
      <c r="F566" t="s">
        <v>4576</v>
      </c>
      <c r="G566" t="s">
        <v>4585</v>
      </c>
      <c r="H566" t="s">
        <v>4598</v>
      </c>
      <c r="I566">
        <v>1</v>
      </c>
      <c r="J566">
        <v>3.2</v>
      </c>
      <c r="K566">
        <v>0</v>
      </c>
      <c r="L566">
        <v>4.08</v>
      </c>
      <c r="N566" t="s">
        <v>5473</v>
      </c>
      <c r="O566" t="s">
        <v>5477</v>
      </c>
    </row>
    <row r="567" spans="1:15" x14ac:dyDescent="0.3">
      <c r="A567" t="s">
        <v>571</v>
      </c>
      <c r="B567" t="s">
        <v>1694</v>
      </c>
      <c r="C567" t="s">
        <v>2998</v>
      </c>
      <c r="E567" t="s">
        <v>4548</v>
      </c>
      <c r="F567" t="s">
        <v>4573</v>
      </c>
      <c r="G567" t="s">
        <v>4587</v>
      </c>
      <c r="H567" t="s">
        <v>4594</v>
      </c>
      <c r="I567">
        <v>3</v>
      </c>
      <c r="J567">
        <v>62.44</v>
      </c>
      <c r="K567">
        <v>0.1</v>
      </c>
      <c r="L567">
        <v>1.32</v>
      </c>
      <c r="M567" t="s">
        <v>5468</v>
      </c>
      <c r="N567" t="s">
        <v>5473</v>
      </c>
      <c r="O567" t="s">
        <v>5477</v>
      </c>
    </row>
    <row r="568" spans="1:15" x14ac:dyDescent="0.3">
      <c r="A568" t="s">
        <v>572</v>
      </c>
      <c r="B568" t="s">
        <v>1945</v>
      </c>
      <c r="C568" t="s">
        <v>2999</v>
      </c>
      <c r="D568" t="s">
        <v>3775</v>
      </c>
      <c r="E568" t="s">
        <v>4551</v>
      </c>
      <c r="F568" t="s">
        <v>4579</v>
      </c>
      <c r="G568" t="s">
        <v>4583</v>
      </c>
      <c r="H568" t="s">
        <v>4605</v>
      </c>
      <c r="I568">
        <v>2</v>
      </c>
      <c r="J568" t="s">
        <v>4969</v>
      </c>
      <c r="K568">
        <v>0</v>
      </c>
      <c r="L568">
        <v>2.13</v>
      </c>
      <c r="M568" t="s">
        <v>5467</v>
      </c>
      <c r="N568" t="s">
        <v>5469</v>
      </c>
      <c r="O568" t="s">
        <v>5480</v>
      </c>
    </row>
    <row r="569" spans="1:15" x14ac:dyDescent="0.3">
      <c r="A569" t="s">
        <v>573</v>
      </c>
      <c r="B569" t="s">
        <v>1946</v>
      </c>
      <c r="C569" t="s">
        <v>2684</v>
      </c>
      <c r="D569" t="s">
        <v>3776</v>
      </c>
      <c r="E569" t="s">
        <v>4568</v>
      </c>
      <c r="F569" t="s">
        <v>4573</v>
      </c>
      <c r="G569" t="s">
        <v>4586</v>
      </c>
      <c r="H569" t="s">
        <v>4609</v>
      </c>
      <c r="I569">
        <v>10</v>
      </c>
      <c r="J569">
        <v>131.93</v>
      </c>
      <c r="K569">
        <v>0</v>
      </c>
      <c r="L569">
        <v>5.49</v>
      </c>
      <c r="M569" t="s">
        <v>5463</v>
      </c>
      <c r="O569" t="s">
        <v>5479</v>
      </c>
    </row>
    <row r="570" spans="1:15" x14ac:dyDescent="0.3">
      <c r="A570" t="s">
        <v>574</v>
      </c>
      <c r="B570" t="s">
        <v>1947</v>
      </c>
      <c r="C570" t="s">
        <v>2965</v>
      </c>
      <c r="E570" t="s">
        <v>4550</v>
      </c>
      <c r="F570" t="s">
        <v>4573</v>
      </c>
      <c r="G570" t="s">
        <v>4584</v>
      </c>
      <c r="H570" t="s">
        <v>4607</v>
      </c>
      <c r="I570">
        <v>1</v>
      </c>
      <c r="J570" t="s">
        <v>4970</v>
      </c>
      <c r="K570" t="s">
        <v>5460</v>
      </c>
      <c r="L570">
        <v>0</v>
      </c>
      <c r="M570" t="s">
        <v>5464</v>
      </c>
      <c r="N570" t="s">
        <v>5471</v>
      </c>
      <c r="O570" t="s">
        <v>5479</v>
      </c>
    </row>
    <row r="571" spans="1:15" x14ac:dyDescent="0.3">
      <c r="A571" t="s">
        <v>575</v>
      </c>
      <c r="B571" t="s">
        <v>1948</v>
      </c>
      <c r="C571" t="s">
        <v>3000</v>
      </c>
      <c r="D571" t="s">
        <v>3777</v>
      </c>
      <c r="E571" t="s">
        <v>4568</v>
      </c>
      <c r="F571" t="s">
        <v>4577</v>
      </c>
      <c r="H571" t="s">
        <v>4599</v>
      </c>
      <c r="I571">
        <v>1</v>
      </c>
      <c r="J571">
        <v>243.25</v>
      </c>
      <c r="K571">
        <v>0.15</v>
      </c>
      <c r="L571">
        <v>5.49</v>
      </c>
      <c r="M571" t="s">
        <v>5463</v>
      </c>
      <c r="O571" t="s">
        <v>5476</v>
      </c>
    </row>
    <row r="572" spans="1:15" x14ac:dyDescent="0.3">
      <c r="A572" t="s">
        <v>576</v>
      </c>
      <c r="B572" t="s">
        <v>1949</v>
      </c>
      <c r="C572" t="s">
        <v>2922</v>
      </c>
      <c r="D572" t="s">
        <v>3778</v>
      </c>
      <c r="E572" t="s">
        <v>4553</v>
      </c>
      <c r="F572" t="s">
        <v>4582</v>
      </c>
      <c r="G572" t="s">
        <v>4583</v>
      </c>
      <c r="H572" t="s">
        <v>4588</v>
      </c>
      <c r="I572">
        <v>1</v>
      </c>
      <c r="J572" t="s">
        <v>4971</v>
      </c>
      <c r="L572">
        <v>0.45</v>
      </c>
      <c r="M572" t="s">
        <v>5465</v>
      </c>
      <c r="O572" t="s">
        <v>5476</v>
      </c>
    </row>
    <row r="573" spans="1:15" x14ac:dyDescent="0.3">
      <c r="A573" t="s">
        <v>577</v>
      </c>
      <c r="B573" t="s">
        <v>1950</v>
      </c>
      <c r="C573" t="s">
        <v>2771</v>
      </c>
      <c r="D573" t="s">
        <v>3779</v>
      </c>
      <c r="E573" t="s">
        <v>4556</v>
      </c>
      <c r="F573" t="s">
        <v>4579</v>
      </c>
      <c r="G573" t="s">
        <v>4585</v>
      </c>
      <c r="H573" t="s">
        <v>4602</v>
      </c>
      <c r="I573">
        <v>4</v>
      </c>
      <c r="J573" t="s">
        <v>4768</v>
      </c>
      <c r="K573" t="s">
        <v>5460</v>
      </c>
      <c r="L573">
        <v>13.47</v>
      </c>
      <c r="M573" t="s">
        <v>5466</v>
      </c>
      <c r="N573" t="s">
        <v>5473</v>
      </c>
      <c r="O573" t="s">
        <v>5477</v>
      </c>
    </row>
    <row r="574" spans="1:15" x14ac:dyDescent="0.3">
      <c r="A574" t="s">
        <v>578</v>
      </c>
      <c r="B574" t="s">
        <v>1951</v>
      </c>
      <c r="C574" t="s">
        <v>3001</v>
      </c>
      <c r="D574" t="s">
        <v>3780</v>
      </c>
      <c r="E574" t="s">
        <v>4554</v>
      </c>
      <c r="F574" t="s">
        <v>4574</v>
      </c>
      <c r="G574" t="s">
        <v>4583</v>
      </c>
      <c r="H574" t="s">
        <v>4610</v>
      </c>
      <c r="I574">
        <v>-1</v>
      </c>
      <c r="J574">
        <v>82.03</v>
      </c>
      <c r="L574">
        <v>13.4</v>
      </c>
      <c r="M574" t="s">
        <v>5464</v>
      </c>
      <c r="N574" t="s">
        <v>5472</v>
      </c>
      <c r="O574" t="s">
        <v>5475</v>
      </c>
    </row>
    <row r="575" spans="1:15" x14ac:dyDescent="0.3">
      <c r="A575" t="s">
        <v>579</v>
      </c>
      <c r="B575" t="s">
        <v>1952</v>
      </c>
      <c r="C575" t="s">
        <v>2663</v>
      </c>
      <c r="E575" t="s">
        <v>4560</v>
      </c>
      <c r="F575" t="s">
        <v>4574</v>
      </c>
      <c r="G575" t="s">
        <v>4585</v>
      </c>
      <c r="H575" t="s">
        <v>4591</v>
      </c>
      <c r="I575">
        <v>4</v>
      </c>
      <c r="J575" t="s">
        <v>4972</v>
      </c>
      <c r="K575" t="s">
        <v>5461</v>
      </c>
      <c r="L575">
        <v>5.43</v>
      </c>
      <c r="M575" t="s">
        <v>5467</v>
      </c>
      <c r="N575" t="s">
        <v>5470</v>
      </c>
      <c r="O575" t="s">
        <v>5476</v>
      </c>
    </row>
    <row r="576" spans="1:15" x14ac:dyDescent="0.3">
      <c r="A576" t="s">
        <v>580</v>
      </c>
      <c r="B576" t="s">
        <v>1416</v>
      </c>
      <c r="C576" t="s">
        <v>3002</v>
      </c>
      <c r="D576" t="s">
        <v>3781</v>
      </c>
      <c r="E576" t="s">
        <v>4550</v>
      </c>
      <c r="F576" t="s">
        <v>4574</v>
      </c>
      <c r="G576" t="s">
        <v>4584</v>
      </c>
      <c r="H576" t="s">
        <v>4608</v>
      </c>
      <c r="I576">
        <v>3</v>
      </c>
      <c r="J576">
        <v>19.100000000000001</v>
      </c>
      <c r="K576">
        <v>0.05</v>
      </c>
      <c r="L576">
        <v>4.54</v>
      </c>
      <c r="M576" t="s">
        <v>5468</v>
      </c>
      <c r="N576" t="s">
        <v>5471</v>
      </c>
      <c r="O576" t="s">
        <v>5475</v>
      </c>
    </row>
    <row r="577" spans="1:15" x14ac:dyDescent="0.3">
      <c r="A577" t="s">
        <v>581</v>
      </c>
      <c r="B577" t="s">
        <v>1441</v>
      </c>
      <c r="C577" t="s">
        <v>2701</v>
      </c>
      <c r="D577" t="s">
        <v>3782</v>
      </c>
      <c r="E577" t="s">
        <v>4563</v>
      </c>
      <c r="F577" t="s">
        <v>4573</v>
      </c>
      <c r="G577" t="s">
        <v>4585</v>
      </c>
      <c r="H577" t="s">
        <v>4598</v>
      </c>
      <c r="I577">
        <v>10</v>
      </c>
      <c r="J577">
        <v>3.06</v>
      </c>
      <c r="K577">
        <v>0</v>
      </c>
      <c r="L577">
        <v>0.42</v>
      </c>
      <c r="N577" t="s">
        <v>5474</v>
      </c>
      <c r="O577" t="s">
        <v>5476</v>
      </c>
    </row>
    <row r="578" spans="1:15" x14ac:dyDescent="0.3">
      <c r="A578" t="s">
        <v>582</v>
      </c>
      <c r="B578" t="s">
        <v>1953</v>
      </c>
      <c r="C578" t="s">
        <v>2739</v>
      </c>
      <c r="D578" t="s">
        <v>3783</v>
      </c>
      <c r="E578" t="s">
        <v>4564</v>
      </c>
      <c r="F578" t="s">
        <v>4578</v>
      </c>
      <c r="G578" t="s">
        <v>4584</v>
      </c>
      <c r="H578" t="s">
        <v>4601</v>
      </c>
      <c r="I578">
        <v>10</v>
      </c>
      <c r="J578" t="s">
        <v>4973</v>
      </c>
      <c r="K578">
        <v>0</v>
      </c>
      <c r="L578">
        <v>5.13</v>
      </c>
      <c r="M578" t="s">
        <v>5464</v>
      </c>
      <c r="N578" t="s">
        <v>5474</v>
      </c>
      <c r="O578" t="s">
        <v>5477</v>
      </c>
    </row>
    <row r="579" spans="1:15" x14ac:dyDescent="0.3">
      <c r="A579" t="s">
        <v>583</v>
      </c>
      <c r="B579" t="s">
        <v>1954</v>
      </c>
      <c r="C579" t="s">
        <v>2718</v>
      </c>
      <c r="D579" t="s">
        <v>3784</v>
      </c>
      <c r="E579" t="s">
        <v>4571</v>
      </c>
      <c r="F579" t="s">
        <v>4573</v>
      </c>
      <c r="G579" t="s">
        <v>4584</v>
      </c>
      <c r="H579" t="s">
        <v>4601</v>
      </c>
      <c r="I579">
        <v>1</v>
      </c>
      <c r="J579" t="s">
        <v>4974</v>
      </c>
      <c r="K579" t="s">
        <v>5461</v>
      </c>
      <c r="L579">
        <v>3.25</v>
      </c>
      <c r="M579" t="s">
        <v>5467</v>
      </c>
      <c r="N579" t="s">
        <v>5470</v>
      </c>
      <c r="O579" t="s">
        <v>5475</v>
      </c>
    </row>
    <row r="580" spans="1:15" x14ac:dyDescent="0.3">
      <c r="A580" t="s">
        <v>584</v>
      </c>
      <c r="B580" t="s">
        <v>1955</v>
      </c>
      <c r="C580" t="s">
        <v>3003</v>
      </c>
      <c r="D580" t="s">
        <v>3785</v>
      </c>
      <c r="E580" t="s">
        <v>4559</v>
      </c>
      <c r="F580" t="s">
        <v>4577</v>
      </c>
      <c r="G580" t="s">
        <v>4587</v>
      </c>
      <c r="H580" t="s">
        <v>4600</v>
      </c>
      <c r="I580">
        <v>10</v>
      </c>
      <c r="J580" t="s">
        <v>4975</v>
      </c>
      <c r="K580">
        <v>0</v>
      </c>
      <c r="L580">
        <v>4.54</v>
      </c>
      <c r="M580" t="s">
        <v>5462</v>
      </c>
      <c r="N580" t="s">
        <v>5472</v>
      </c>
      <c r="O580" t="s">
        <v>5476</v>
      </c>
    </row>
    <row r="581" spans="1:15" x14ac:dyDescent="0.3">
      <c r="A581" t="s">
        <v>585</v>
      </c>
      <c r="B581" t="s">
        <v>1956</v>
      </c>
      <c r="C581" t="s">
        <v>3003</v>
      </c>
      <c r="D581" t="s">
        <v>3786</v>
      </c>
      <c r="E581" t="s">
        <v>4571</v>
      </c>
      <c r="F581" t="s">
        <v>4573</v>
      </c>
      <c r="G581" t="s">
        <v>4585</v>
      </c>
      <c r="H581" t="s">
        <v>4598</v>
      </c>
      <c r="I581">
        <v>5</v>
      </c>
      <c r="J581" t="s">
        <v>4976</v>
      </c>
      <c r="K581" t="s">
        <v>5461</v>
      </c>
      <c r="L581">
        <v>10.78</v>
      </c>
      <c r="M581" t="s">
        <v>5464</v>
      </c>
      <c r="N581" t="s">
        <v>5470</v>
      </c>
      <c r="O581" t="s">
        <v>5476</v>
      </c>
    </row>
    <row r="582" spans="1:15" x14ac:dyDescent="0.3">
      <c r="A582" t="s">
        <v>586</v>
      </c>
      <c r="B582" t="s">
        <v>1957</v>
      </c>
      <c r="C582" t="s">
        <v>2887</v>
      </c>
      <c r="D582" t="s">
        <v>3787</v>
      </c>
      <c r="E582" t="s">
        <v>4549</v>
      </c>
      <c r="F582" t="s">
        <v>4573</v>
      </c>
      <c r="G582" t="s">
        <v>4586</v>
      </c>
      <c r="H582" t="s">
        <v>4597</v>
      </c>
      <c r="I582">
        <v>2</v>
      </c>
      <c r="J582" t="s">
        <v>4773</v>
      </c>
      <c r="K582">
        <v>0</v>
      </c>
      <c r="L582">
        <v>0</v>
      </c>
      <c r="M582" t="s">
        <v>5468</v>
      </c>
      <c r="N582" t="s">
        <v>5469</v>
      </c>
      <c r="O582" t="s">
        <v>5477</v>
      </c>
    </row>
    <row r="583" spans="1:15" x14ac:dyDescent="0.3">
      <c r="A583" t="s">
        <v>587</v>
      </c>
      <c r="B583" t="s">
        <v>1640</v>
      </c>
      <c r="C583" t="s">
        <v>3004</v>
      </c>
      <c r="E583" t="s">
        <v>4556</v>
      </c>
      <c r="F583" t="s">
        <v>4576</v>
      </c>
      <c r="G583" t="s">
        <v>4583</v>
      </c>
      <c r="H583" t="s">
        <v>4588</v>
      </c>
      <c r="I583">
        <v>1</v>
      </c>
      <c r="J583" t="s">
        <v>4977</v>
      </c>
      <c r="K583" t="s">
        <v>5460</v>
      </c>
      <c r="L583">
        <v>14.48</v>
      </c>
      <c r="M583" t="s">
        <v>5466</v>
      </c>
      <c r="N583" t="s">
        <v>5473</v>
      </c>
      <c r="O583" t="s">
        <v>5476</v>
      </c>
    </row>
    <row r="584" spans="1:15" x14ac:dyDescent="0.3">
      <c r="A584" t="s">
        <v>588</v>
      </c>
      <c r="B584" t="s">
        <v>1582</v>
      </c>
      <c r="C584" t="s">
        <v>3005</v>
      </c>
      <c r="D584" t="s">
        <v>3788</v>
      </c>
      <c r="E584" t="s">
        <v>4549</v>
      </c>
      <c r="F584" t="s">
        <v>4573</v>
      </c>
      <c r="G584" t="s">
        <v>4586</v>
      </c>
      <c r="H584" t="s">
        <v>4609</v>
      </c>
      <c r="I584">
        <v>2</v>
      </c>
      <c r="J584" t="s">
        <v>4978</v>
      </c>
      <c r="K584" t="s">
        <v>5460</v>
      </c>
      <c r="L584">
        <v>11.03</v>
      </c>
      <c r="M584" t="s">
        <v>5467</v>
      </c>
      <c r="N584" t="s">
        <v>5472</v>
      </c>
      <c r="O584" t="s">
        <v>5477</v>
      </c>
    </row>
    <row r="585" spans="1:15" x14ac:dyDescent="0.3">
      <c r="A585" t="s">
        <v>589</v>
      </c>
      <c r="B585" t="s">
        <v>1958</v>
      </c>
      <c r="C585" t="s">
        <v>3006</v>
      </c>
      <c r="D585" t="s">
        <v>3789</v>
      </c>
      <c r="E585" t="s">
        <v>4568</v>
      </c>
      <c r="F585" t="s">
        <v>4573</v>
      </c>
      <c r="G585" t="s">
        <v>4585</v>
      </c>
      <c r="H585" t="s">
        <v>4602</v>
      </c>
      <c r="I585">
        <v>1</v>
      </c>
      <c r="J585" t="s">
        <v>4979</v>
      </c>
      <c r="K585">
        <v>0</v>
      </c>
      <c r="L585">
        <v>1.43</v>
      </c>
      <c r="M585" t="s">
        <v>5467</v>
      </c>
      <c r="O585" t="s">
        <v>5477</v>
      </c>
    </row>
    <row r="586" spans="1:15" x14ac:dyDescent="0.3">
      <c r="A586" t="s">
        <v>590</v>
      </c>
      <c r="B586" t="s">
        <v>1959</v>
      </c>
      <c r="C586" t="s">
        <v>3007</v>
      </c>
      <c r="D586" t="s">
        <v>3790</v>
      </c>
      <c r="E586" t="s">
        <v>4550</v>
      </c>
      <c r="F586" t="s">
        <v>4573</v>
      </c>
      <c r="G586" t="s">
        <v>4586</v>
      </c>
      <c r="H586" t="s">
        <v>4597</v>
      </c>
      <c r="I586">
        <v>5</v>
      </c>
      <c r="J586" t="s">
        <v>4980</v>
      </c>
      <c r="K586">
        <v>0.05</v>
      </c>
      <c r="L586">
        <v>2.15</v>
      </c>
      <c r="M586" t="s">
        <v>5467</v>
      </c>
      <c r="N586" t="s">
        <v>5471</v>
      </c>
      <c r="O586" t="s">
        <v>5476</v>
      </c>
    </row>
    <row r="587" spans="1:15" x14ac:dyDescent="0.3">
      <c r="A587" t="s">
        <v>591</v>
      </c>
      <c r="B587" t="s">
        <v>1960</v>
      </c>
      <c r="C587" t="s">
        <v>3008</v>
      </c>
      <c r="D587" t="s">
        <v>3791</v>
      </c>
      <c r="E587" t="s">
        <v>4566</v>
      </c>
      <c r="F587" t="s">
        <v>4582</v>
      </c>
      <c r="G587" t="s">
        <v>4583</v>
      </c>
      <c r="H587" t="s">
        <v>4604</v>
      </c>
      <c r="I587">
        <v>3</v>
      </c>
      <c r="J587" t="s">
        <v>4981</v>
      </c>
      <c r="K587">
        <v>0</v>
      </c>
      <c r="L587">
        <v>3.14</v>
      </c>
      <c r="M587" t="s">
        <v>5465</v>
      </c>
      <c r="N587" t="s">
        <v>5473</v>
      </c>
      <c r="O587" t="s">
        <v>5477</v>
      </c>
    </row>
    <row r="588" spans="1:15" x14ac:dyDescent="0.3">
      <c r="A588" t="s">
        <v>592</v>
      </c>
      <c r="B588" t="s">
        <v>1961</v>
      </c>
      <c r="C588" t="s">
        <v>2775</v>
      </c>
      <c r="E588" t="s">
        <v>4556</v>
      </c>
      <c r="F588" t="s">
        <v>4576</v>
      </c>
      <c r="G588" t="s">
        <v>4587</v>
      </c>
      <c r="H588" t="s">
        <v>4606</v>
      </c>
      <c r="I588">
        <v>5</v>
      </c>
      <c r="J588" t="s">
        <v>4982</v>
      </c>
      <c r="K588">
        <v>0.1</v>
      </c>
      <c r="L588">
        <v>13.61</v>
      </c>
      <c r="M588" t="s">
        <v>5468</v>
      </c>
      <c r="N588" t="s">
        <v>5470</v>
      </c>
      <c r="O588" t="s">
        <v>5476</v>
      </c>
    </row>
    <row r="589" spans="1:15" x14ac:dyDescent="0.3">
      <c r="A589" t="s">
        <v>593</v>
      </c>
      <c r="B589" t="s">
        <v>1962</v>
      </c>
      <c r="C589" t="s">
        <v>3009</v>
      </c>
      <c r="D589" t="s">
        <v>3792</v>
      </c>
      <c r="E589" t="s">
        <v>4571</v>
      </c>
      <c r="F589" t="s">
        <v>4578</v>
      </c>
      <c r="G589" t="s">
        <v>4585</v>
      </c>
      <c r="H589" t="s">
        <v>4602</v>
      </c>
      <c r="I589">
        <v>2</v>
      </c>
      <c r="J589">
        <v>4.05</v>
      </c>
      <c r="L589">
        <v>13.67</v>
      </c>
      <c r="M589" t="s">
        <v>5467</v>
      </c>
      <c r="N589" t="s">
        <v>5474</v>
      </c>
      <c r="O589" t="s">
        <v>5477</v>
      </c>
    </row>
    <row r="590" spans="1:15" x14ac:dyDescent="0.3">
      <c r="A590" t="s">
        <v>594</v>
      </c>
      <c r="B590" t="s">
        <v>1963</v>
      </c>
      <c r="C590" t="s">
        <v>3010</v>
      </c>
      <c r="D590" t="s">
        <v>3793</v>
      </c>
      <c r="E590" t="s">
        <v>4569</v>
      </c>
      <c r="F590" t="s">
        <v>4580</v>
      </c>
      <c r="G590" t="s">
        <v>4587</v>
      </c>
      <c r="H590" t="s">
        <v>4600</v>
      </c>
      <c r="I590">
        <v>1</v>
      </c>
      <c r="J590" t="s">
        <v>4983</v>
      </c>
      <c r="L590">
        <v>0.3</v>
      </c>
      <c r="M590" t="s">
        <v>5463</v>
      </c>
      <c r="N590" t="s">
        <v>5470</v>
      </c>
      <c r="O590" t="s">
        <v>5475</v>
      </c>
    </row>
    <row r="591" spans="1:15" x14ac:dyDescent="0.3">
      <c r="A591" t="s">
        <v>595</v>
      </c>
      <c r="B591" t="s">
        <v>1964</v>
      </c>
      <c r="C591" t="s">
        <v>3011</v>
      </c>
      <c r="D591" t="s">
        <v>3794</v>
      </c>
      <c r="E591" t="s">
        <v>4566</v>
      </c>
      <c r="F591" t="s">
        <v>4582</v>
      </c>
      <c r="G591" t="s">
        <v>4585</v>
      </c>
      <c r="H591" t="s">
        <v>4590</v>
      </c>
      <c r="I591">
        <v>10</v>
      </c>
      <c r="J591" t="s">
        <v>4984</v>
      </c>
      <c r="K591" t="s">
        <v>5461</v>
      </c>
      <c r="L591">
        <v>6.47</v>
      </c>
      <c r="M591" t="s">
        <v>5463</v>
      </c>
      <c r="N591" t="s">
        <v>5470</v>
      </c>
      <c r="O591" t="s">
        <v>5477</v>
      </c>
    </row>
    <row r="592" spans="1:15" x14ac:dyDescent="0.3">
      <c r="A592" t="s">
        <v>596</v>
      </c>
      <c r="B592" t="s">
        <v>1965</v>
      </c>
      <c r="C592" t="s">
        <v>2897</v>
      </c>
      <c r="D592" t="s">
        <v>3795</v>
      </c>
      <c r="E592" t="s">
        <v>4560</v>
      </c>
      <c r="F592" t="s">
        <v>4574</v>
      </c>
      <c r="G592" t="s">
        <v>4586</v>
      </c>
      <c r="H592" t="s">
        <v>4593</v>
      </c>
      <c r="I592">
        <v>5</v>
      </c>
      <c r="J592">
        <v>105</v>
      </c>
      <c r="K592">
        <v>0</v>
      </c>
      <c r="L592">
        <v>0.11</v>
      </c>
      <c r="M592" t="s">
        <v>5462</v>
      </c>
      <c r="N592" t="s">
        <v>5474</v>
      </c>
      <c r="O592" t="s">
        <v>5477</v>
      </c>
    </row>
    <row r="593" spans="1:15" x14ac:dyDescent="0.3">
      <c r="A593" t="s">
        <v>597</v>
      </c>
      <c r="B593" t="s">
        <v>1966</v>
      </c>
      <c r="C593" t="s">
        <v>3012</v>
      </c>
      <c r="D593" t="s">
        <v>3796</v>
      </c>
      <c r="E593" t="s">
        <v>4550</v>
      </c>
      <c r="F593" t="s">
        <v>4573</v>
      </c>
      <c r="G593" t="s">
        <v>4584</v>
      </c>
      <c r="H593" t="s">
        <v>4607</v>
      </c>
      <c r="I593">
        <v>-1</v>
      </c>
      <c r="J593" t="s">
        <v>4985</v>
      </c>
      <c r="L593">
        <v>1.36</v>
      </c>
      <c r="M593" t="s">
        <v>5465</v>
      </c>
      <c r="N593" t="s">
        <v>5469</v>
      </c>
      <c r="O593" t="s">
        <v>5476</v>
      </c>
    </row>
    <row r="594" spans="1:15" x14ac:dyDescent="0.3">
      <c r="A594" t="s">
        <v>598</v>
      </c>
      <c r="B594" t="s">
        <v>1967</v>
      </c>
      <c r="C594" t="s">
        <v>2689</v>
      </c>
      <c r="D594" t="s">
        <v>3797</v>
      </c>
      <c r="E594" t="s">
        <v>4566</v>
      </c>
      <c r="F594" t="s">
        <v>4582</v>
      </c>
      <c r="G594" t="s">
        <v>4585</v>
      </c>
      <c r="H594" t="s">
        <v>4598</v>
      </c>
      <c r="I594">
        <v>-1</v>
      </c>
      <c r="J594">
        <v>3.1</v>
      </c>
      <c r="K594" t="s">
        <v>5461</v>
      </c>
      <c r="L594">
        <v>8.48</v>
      </c>
      <c r="N594" t="s">
        <v>5469</v>
      </c>
      <c r="O594" t="s">
        <v>5477</v>
      </c>
    </row>
    <row r="595" spans="1:15" x14ac:dyDescent="0.3">
      <c r="A595" t="s">
        <v>599</v>
      </c>
      <c r="B595" t="s">
        <v>1968</v>
      </c>
      <c r="C595" t="s">
        <v>2949</v>
      </c>
      <c r="D595" t="s">
        <v>3798</v>
      </c>
      <c r="E595" t="s">
        <v>4549</v>
      </c>
      <c r="G595" t="s">
        <v>4586</v>
      </c>
      <c r="H595" t="s">
        <v>4599</v>
      </c>
      <c r="I595">
        <v>2</v>
      </c>
      <c r="J595">
        <v>245.9</v>
      </c>
      <c r="K595">
        <v>0</v>
      </c>
      <c r="L595">
        <v>5.51</v>
      </c>
      <c r="M595" t="s">
        <v>5462</v>
      </c>
      <c r="N595" t="s">
        <v>5471</v>
      </c>
      <c r="O595" t="s">
        <v>5477</v>
      </c>
    </row>
    <row r="596" spans="1:15" x14ac:dyDescent="0.3">
      <c r="A596" t="s">
        <v>600</v>
      </c>
      <c r="B596" t="s">
        <v>1969</v>
      </c>
      <c r="C596" t="s">
        <v>3013</v>
      </c>
      <c r="D596" t="s">
        <v>3799</v>
      </c>
      <c r="E596" t="s">
        <v>4547</v>
      </c>
      <c r="F596" t="s">
        <v>4572</v>
      </c>
      <c r="G596" t="s">
        <v>4585</v>
      </c>
      <c r="H596" t="s">
        <v>4590</v>
      </c>
      <c r="I596">
        <v>2</v>
      </c>
      <c r="J596">
        <v>13.43</v>
      </c>
      <c r="K596" t="s">
        <v>5460</v>
      </c>
      <c r="L596">
        <v>7.7</v>
      </c>
      <c r="M596" t="s">
        <v>5467</v>
      </c>
      <c r="N596" t="s">
        <v>5470</v>
      </c>
      <c r="O596" t="s">
        <v>5477</v>
      </c>
    </row>
    <row r="597" spans="1:15" x14ac:dyDescent="0.3">
      <c r="A597" t="s">
        <v>601</v>
      </c>
      <c r="B597" t="s">
        <v>1970</v>
      </c>
      <c r="C597" t="s">
        <v>3014</v>
      </c>
      <c r="D597" t="s">
        <v>3800</v>
      </c>
      <c r="E597" t="s">
        <v>4560</v>
      </c>
      <c r="G597" t="s">
        <v>4584</v>
      </c>
      <c r="H597" t="s">
        <v>4589</v>
      </c>
      <c r="I597">
        <v>4</v>
      </c>
      <c r="J597">
        <v>34.4</v>
      </c>
      <c r="K597">
        <v>0</v>
      </c>
      <c r="L597">
        <v>0.22</v>
      </c>
      <c r="M597" t="s">
        <v>5462</v>
      </c>
      <c r="N597" t="s">
        <v>5474</v>
      </c>
      <c r="O597" t="s">
        <v>5475</v>
      </c>
    </row>
    <row r="598" spans="1:15" x14ac:dyDescent="0.3">
      <c r="A598" t="s">
        <v>442</v>
      </c>
      <c r="B598" t="s">
        <v>1705</v>
      </c>
      <c r="C598" t="s">
        <v>2934</v>
      </c>
      <c r="D598" t="s">
        <v>3659</v>
      </c>
      <c r="E598" t="s">
        <v>4556</v>
      </c>
      <c r="F598" t="s">
        <v>4576</v>
      </c>
      <c r="G598" t="s">
        <v>4586</v>
      </c>
      <c r="H598" t="s">
        <v>4609</v>
      </c>
      <c r="I598">
        <v>2</v>
      </c>
      <c r="J598">
        <v>129.16999999999999</v>
      </c>
      <c r="K598">
        <v>0.05</v>
      </c>
      <c r="L598">
        <v>4.84</v>
      </c>
      <c r="M598" t="s">
        <v>5468</v>
      </c>
      <c r="N598" t="s">
        <v>5471</v>
      </c>
      <c r="O598" t="s">
        <v>5477</v>
      </c>
    </row>
    <row r="599" spans="1:15" x14ac:dyDescent="0.3">
      <c r="A599" t="s">
        <v>602</v>
      </c>
      <c r="B599" t="s">
        <v>1971</v>
      </c>
      <c r="C599" t="s">
        <v>2759</v>
      </c>
      <c r="D599" t="s">
        <v>3801</v>
      </c>
      <c r="E599" t="s">
        <v>4571</v>
      </c>
      <c r="F599" t="s">
        <v>4573</v>
      </c>
      <c r="G599" t="s">
        <v>4583</v>
      </c>
      <c r="H599" t="s">
        <v>4588</v>
      </c>
      <c r="I599">
        <v>1</v>
      </c>
      <c r="J599">
        <v>40.340000000000003</v>
      </c>
      <c r="K599">
        <v>0</v>
      </c>
      <c r="L599">
        <v>10.85</v>
      </c>
      <c r="N599" t="s">
        <v>5474</v>
      </c>
      <c r="O599" t="s">
        <v>5478</v>
      </c>
    </row>
    <row r="600" spans="1:15" x14ac:dyDescent="0.3">
      <c r="A600" t="s">
        <v>603</v>
      </c>
      <c r="B600" t="s">
        <v>1972</v>
      </c>
      <c r="C600" t="s">
        <v>2714</v>
      </c>
      <c r="D600" t="s">
        <v>3802</v>
      </c>
      <c r="E600" t="s">
        <v>4555</v>
      </c>
      <c r="F600" t="s">
        <v>4578</v>
      </c>
      <c r="G600" t="s">
        <v>4584</v>
      </c>
      <c r="H600" t="s">
        <v>4601</v>
      </c>
      <c r="I600">
        <v>2</v>
      </c>
      <c r="J600" t="s">
        <v>4986</v>
      </c>
      <c r="K600">
        <v>0</v>
      </c>
      <c r="L600">
        <v>0.99</v>
      </c>
      <c r="M600" t="s">
        <v>5467</v>
      </c>
      <c r="N600" t="s">
        <v>5473</v>
      </c>
      <c r="O600" t="s">
        <v>5479</v>
      </c>
    </row>
    <row r="601" spans="1:15" x14ac:dyDescent="0.3">
      <c r="A601" t="s">
        <v>604</v>
      </c>
      <c r="B601" t="s">
        <v>1973</v>
      </c>
      <c r="C601" t="s">
        <v>3015</v>
      </c>
      <c r="D601" t="s">
        <v>3803</v>
      </c>
      <c r="E601" t="s">
        <v>4555</v>
      </c>
      <c r="F601" t="s">
        <v>4578</v>
      </c>
      <c r="G601" t="s">
        <v>4584</v>
      </c>
      <c r="H601" t="s">
        <v>4601</v>
      </c>
      <c r="I601">
        <v>10</v>
      </c>
      <c r="J601" t="s">
        <v>4987</v>
      </c>
      <c r="L601">
        <v>2.02</v>
      </c>
      <c r="N601" t="s">
        <v>5469</v>
      </c>
      <c r="O601" t="s">
        <v>5477</v>
      </c>
    </row>
    <row r="602" spans="1:15" x14ac:dyDescent="0.3">
      <c r="A602" t="s">
        <v>605</v>
      </c>
      <c r="B602" t="s">
        <v>1974</v>
      </c>
      <c r="C602" t="s">
        <v>2815</v>
      </c>
      <c r="E602" t="s">
        <v>4568</v>
      </c>
      <c r="F602" t="s">
        <v>4573</v>
      </c>
      <c r="G602" t="s">
        <v>4584</v>
      </c>
      <c r="H602" t="s">
        <v>4589</v>
      </c>
      <c r="I602">
        <v>5</v>
      </c>
      <c r="J602">
        <v>33.909999999999997</v>
      </c>
      <c r="L602">
        <v>1.73</v>
      </c>
      <c r="M602" t="s">
        <v>5462</v>
      </c>
      <c r="O602" t="s">
        <v>5479</v>
      </c>
    </row>
    <row r="603" spans="1:15" x14ac:dyDescent="0.3">
      <c r="A603" t="s">
        <v>606</v>
      </c>
      <c r="B603" t="s">
        <v>1975</v>
      </c>
      <c r="C603" t="s">
        <v>2755</v>
      </c>
      <c r="D603" t="s">
        <v>3804</v>
      </c>
      <c r="E603" t="s">
        <v>4550</v>
      </c>
      <c r="F603" t="s">
        <v>4573</v>
      </c>
      <c r="G603" t="s">
        <v>4583</v>
      </c>
      <c r="H603" t="s">
        <v>4610</v>
      </c>
      <c r="I603">
        <v>3</v>
      </c>
      <c r="J603">
        <v>81.150000000000006</v>
      </c>
      <c r="K603" t="s">
        <v>5461</v>
      </c>
      <c r="L603">
        <v>0.78</v>
      </c>
      <c r="N603" t="s">
        <v>5471</v>
      </c>
      <c r="O603" t="s">
        <v>5477</v>
      </c>
    </row>
    <row r="604" spans="1:15" x14ac:dyDescent="0.3">
      <c r="A604" t="s">
        <v>607</v>
      </c>
      <c r="B604" t="s">
        <v>1976</v>
      </c>
      <c r="C604" t="s">
        <v>2642</v>
      </c>
      <c r="D604" t="s">
        <v>3805</v>
      </c>
      <c r="E604" t="s">
        <v>4557</v>
      </c>
      <c r="G604" t="s">
        <v>4585</v>
      </c>
      <c r="H604" t="s">
        <v>4590</v>
      </c>
      <c r="I604">
        <v>2</v>
      </c>
      <c r="J604" t="s">
        <v>4988</v>
      </c>
      <c r="K604">
        <v>0</v>
      </c>
      <c r="L604">
        <v>2.39</v>
      </c>
      <c r="M604" t="s">
        <v>5465</v>
      </c>
      <c r="N604" t="s">
        <v>5471</v>
      </c>
      <c r="O604" t="s">
        <v>5477</v>
      </c>
    </row>
    <row r="605" spans="1:15" x14ac:dyDescent="0.3">
      <c r="A605" t="s">
        <v>608</v>
      </c>
      <c r="B605" t="s">
        <v>1977</v>
      </c>
      <c r="C605" t="s">
        <v>2887</v>
      </c>
      <c r="D605" t="s">
        <v>3806</v>
      </c>
      <c r="E605" t="s">
        <v>4552</v>
      </c>
      <c r="F605" t="s">
        <v>4579</v>
      </c>
      <c r="G605" t="s">
        <v>4584</v>
      </c>
      <c r="H605" t="s">
        <v>4589</v>
      </c>
      <c r="I605">
        <v>1</v>
      </c>
      <c r="J605" t="s">
        <v>4989</v>
      </c>
      <c r="K605">
        <v>0.15</v>
      </c>
      <c r="L605">
        <v>5.51</v>
      </c>
      <c r="M605" t="s">
        <v>5462</v>
      </c>
      <c r="O605" t="s">
        <v>5477</v>
      </c>
    </row>
    <row r="606" spans="1:15" x14ac:dyDescent="0.3">
      <c r="A606" t="s">
        <v>609</v>
      </c>
      <c r="B606" t="s">
        <v>1978</v>
      </c>
      <c r="C606" t="s">
        <v>3016</v>
      </c>
      <c r="D606" t="s">
        <v>3807</v>
      </c>
      <c r="E606" t="s">
        <v>4556</v>
      </c>
      <c r="F606" t="s">
        <v>4575</v>
      </c>
      <c r="G606" t="s">
        <v>4584</v>
      </c>
      <c r="H606" t="s">
        <v>4595</v>
      </c>
      <c r="I606">
        <v>-1</v>
      </c>
      <c r="J606">
        <v>40.659999999999997</v>
      </c>
      <c r="K606">
        <v>0.05</v>
      </c>
      <c r="L606">
        <v>8.26</v>
      </c>
      <c r="M606" t="s">
        <v>5463</v>
      </c>
      <c r="N606" t="s">
        <v>5474</v>
      </c>
      <c r="O606" t="s">
        <v>5475</v>
      </c>
    </row>
    <row r="607" spans="1:15" x14ac:dyDescent="0.3">
      <c r="A607" t="s">
        <v>610</v>
      </c>
      <c r="B607" t="s">
        <v>1979</v>
      </c>
      <c r="C607" t="s">
        <v>2631</v>
      </c>
      <c r="D607" t="s">
        <v>3808</v>
      </c>
      <c r="E607" t="s">
        <v>4567</v>
      </c>
      <c r="F607" t="s">
        <v>4573</v>
      </c>
      <c r="G607" t="s">
        <v>4586</v>
      </c>
      <c r="H607" t="s">
        <v>4599</v>
      </c>
      <c r="I607">
        <v>1</v>
      </c>
      <c r="J607">
        <v>259.26</v>
      </c>
      <c r="K607">
        <v>0.05</v>
      </c>
      <c r="L607">
        <v>2.25</v>
      </c>
      <c r="M607" t="s">
        <v>5466</v>
      </c>
      <c r="N607" t="s">
        <v>5469</v>
      </c>
      <c r="O607" t="s">
        <v>5477</v>
      </c>
    </row>
    <row r="608" spans="1:15" x14ac:dyDescent="0.3">
      <c r="A608" t="s">
        <v>611</v>
      </c>
      <c r="B608" t="s">
        <v>1980</v>
      </c>
      <c r="C608" t="s">
        <v>3017</v>
      </c>
      <c r="D608" t="s">
        <v>3809</v>
      </c>
      <c r="E608" t="s">
        <v>4568</v>
      </c>
      <c r="G608" t="s">
        <v>4583</v>
      </c>
      <c r="H608" t="s">
        <v>4588</v>
      </c>
      <c r="I608">
        <v>5</v>
      </c>
      <c r="J608" t="s">
        <v>4990</v>
      </c>
      <c r="K608">
        <v>0.15</v>
      </c>
      <c r="L608">
        <v>7.49</v>
      </c>
      <c r="M608" t="s">
        <v>5462</v>
      </c>
      <c r="N608" t="s">
        <v>5471</v>
      </c>
      <c r="O608" t="s">
        <v>5475</v>
      </c>
    </row>
    <row r="609" spans="1:15" x14ac:dyDescent="0.3">
      <c r="A609" t="s">
        <v>612</v>
      </c>
      <c r="B609" t="s">
        <v>1964</v>
      </c>
      <c r="C609" t="s">
        <v>2679</v>
      </c>
      <c r="D609" t="s">
        <v>3810</v>
      </c>
      <c r="E609" t="s">
        <v>4566</v>
      </c>
      <c r="F609" t="s">
        <v>4582</v>
      </c>
      <c r="G609" t="s">
        <v>4585</v>
      </c>
      <c r="H609" t="s">
        <v>4598</v>
      </c>
      <c r="I609">
        <v>3</v>
      </c>
      <c r="J609" t="s">
        <v>4991</v>
      </c>
      <c r="K609">
        <v>0</v>
      </c>
      <c r="L609">
        <v>6.91</v>
      </c>
      <c r="M609" t="s">
        <v>5468</v>
      </c>
      <c r="N609" t="s">
        <v>5471</v>
      </c>
      <c r="O609" t="s">
        <v>5475</v>
      </c>
    </row>
    <row r="610" spans="1:15" x14ac:dyDescent="0.3">
      <c r="A610" t="s">
        <v>613</v>
      </c>
      <c r="B610" t="s">
        <v>1519</v>
      </c>
      <c r="C610" t="s">
        <v>3018</v>
      </c>
      <c r="D610" t="s">
        <v>3811</v>
      </c>
      <c r="E610" t="s">
        <v>4554</v>
      </c>
      <c r="F610" t="s">
        <v>4573</v>
      </c>
      <c r="G610" t="s">
        <v>4587</v>
      </c>
      <c r="H610" t="s">
        <v>4606</v>
      </c>
      <c r="I610">
        <v>3</v>
      </c>
      <c r="J610">
        <v>31.13</v>
      </c>
      <c r="K610" t="s">
        <v>5461</v>
      </c>
      <c r="L610">
        <v>3.91</v>
      </c>
      <c r="M610" t="s">
        <v>5462</v>
      </c>
      <c r="N610" t="s">
        <v>5471</v>
      </c>
      <c r="O610" t="s">
        <v>5477</v>
      </c>
    </row>
    <row r="611" spans="1:15" x14ac:dyDescent="0.3">
      <c r="A611" t="s">
        <v>614</v>
      </c>
      <c r="B611" t="s">
        <v>1981</v>
      </c>
      <c r="C611" t="s">
        <v>3019</v>
      </c>
      <c r="D611" t="s">
        <v>3812</v>
      </c>
      <c r="E611" t="s">
        <v>4547</v>
      </c>
      <c r="F611" t="s">
        <v>4572</v>
      </c>
      <c r="G611" t="s">
        <v>4585</v>
      </c>
      <c r="H611" t="s">
        <v>4592</v>
      </c>
      <c r="I611">
        <v>10</v>
      </c>
      <c r="J611">
        <v>6.55</v>
      </c>
      <c r="K611" t="s">
        <v>5461</v>
      </c>
      <c r="L611">
        <v>3.06</v>
      </c>
      <c r="O611" t="s">
        <v>5477</v>
      </c>
    </row>
    <row r="612" spans="1:15" x14ac:dyDescent="0.3">
      <c r="A612" t="s">
        <v>615</v>
      </c>
      <c r="B612" t="s">
        <v>1982</v>
      </c>
      <c r="C612" t="s">
        <v>2769</v>
      </c>
      <c r="D612" t="s">
        <v>3813</v>
      </c>
      <c r="E612" t="s">
        <v>4560</v>
      </c>
      <c r="F612" t="s">
        <v>4573</v>
      </c>
      <c r="G612" t="s">
        <v>4586</v>
      </c>
      <c r="H612" t="s">
        <v>4599</v>
      </c>
      <c r="I612">
        <v>2</v>
      </c>
      <c r="J612">
        <v>248.73</v>
      </c>
      <c r="L612">
        <v>1.01</v>
      </c>
      <c r="M612" t="s">
        <v>5468</v>
      </c>
      <c r="N612" t="s">
        <v>5474</v>
      </c>
      <c r="O612" t="s">
        <v>5477</v>
      </c>
    </row>
    <row r="613" spans="1:15" x14ac:dyDescent="0.3">
      <c r="A613" t="s">
        <v>616</v>
      </c>
      <c r="B613" t="s">
        <v>1983</v>
      </c>
      <c r="C613" t="s">
        <v>3020</v>
      </c>
      <c r="D613" t="s">
        <v>3814</v>
      </c>
      <c r="E613" t="s">
        <v>4557</v>
      </c>
      <c r="F613" t="s">
        <v>4572</v>
      </c>
      <c r="G613" t="s">
        <v>4583</v>
      </c>
      <c r="H613" t="s">
        <v>4604</v>
      </c>
      <c r="I613">
        <v>1</v>
      </c>
      <c r="J613" t="s">
        <v>4992</v>
      </c>
      <c r="K613" t="s">
        <v>5461</v>
      </c>
      <c r="L613">
        <v>12.73</v>
      </c>
      <c r="M613" t="s">
        <v>5466</v>
      </c>
      <c r="N613" t="s">
        <v>5469</v>
      </c>
      <c r="O613" t="s">
        <v>5477</v>
      </c>
    </row>
    <row r="614" spans="1:15" x14ac:dyDescent="0.3">
      <c r="A614" t="s">
        <v>617</v>
      </c>
      <c r="B614" t="s">
        <v>1984</v>
      </c>
      <c r="C614" t="s">
        <v>3021</v>
      </c>
      <c r="D614" t="s">
        <v>3815</v>
      </c>
      <c r="E614" t="s">
        <v>4551</v>
      </c>
      <c r="F614" t="s">
        <v>4576</v>
      </c>
      <c r="G614" t="s">
        <v>4584</v>
      </c>
      <c r="H614" t="s">
        <v>4607</v>
      </c>
      <c r="I614">
        <v>1</v>
      </c>
      <c r="J614">
        <v>23.88</v>
      </c>
      <c r="K614" t="s">
        <v>5460</v>
      </c>
      <c r="L614">
        <v>13.61</v>
      </c>
      <c r="N614" t="s">
        <v>5469</v>
      </c>
      <c r="O614" t="s">
        <v>5478</v>
      </c>
    </row>
    <row r="615" spans="1:15" x14ac:dyDescent="0.3">
      <c r="A615" t="s">
        <v>618</v>
      </c>
      <c r="B615" t="s">
        <v>1985</v>
      </c>
      <c r="C615" t="s">
        <v>3022</v>
      </c>
      <c r="D615" t="s">
        <v>3816</v>
      </c>
      <c r="E615" t="s">
        <v>4559</v>
      </c>
      <c r="F615" t="s">
        <v>4582</v>
      </c>
      <c r="G615" t="s">
        <v>4585</v>
      </c>
      <c r="H615" t="s">
        <v>4592</v>
      </c>
      <c r="I615">
        <v>1</v>
      </c>
      <c r="J615">
        <v>6.18</v>
      </c>
      <c r="K615" t="s">
        <v>5460</v>
      </c>
      <c r="L615">
        <v>0.75</v>
      </c>
      <c r="M615" t="s">
        <v>5464</v>
      </c>
      <c r="O615" t="s">
        <v>5477</v>
      </c>
    </row>
    <row r="616" spans="1:15" x14ac:dyDescent="0.3">
      <c r="A616" t="s">
        <v>619</v>
      </c>
      <c r="B616" t="s">
        <v>1986</v>
      </c>
      <c r="C616" t="s">
        <v>2696</v>
      </c>
      <c r="D616" t="s">
        <v>3817</v>
      </c>
      <c r="E616" t="s">
        <v>4570</v>
      </c>
      <c r="F616" t="s">
        <v>4574</v>
      </c>
      <c r="G616" t="s">
        <v>4583</v>
      </c>
      <c r="H616" t="s">
        <v>4588</v>
      </c>
      <c r="I616">
        <v>3</v>
      </c>
      <c r="J616" t="s">
        <v>4993</v>
      </c>
      <c r="K616">
        <v>0.05</v>
      </c>
      <c r="L616">
        <v>12.54</v>
      </c>
      <c r="M616" t="s">
        <v>5463</v>
      </c>
      <c r="O616" t="s">
        <v>5479</v>
      </c>
    </row>
    <row r="617" spans="1:15" x14ac:dyDescent="0.3">
      <c r="A617" t="s">
        <v>620</v>
      </c>
      <c r="B617" t="s">
        <v>1987</v>
      </c>
      <c r="C617" t="s">
        <v>3023</v>
      </c>
      <c r="D617" t="s">
        <v>3818</v>
      </c>
      <c r="E617" t="s">
        <v>4555</v>
      </c>
      <c r="F617" t="s">
        <v>4573</v>
      </c>
      <c r="G617" t="s">
        <v>4585</v>
      </c>
      <c r="H617" t="s">
        <v>4598</v>
      </c>
      <c r="I617">
        <v>2</v>
      </c>
      <c r="J617" t="s">
        <v>4994</v>
      </c>
      <c r="K617">
        <v>0</v>
      </c>
      <c r="L617">
        <v>0</v>
      </c>
      <c r="M617" t="s">
        <v>5464</v>
      </c>
      <c r="N617" t="s">
        <v>5473</v>
      </c>
      <c r="O617" t="s">
        <v>5475</v>
      </c>
    </row>
    <row r="618" spans="1:15" x14ac:dyDescent="0.3">
      <c r="A618" t="s">
        <v>621</v>
      </c>
      <c r="B618" t="s">
        <v>1988</v>
      </c>
      <c r="C618" t="s">
        <v>3024</v>
      </c>
      <c r="D618" t="s">
        <v>3819</v>
      </c>
      <c r="E618" t="s">
        <v>4554</v>
      </c>
      <c r="F618" t="s">
        <v>4574</v>
      </c>
      <c r="G618" t="s">
        <v>4587</v>
      </c>
      <c r="H618" t="s">
        <v>4596</v>
      </c>
      <c r="I618">
        <v>2</v>
      </c>
      <c r="J618">
        <v>14.33</v>
      </c>
      <c r="K618">
        <v>0.05</v>
      </c>
      <c r="L618">
        <v>0.56000000000000005</v>
      </c>
      <c r="M618" t="s">
        <v>5468</v>
      </c>
      <c r="N618" t="s">
        <v>5470</v>
      </c>
      <c r="O618" t="s">
        <v>5480</v>
      </c>
    </row>
    <row r="619" spans="1:15" x14ac:dyDescent="0.3">
      <c r="A619" t="s">
        <v>622</v>
      </c>
      <c r="B619" t="s">
        <v>1989</v>
      </c>
      <c r="C619" t="s">
        <v>3025</v>
      </c>
      <c r="D619" t="s">
        <v>3820</v>
      </c>
      <c r="E619" t="s">
        <v>4556</v>
      </c>
      <c r="F619" t="s">
        <v>4576</v>
      </c>
      <c r="G619" t="s">
        <v>4583</v>
      </c>
      <c r="H619" t="s">
        <v>4610</v>
      </c>
      <c r="I619">
        <v>1</v>
      </c>
      <c r="J619" t="s">
        <v>4995</v>
      </c>
      <c r="K619" t="s">
        <v>5460</v>
      </c>
      <c r="L619">
        <v>7.85</v>
      </c>
      <c r="N619" t="s">
        <v>5469</v>
      </c>
      <c r="O619" t="s">
        <v>5475</v>
      </c>
    </row>
    <row r="620" spans="1:15" x14ac:dyDescent="0.3">
      <c r="A620" t="s">
        <v>623</v>
      </c>
      <c r="B620" t="s">
        <v>1990</v>
      </c>
      <c r="C620" t="s">
        <v>2843</v>
      </c>
      <c r="D620" t="s">
        <v>3821</v>
      </c>
      <c r="E620" t="s">
        <v>4558</v>
      </c>
      <c r="F620" t="s">
        <v>4580</v>
      </c>
      <c r="G620" t="s">
        <v>4583</v>
      </c>
      <c r="H620" t="s">
        <v>4588</v>
      </c>
      <c r="I620">
        <v>10</v>
      </c>
      <c r="J620" t="s">
        <v>4996</v>
      </c>
      <c r="K620" t="s">
        <v>5460</v>
      </c>
      <c r="L620">
        <v>4.71</v>
      </c>
      <c r="N620" t="s">
        <v>5469</v>
      </c>
      <c r="O620" t="s">
        <v>5480</v>
      </c>
    </row>
    <row r="621" spans="1:15" x14ac:dyDescent="0.3">
      <c r="A621" t="s">
        <v>624</v>
      </c>
      <c r="B621" t="s">
        <v>1991</v>
      </c>
      <c r="C621" t="s">
        <v>3026</v>
      </c>
      <c r="D621" t="s">
        <v>3822</v>
      </c>
      <c r="E621" t="s">
        <v>4547</v>
      </c>
      <c r="F621" t="s">
        <v>4580</v>
      </c>
      <c r="G621" t="s">
        <v>4587</v>
      </c>
      <c r="H621" t="s">
        <v>4606</v>
      </c>
      <c r="I621">
        <v>1</v>
      </c>
      <c r="J621" t="s">
        <v>4997</v>
      </c>
      <c r="K621">
        <v>0</v>
      </c>
      <c r="L621">
        <v>0</v>
      </c>
      <c r="M621" t="s">
        <v>5464</v>
      </c>
      <c r="N621" t="s">
        <v>5471</v>
      </c>
      <c r="O621" t="s">
        <v>5477</v>
      </c>
    </row>
    <row r="622" spans="1:15" x14ac:dyDescent="0.3">
      <c r="A622" t="s">
        <v>625</v>
      </c>
      <c r="B622" t="s">
        <v>1992</v>
      </c>
      <c r="C622" t="s">
        <v>3027</v>
      </c>
      <c r="D622" t="s">
        <v>3823</v>
      </c>
      <c r="E622" t="s">
        <v>4551</v>
      </c>
      <c r="F622" t="s">
        <v>4575</v>
      </c>
      <c r="G622" t="s">
        <v>4586</v>
      </c>
      <c r="H622" t="s">
        <v>4599</v>
      </c>
      <c r="I622">
        <v>1</v>
      </c>
      <c r="J622" t="s">
        <v>4998</v>
      </c>
      <c r="K622">
        <v>0.15</v>
      </c>
      <c r="L622">
        <v>14.2</v>
      </c>
      <c r="M622" t="s">
        <v>5466</v>
      </c>
      <c r="N622" t="s">
        <v>5471</v>
      </c>
      <c r="O622" t="s">
        <v>5478</v>
      </c>
    </row>
    <row r="623" spans="1:15" x14ac:dyDescent="0.3">
      <c r="A623" t="s">
        <v>626</v>
      </c>
      <c r="B623" t="s">
        <v>1993</v>
      </c>
      <c r="C623" t="s">
        <v>3028</v>
      </c>
      <c r="D623" t="s">
        <v>3824</v>
      </c>
      <c r="E623" t="s">
        <v>4567</v>
      </c>
      <c r="F623" t="s">
        <v>4573</v>
      </c>
      <c r="G623" t="s">
        <v>4587</v>
      </c>
      <c r="H623" t="s">
        <v>4596</v>
      </c>
      <c r="I623">
        <v>-1</v>
      </c>
      <c r="J623">
        <v>14.66</v>
      </c>
      <c r="K623">
        <v>0.15</v>
      </c>
      <c r="L623">
        <v>11.6</v>
      </c>
      <c r="M623" t="s">
        <v>5462</v>
      </c>
      <c r="N623" t="s">
        <v>5472</v>
      </c>
      <c r="O623" t="s">
        <v>5477</v>
      </c>
    </row>
    <row r="624" spans="1:15" x14ac:dyDescent="0.3">
      <c r="A624" t="s">
        <v>627</v>
      </c>
      <c r="B624" t="s">
        <v>1994</v>
      </c>
      <c r="C624" t="s">
        <v>2941</v>
      </c>
      <c r="D624" t="s">
        <v>3825</v>
      </c>
      <c r="E624" t="s">
        <v>4568</v>
      </c>
      <c r="F624" t="s">
        <v>4573</v>
      </c>
      <c r="G624" t="s">
        <v>4585</v>
      </c>
      <c r="H624" t="s">
        <v>4598</v>
      </c>
      <c r="I624">
        <v>2</v>
      </c>
      <c r="J624" t="s">
        <v>4999</v>
      </c>
      <c r="K624" t="s">
        <v>5461</v>
      </c>
      <c r="L624">
        <v>0</v>
      </c>
      <c r="M624" t="s">
        <v>5465</v>
      </c>
      <c r="N624" t="s">
        <v>5470</v>
      </c>
      <c r="O624" t="s">
        <v>5479</v>
      </c>
    </row>
    <row r="625" spans="1:15" x14ac:dyDescent="0.3">
      <c r="A625" t="s">
        <v>628</v>
      </c>
      <c r="B625" t="s">
        <v>1995</v>
      </c>
      <c r="C625" t="s">
        <v>2816</v>
      </c>
      <c r="D625" t="s">
        <v>3826</v>
      </c>
      <c r="E625" t="s">
        <v>4562</v>
      </c>
      <c r="F625" t="s">
        <v>4579</v>
      </c>
      <c r="G625" t="s">
        <v>4586</v>
      </c>
      <c r="H625" t="s">
        <v>4593</v>
      </c>
      <c r="I625">
        <v>10</v>
      </c>
      <c r="J625" t="s">
        <v>5000</v>
      </c>
      <c r="K625">
        <v>0.1</v>
      </c>
      <c r="L625">
        <v>8.3800000000000008</v>
      </c>
      <c r="M625" t="s">
        <v>5463</v>
      </c>
      <c r="N625" t="s">
        <v>5473</v>
      </c>
      <c r="O625" t="s">
        <v>5477</v>
      </c>
    </row>
    <row r="626" spans="1:15" x14ac:dyDescent="0.3">
      <c r="A626" t="s">
        <v>629</v>
      </c>
      <c r="B626" t="s">
        <v>1996</v>
      </c>
      <c r="C626" t="s">
        <v>2835</v>
      </c>
      <c r="D626" t="s">
        <v>3827</v>
      </c>
      <c r="E626" t="s">
        <v>4562</v>
      </c>
      <c r="F626" t="s">
        <v>4575</v>
      </c>
      <c r="G626" t="s">
        <v>4583</v>
      </c>
      <c r="H626" t="s">
        <v>4604</v>
      </c>
      <c r="I626">
        <v>3</v>
      </c>
      <c r="J626">
        <v>21.42</v>
      </c>
      <c r="K626" t="s">
        <v>5461</v>
      </c>
      <c r="L626">
        <v>13.88</v>
      </c>
      <c r="M626" t="s">
        <v>5464</v>
      </c>
      <c r="N626" t="s">
        <v>5474</v>
      </c>
      <c r="O626" t="s">
        <v>5477</v>
      </c>
    </row>
    <row r="627" spans="1:15" x14ac:dyDescent="0.3">
      <c r="A627" t="s">
        <v>630</v>
      </c>
      <c r="B627" t="s">
        <v>1997</v>
      </c>
      <c r="C627" t="s">
        <v>3029</v>
      </c>
      <c r="D627" t="s">
        <v>3828</v>
      </c>
      <c r="E627" t="s">
        <v>4568</v>
      </c>
      <c r="F627" t="s">
        <v>4582</v>
      </c>
      <c r="G627" t="s">
        <v>4585</v>
      </c>
      <c r="H627" t="s">
        <v>4598</v>
      </c>
      <c r="I627">
        <v>4</v>
      </c>
      <c r="J627" t="s">
        <v>5001</v>
      </c>
      <c r="K627" t="s">
        <v>5461</v>
      </c>
      <c r="M627" t="s">
        <v>5465</v>
      </c>
      <c r="N627" t="s">
        <v>5474</v>
      </c>
      <c r="O627" t="s">
        <v>5479</v>
      </c>
    </row>
    <row r="628" spans="1:15" x14ac:dyDescent="0.3">
      <c r="A628" t="s">
        <v>631</v>
      </c>
      <c r="B628" t="s">
        <v>1998</v>
      </c>
      <c r="C628" t="s">
        <v>2698</v>
      </c>
      <c r="D628" t="s">
        <v>3829</v>
      </c>
      <c r="E628" t="s">
        <v>4556</v>
      </c>
      <c r="F628" t="s">
        <v>4575</v>
      </c>
      <c r="G628" t="s">
        <v>4583</v>
      </c>
      <c r="H628" t="s">
        <v>4605</v>
      </c>
      <c r="I628">
        <v>10</v>
      </c>
      <c r="J628" t="s">
        <v>5002</v>
      </c>
      <c r="K628">
        <v>0</v>
      </c>
      <c r="L628">
        <v>0</v>
      </c>
      <c r="M628" t="s">
        <v>5467</v>
      </c>
      <c r="N628" t="s">
        <v>5470</v>
      </c>
      <c r="O628" t="s">
        <v>5476</v>
      </c>
    </row>
    <row r="629" spans="1:15" x14ac:dyDescent="0.3">
      <c r="A629" t="s">
        <v>632</v>
      </c>
      <c r="B629" t="s">
        <v>1999</v>
      </c>
      <c r="C629" t="s">
        <v>2895</v>
      </c>
      <c r="E629" t="s">
        <v>4569</v>
      </c>
      <c r="F629" t="s">
        <v>4572</v>
      </c>
      <c r="G629" t="s">
        <v>4585</v>
      </c>
      <c r="H629" t="s">
        <v>4602</v>
      </c>
      <c r="I629">
        <v>5</v>
      </c>
      <c r="J629">
        <v>4.17</v>
      </c>
      <c r="K629">
        <v>0</v>
      </c>
      <c r="L629">
        <v>5.8</v>
      </c>
      <c r="M629" t="s">
        <v>5466</v>
      </c>
      <c r="N629" t="s">
        <v>5472</v>
      </c>
      <c r="O629" t="s">
        <v>5480</v>
      </c>
    </row>
    <row r="630" spans="1:15" x14ac:dyDescent="0.3">
      <c r="A630" t="s">
        <v>633</v>
      </c>
      <c r="B630" t="s">
        <v>2000</v>
      </c>
      <c r="C630" t="s">
        <v>2942</v>
      </c>
      <c r="D630" t="s">
        <v>3830</v>
      </c>
      <c r="E630" t="s">
        <v>4556</v>
      </c>
      <c r="F630" t="s">
        <v>4576</v>
      </c>
      <c r="G630" t="s">
        <v>4583</v>
      </c>
      <c r="H630" t="s">
        <v>4604</v>
      </c>
      <c r="I630">
        <v>10</v>
      </c>
      <c r="J630">
        <v>22.59</v>
      </c>
      <c r="K630">
        <v>0</v>
      </c>
      <c r="L630">
        <v>11.51</v>
      </c>
      <c r="M630" t="s">
        <v>5465</v>
      </c>
      <c r="N630" t="s">
        <v>5474</v>
      </c>
      <c r="O630" t="s">
        <v>5478</v>
      </c>
    </row>
    <row r="631" spans="1:15" x14ac:dyDescent="0.3">
      <c r="A631" t="s">
        <v>634</v>
      </c>
      <c r="B631" t="s">
        <v>2001</v>
      </c>
      <c r="C631" t="s">
        <v>2626</v>
      </c>
      <c r="D631" t="s">
        <v>3831</v>
      </c>
      <c r="E631" t="s">
        <v>4565</v>
      </c>
      <c r="F631" t="s">
        <v>4576</v>
      </c>
      <c r="G631" t="s">
        <v>4587</v>
      </c>
      <c r="H631" t="s">
        <v>4594</v>
      </c>
      <c r="I631">
        <v>2</v>
      </c>
      <c r="J631" t="s">
        <v>5003</v>
      </c>
      <c r="K631">
        <v>0</v>
      </c>
      <c r="L631">
        <v>3.23</v>
      </c>
      <c r="O631" t="s">
        <v>5477</v>
      </c>
    </row>
    <row r="632" spans="1:15" x14ac:dyDescent="0.3">
      <c r="A632" t="s">
        <v>635</v>
      </c>
      <c r="B632" t="s">
        <v>2002</v>
      </c>
      <c r="C632" t="s">
        <v>3030</v>
      </c>
      <c r="D632" t="s">
        <v>3832</v>
      </c>
      <c r="E632" t="s">
        <v>4553</v>
      </c>
      <c r="F632" t="s">
        <v>4573</v>
      </c>
      <c r="H632" t="s">
        <v>4596</v>
      </c>
      <c r="I632">
        <v>10</v>
      </c>
      <c r="J632" t="s">
        <v>4727</v>
      </c>
      <c r="K632">
        <v>0</v>
      </c>
      <c r="L632">
        <v>0.84</v>
      </c>
      <c r="M632" t="s">
        <v>5468</v>
      </c>
      <c r="N632" t="s">
        <v>5471</v>
      </c>
      <c r="O632" t="s">
        <v>5477</v>
      </c>
    </row>
    <row r="633" spans="1:15" x14ac:dyDescent="0.3">
      <c r="A633" t="s">
        <v>636</v>
      </c>
      <c r="B633" t="s">
        <v>1690</v>
      </c>
      <c r="C633" t="s">
        <v>2718</v>
      </c>
      <c r="D633" t="s">
        <v>3833</v>
      </c>
      <c r="E633" t="s">
        <v>4560</v>
      </c>
      <c r="F633" t="s">
        <v>4574</v>
      </c>
      <c r="G633" t="s">
        <v>4584</v>
      </c>
      <c r="H633" t="s">
        <v>4595</v>
      </c>
      <c r="I633">
        <v>5</v>
      </c>
      <c r="J633">
        <v>42.6</v>
      </c>
      <c r="K633" t="s">
        <v>5460</v>
      </c>
      <c r="L633">
        <v>11.42</v>
      </c>
      <c r="M633" t="s">
        <v>5464</v>
      </c>
      <c r="N633" t="s">
        <v>5470</v>
      </c>
      <c r="O633" t="s">
        <v>5479</v>
      </c>
    </row>
    <row r="634" spans="1:15" x14ac:dyDescent="0.3">
      <c r="A634" t="s">
        <v>637</v>
      </c>
      <c r="B634" t="s">
        <v>2003</v>
      </c>
      <c r="C634" t="s">
        <v>2903</v>
      </c>
      <c r="D634" t="s">
        <v>3834</v>
      </c>
      <c r="E634" t="s">
        <v>4558</v>
      </c>
      <c r="F634" t="s">
        <v>4572</v>
      </c>
      <c r="G634" t="s">
        <v>4585</v>
      </c>
      <c r="H634" t="s">
        <v>4591</v>
      </c>
      <c r="I634">
        <v>3</v>
      </c>
      <c r="J634">
        <v>7.44</v>
      </c>
      <c r="K634">
        <v>0.15</v>
      </c>
      <c r="L634">
        <v>11.16</v>
      </c>
      <c r="M634" t="s">
        <v>5462</v>
      </c>
      <c r="N634" t="s">
        <v>5470</v>
      </c>
      <c r="O634" t="s">
        <v>5476</v>
      </c>
    </row>
    <row r="635" spans="1:15" x14ac:dyDescent="0.3">
      <c r="A635" t="s">
        <v>351</v>
      </c>
      <c r="B635" t="s">
        <v>1743</v>
      </c>
      <c r="C635" t="s">
        <v>2694</v>
      </c>
      <c r="D635" t="s">
        <v>3576</v>
      </c>
      <c r="E635" t="s">
        <v>4571</v>
      </c>
      <c r="F635" t="s">
        <v>4578</v>
      </c>
      <c r="G635" t="s">
        <v>4584</v>
      </c>
      <c r="H635" t="s">
        <v>4589</v>
      </c>
      <c r="I635">
        <v>2</v>
      </c>
      <c r="J635" t="s">
        <v>4832</v>
      </c>
      <c r="K635" t="s">
        <v>5461</v>
      </c>
      <c r="L635">
        <v>4.51</v>
      </c>
      <c r="M635" t="s">
        <v>5467</v>
      </c>
      <c r="N635" t="s">
        <v>5472</v>
      </c>
      <c r="O635" t="s">
        <v>5479</v>
      </c>
    </row>
    <row r="636" spans="1:15" x14ac:dyDescent="0.3">
      <c r="A636" t="s">
        <v>638</v>
      </c>
      <c r="B636" t="s">
        <v>2004</v>
      </c>
      <c r="C636" t="s">
        <v>3031</v>
      </c>
      <c r="D636" t="s">
        <v>3835</v>
      </c>
      <c r="E636" t="s">
        <v>4549</v>
      </c>
      <c r="F636" t="s">
        <v>4574</v>
      </c>
      <c r="G636" t="s">
        <v>4584</v>
      </c>
      <c r="H636" t="s">
        <v>4607</v>
      </c>
      <c r="I636">
        <v>2</v>
      </c>
      <c r="J636" t="s">
        <v>5004</v>
      </c>
      <c r="K636">
        <v>0.1</v>
      </c>
      <c r="L636">
        <v>2.1</v>
      </c>
      <c r="M636" t="s">
        <v>5463</v>
      </c>
      <c r="N636" t="s">
        <v>5470</v>
      </c>
      <c r="O636" t="s">
        <v>5479</v>
      </c>
    </row>
    <row r="637" spans="1:15" x14ac:dyDescent="0.3">
      <c r="A637" t="s">
        <v>639</v>
      </c>
      <c r="B637" t="s">
        <v>1830</v>
      </c>
      <c r="C637" t="s">
        <v>2903</v>
      </c>
      <c r="D637" t="s">
        <v>3836</v>
      </c>
      <c r="E637" t="s">
        <v>4566</v>
      </c>
      <c r="F637" t="s">
        <v>4582</v>
      </c>
      <c r="G637" t="s">
        <v>4585</v>
      </c>
      <c r="H637" t="s">
        <v>4592</v>
      </c>
      <c r="I637">
        <v>2</v>
      </c>
      <c r="J637">
        <v>6.67</v>
      </c>
      <c r="K637" t="s">
        <v>5461</v>
      </c>
      <c r="L637">
        <v>4.7699999999999996</v>
      </c>
      <c r="M637" t="s">
        <v>5467</v>
      </c>
      <c r="N637" t="s">
        <v>5474</v>
      </c>
      <c r="O637" t="s">
        <v>5475</v>
      </c>
    </row>
    <row r="638" spans="1:15" x14ac:dyDescent="0.3">
      <c r="A638" t="s">
        <v>640</v>
      </c>
      <c r="B638" t="s">
        <v>1543</v>
      </c>
      <c r="C638" t="s">
        <v>2962</v>
      </c>
      <c r="D638" t="s">
        <v>3837</v>
      </c>
      <c r="E638" t="s">
        <v>4563</v>
      </c>
      <c r="F638" t="s">
        <v>4578</v>
      </c>
      <c r="G638" t="s">
        <v>4585</v>
      </c>
      <c r="H638" t="s">
        <v>4592</v>
      </c>
      <c r="I638">
        <v>1</v>
      </c>
      <c r="J638" t="s">
        <v>4821</v>
      </c>
      <c r="L638">
        <v>6.79</v>
      </c>
      <c r="M638" t="s">
        <v>5462</v>
      </c>
      <c r="N638" t="s">
        <v>5472</v>
      </c>
      <c r="O638" t="s">
        <v>5476</v>
      </c>
    </row>
    <row r="639" spans="1:15" x14ac:dyDescent="0.3">
      <c r="A639" t="s">
        <v>641</v>
      </c>
      <c r="B639" t="s">
        <v>2005</v>
      </c>
      <c r="C639" t="s">
        <v>2765</v>
      </c>
      <c r="D639" t="s">
        <v>3838</v>
      </c>
      <c r="E639" t="s">
        <v>4557</v>
      </c>
      <c r="F639" t="s">
        <v>4581</v>
      </c>
      <c r="G639" t="s">
        <v>4586</v>
      </c>
      <c r="H639" t="s">
        <v>4597</v>
      </c>
      <c r="I639">
        <v>3</v>
      </c>
      <c r="J639">
        <v>92.56</v>
      </c>
      <c r="L639">
        <v>10.63</v>
      </c>
      <c r="M639" t="s">
        <v>5465</v>
      </c>
      <c r="N639" t="s">
        <v>5469</v>
      </c>
      <c r="O639" t="s">
        <v>5477</v>
      </c>
    </row>
    <row r="640" spans="1:15" x14ac:dyDescent="0.3">
      <c r="A640" t="s">
        <v>642</v>
      </c>
      <c r="B640" t="s">
        <v>2006</v>
      </c>
      <c r="C640" t="s">
        <v>2633</v>
      </c>
      <c r="D640" t="s">
        <v>3839</v>
      </c>
      <c r="E640" t="s">
        <v>4558</v>
      </c>
      <c r="F640" t="s">
        <v>4581</v>
      </c>
      <c r="G640" t="s">
        <v>4587</v>
      </c>
      <c r="H640" t="s">
        <v>4600</v>
      </c>
      <c r="I640">
        <v>10</v>
      </c>
      <c r="J640" t="s">
        <v>5005</v>
      </c>
      <c r="K640">
        <v>0</v>
      </c>
      <c r="L640">
        <v>5.98</v>
      </c>
      <c r="M640" t="s">
        <v>5464</v>
      </c>
      <c r="N640" t="s">
        <v>5471</v>
      </c>
      <c r="O640" t="s">
        <v>5476</v>
      </c>
    </row>
    <row r="641" spans="1:15" x14ac:dyDescent="0.3">
      <c r="A641" t="s">
        <v>643</v>
      </c>
      <c r="B641" t="s">
        <v>2007</v>
      </c>
      <c r="C641" t="s">
        <v>2914</v>
      </c>
      <c r="D641" t="s">
        <v>3840</v>
      </c>
      <c r="E641" t="s">
        <v>4563</v>
      </c>
      <c r="F641" t="s">
        <v>4578</v>
      </c>
      <c r="G641" t="s">
        <v>4584</v>
      </c>
      <c r="H641" t="s">
        <v>4595</v>
      </c>
      <c r="I641">
        <v>1</v>
      </c>
      <c r="J641" t="s">
        <v>5006</v>
      </c>
      <c r="K641">
        <v>0</v>
      </c>
      <c r="L641">
        <v>10.9</v>
      </c>
      <c r="M641" t="s">
        <v>5467</v>
      </c>
      <c r="O641" t="s">
        <v>5480</v>
      </c>
    </row>
    <row r="642" spans="1:15" x14ac:dyDescent="0.3">
      <c r="A642" t="s">
        <v>644</v>
      </c>
      <c r="B642" t="s">
        <v>2008</v>
      </c>
      <c r="C642" t="s">
        <v>2860</v>
      </c>
      <c r="D642" t="s">
        <v>3841</v>
      </c>
      <c r="E642" t="s">
        <v>4562</v>
      </c>
      <c r="F642" t="s">
        <v>4575</v>
      </c>
      <c r="G642" t="s">
        <v>4587</v>
      </c>
      <c r="H642" t="s">
        <v>4606</v>
      </c>
      <c r="I642">
        <v>1</v>
      </c>
      <c r="J642" t="s">
        <v>5007</v>
      </c>
      <c r="K642">
        <v>0</v>
      </c>
      <c r="L642">
        <v>14.41</v>
      </c>
      <c r="M642" t="s">
        <v>5467</v>
      </c>
      <c r="N642" t="s">
        <v>5470</v>
      </c>
      <c r="O642" t="s">
        <v>5476</v>
      </c>
    </row>
    <row r="643" spans="1:15" x14ac:dyDescent="0.3">
      <c r="A643" t="s">
        <v>645</v>
      </c>
      <c r="B643" t="s">
        <v>1595</v>
      </c>
      <c r="C643" t="s">
        <v>2719</v>
      </c>
      <c r="D643" t="s">
        <v>3842</v>
      </c>
      <c r="E643" t="s">
        <v>4569</v>
      </c>
      <c r="F643" t="s">
        <v>4572</v>
      </c>
      <c r="G643" t="s">
        <v>4586</v>
      </c>
      <c r="H643" t="s">
        <v>4609</v>
      </c>
      <c r="I643">
        <v>3</v>
      </c>
      <c r="J643" t="s">
        <v>5008</v>
      </c>
      <c r="K643">
        <v>0.15</v>
      </c>
      <c r="L643">
        <v>8.9</v>
      </c>
      <c r="M643" t="s">
        <v>5468</v>
      </c>
      <c r="N643" t="s">
        <v>5471</v>
      </c>
      <c r="O643" t="s">
        <v>5476</v>
      </c>
    </row>
    <row r="644" spans="1:15" x14ac:dyDescent="0.3">
      <c r="A644" t="s">
        <v>646</v>
      </c>
      <c r="B644" t="s">
        <v>2009</v>
      </c>
      <c r="C644" t="s">
        <v>2660</v>
      </c>
      <c r="D644" t="s">
        <v>3843</v>
      </c>
      <c r="E644" t="s">
        <v>4569</v>
      </c>
      <c r="F644" t="s">
        <v>4581</v>
      </c>
      <c r="G644" t="s">
        <v>4584</v>
      </c>
      <c r="H644" t="s">
        <v>4603</v>
      </c>
      <c r="I644">
        <v>10</v>
      </c>
      <c r="J644" t="s">
        <v>5009</v>
      </c>
      <c r="K644">
        <v>0</v>
      </c>
      <c r="L644">
        <v>10.4</v>
      </c>
      <c r="M644" t="s">
        <v>5462</v>
      </c>
      <c r="N644" t="s">
        <v>5472</v>
      </c>
      <c r="O644" t="s">
        <v>5477</v>
      </c>
    </row>
    <row r="645" spans="1:15" x14ac:dyDescent="0.3">
      <c r="A645" t="s">
        <v>647</v>
      </c>
      <c r="B645" t="s">
        <v>2010</v>
      </c>
      <c r="C645" t="s">
        <v>2802</v>
      </c>
      <c r="D645" t="s">
        <v>3844</v>
      </c>
      <c r="E645" t="s">
        <v>4547</v>
      </c>
      <c r="F645" t="s">
        <v>4572</v>
      </c>
      <c r="G645" t="s">
        <v>4585</v>
      </c>
      <c r="H645" t="s">
        <v>4602</v>
      </c>
      <c r="I645">
        <v>5</v>
      </c>
      <c r="J645" t="s">
        <v>5010</v>
      </c>
      <c r="K645">
        <v>0</v>
      </c>
      <c r="L645">
        <v>3.39</v>
      </c>
      <c r="N645" t="s">
        <v>5474</v>
      </c>
      <c r="O645" t="s">
        <v>5477</v>
      </c>
    </row>
    <row r="646" spans="1:15" x14ac:dyDescent="0.3">
      <c r="A646" t="s">
        <v>585</v>
      </c>
      <c r="B646" t="s">
        <v>1956</v>
      </c>
      <c r="C646" t="s">
        <v>3003</v>
      </c>
      <c r="D646" t="s">
        <v>3786</v>
      </c>
      <c r="E646" t="s">
        <v>4571</v>
      </c>
      <c r="F646" t="s">
        <v>4573</v>
      </c>
      <c r="G646" t="s">
        <v>4585</v>
      </c>
      <c r="H646" t="s">
        <v>4598</v>
      </c>
      <c r="I646">
        <v>5</v>
      </c>
      <c r="J646" t="s">
        <v>4976</v>
      </c>
      <c r="K646" t="s">
        <v>5461</v>
      </c>
      <c r="L646">
        <v>10.78</v>
      </c>
      <c r="M646" t="s">
        <v>5464</v>
      </c>
      <c r="N646" t="s">
        <v>5470</v>
      </c>
      <c r="O646" t="s">
        <v>5476</v>
      </c>
    </row>
    <row r="647" spans="1:15" x14ac:dyDescent="0.3">
      <c r="A647" t="s">
        <v>648</v>
      </c>
      <c r="B647" t="s">
        <v>2011</v>
      </c>
      <c r="C647" t="s">
        <v>3032</v>
      </c>
      <c r="D647" t="s">
        <v>3845</v>
      </c>
      <c r="E647" t="s">
        <v>4568</v>
      </c>
      <c r="F647" t="s">
        <v>4573</v>
      </c>
      <c r="G647" t="s">
        <v>4585</v>
      </c>
      <c r="H647" t="s">
        <v>4598</v>
      </c>
      <c r="I647">
        <v>2</v>
      </c>
      <c r="J647" t="s">
        <v>5011</v>
      </c>
      <c r="K647">
        <v>0.05</v>
      </c>
      <c r="L647">
        <v>3.81</v>
      </c>
      <c r="M647" t="s">
        <v>5463</v>
      </c>
      <c r="O647" t="s">
        <v>5475</v>
      </c>
    </row>
    <row r="648" spans="1:15" x14ac:dyDescent="0.3">
      <c r="A648" t="s">
        <v>649</v>
      </c>
      <c r="B648" t="s">
        <v>2012</v>
      </c>
      <c r="C648" t="s">
        <v>2862</v>
      </c>
      <c r="D648" t="s">
        <v>3846</v>
      </c>
      <c r="E648" t="s">
        <v>4554</v>
      </c>
      <c r="F648" t="s">
        <v>4573</v>
      </c>
      <c r="G648" t="s">
        <v>4586</v>
      </c>
      <c r="H648" t="s">
        <v>4597</v>
      </c>
      <c r="I648">
        <v>3</v>
      </c>
      <c r="J648" t="s">
        <v>5012</v>
      </c>
      <c r="K648">
        <v>0</v>
      </c>
      <c r="L648">
        <v>5.89</v>
      </c>
      <c r="M648" t="s">
        <v>5466</v>
      </c>
      <c r="O648" t="s">
        <v>5477</v>
      </c>
    </row>
    <row r="649" spans="1:15" x14ac:dyDescent="0.3">
      <c r="A649" t="s">
        <v>650</v>
      </c>
      <c r="B649" t="s">
        <v>2013</v>
      </c>
      <c r="C649" t="s">
        <v>3033</v>
      </c>
      <c r="D649" t="s">
        <v>3847</v>
      </c>
      <c r="E649" t="s">
        <v>4551</v>
      </c>
      <c r="F649" t="s">
        <v>4579</v>
      </c>
      <c r="G649" t="s">
        <v>4583</v>
      </c>
      <c r="H649" t="s">
        <v>4605</v>
      </c>
      <c r="I649">
        <v>1</v>
      </c>
      <c r="J649">
        <v>45.17</v>
      </c>
      <c r="K649">
        <v>0.1</v>
      </c>
      <c r="L649">
        <v>1.33</v>
      </c>
      <c r="M649" t="s">
        <v>5465</v>
      </c>
      <c r="N649" t="s">
        <v>5473</v>
      </c>
      <c r="O649" t="s">
        <v>5477</v>
      </c>
    </row>
    <row r="650" spans="1:15" x14ac:dyDescent="0.3">
      <c r="A650" t="s">
        <v>651</v>
      </c>
      <c r="B650" t="s">
        <v>2014</v>
      </c>
      <c r="C650" t="s">
        <v>3034</v>
      </c>
      <c r="D650" t="s">
        <v>3848</v>
      </c>
      <c r="E650" t="s">
        <v>4558</v>
      </c>
      <c r="F650" t="s">
        <v>4580</v>
      </c>
      <c r="G650" t="s">
        <v>4586</v>
      </c>
      <c r="H650" t="s">
        <v>4599</v>
      </c>
      <c r="I650">
        <v>2</v>
      </c>
      <c r="J650" t="s">
        <v>5013</v>
      </c>
      <c r="K650" t="s">
        <v>5460</v>
      </c>
      <c r="L650">
        <v>8.75</v>
      </c>
      <c r="M650" t="s">
        <v>5465</v>
      </c>
      <c r="N650" t="s">
        <v>5474</v>
      </c>
      <c r="O650" t="s">
        <v>5476</v>
      </c>
    </row>
    <row r="651" spans="1:15" x14ac:dyDescent="0.3">
      <c r="A651" t="s">
        <v>652</v>
      </c>
      <c r="B651" t="s">
        <v>2015</v>
      </c>
      <c r="C651" t="s">
        <v>2995</v>
      </c>
      <c r="E651" t="s">
        <v>4547</v>
      </c>
      <c r="F651" t="s">
        <v>4581</v>
      </c>
      <c r="G651" t="s">
        <v>4587</v>
      </c>
      <c r="H651" t="s">
        <v>4606</v>
      </c>
      <c r="I651">
        <v>3</v>
      </c>
      <c r="J651">
        <v>31.38</v>
      </c>
      <c r="K651" t="s">
        <v>5460</v>
      </c>
      <c r="L651">
        <v>10.07</v>
      </c>
      <c r="M651" t="s">
        <v>5462</v>
      </c>
      <c r="N651" t="s">
        <v>5470</v>
      </c>
      <c r="O651" t="s">
        <v>5476</v>
      </c>
    </row>
    <row r="652" spans="1:15" x14ac:dyDescent="0.3">
      <c r="A652" t="s">
        <v>653</v>
      </c>
      <c r="B652" t="s">
        <v>2016</v>
      </c>
      <c r="C652" t="s">
        <v>3035</v>
      </c>
      <c r="D652" t="s">
        <v>3849</v>
      </c>
      <c r="E652" t="s">
        <v>4550</v>
      </c>
      <c r="G652" t="s">
        <v>4587</v>
      </c>
      <c r="H652" t="s">
        <v>4594</v>
      </c>
      <c r="I652">
        <v>1</v>
      </c>
      <c r="J652">
        <v>59.75</v>
      </c>
      <c r="L652">
        <v>10.28</v>
      </c>
      <c r="N652" t="s">
        <v>5473</v>
      </c>
      <c r="O652" t="s">
        <v>5480</v>
      </c>
    </row>
    <row r="653" spans="1:15" x14ac:dyDescent="0.3">
      <c r="A653" t="s">
        <v>654</v>
      </c>
      <c r="B653" t="s">
        <v>1765</v>
      </c>
      <c r="C653" t="s">
        <v>2760</v>
      </c>
      <c r="D653" t="s">
        <v>3850</v>
      </c>
      <c r="E653" t="s">
        <v>4569</v>
      </c>
      <c r="F653" t="s">
        <v>4581</v>
      </c>
      <c r="G653" t="s">
        <v>4583</v>
      </c>
      <c r="H653" t="s">
        <v>4605</v>
      </c>
      <c r="I653">
        <v>2</v>
      </c>
      <c r="J653">
        <v>44.48</v>
      </c>
      <c r="K653">
        <v>0.1</v>
      </c>
      <c r="L653">
        <v>7.73</v>
      </c>
      <c r="N653" t="s">
        <v>5470</v>
      </c>
      <c r="O653" t="s">
        <v>5479</v>
      </c>
    </row>
    <row r="654" spans="1:15" x14ac:dyDescent="0.3">
      <c r="A654" t="s">
        <v>655</v>
      </c>
      <c r="B654" t="s">
        <v>2017</v>
      </c>
      <c r="C654" t="s">
        <v>2867</v>
      </c>
      <c r="D654" t="s">
        <v>3851</v>
      </c>
      <c r="E654" t="s">
        <v>4567</v>
      </c>
      <c r="F654" t="s">
        <v>4573</v>
      </c>
      <c r="G654" t="s">
        <v>4586</v>
      </c>
      <c r="H654" t="s">
        <v>4599</v>
      </c>
      <c r="I654">
        <v>2</v>
      </c>
      <c r="J654">
        <v>237.93</v>
      </c>
      <c r="K654">
        <v>0.15</v>
      </c>
      <c r="L654">
        <v>6.01</v>
      </c>
      <c r="M654" t="s">
        <v>5467</v>
      </c>
      <c r="N654" t="s">
        <v>5471</v>
      </c>
      <c r="O654" t="s">
        <v>5475</v>
      </c>
    </row>
    <row r="655" spans="1:15" x14ac:dyDescent="0.3">
      <c r="A655" t="s">
        <v>656</v>
      </c>
      <c r="B655" t="s">
        <v>2018</v>
      </c>
      <c r="C655" t="s">
        <v>2649</v>
      </c>
      <c r="D655" t="s">
        <v>3852</v>
      </c>
      <c r="E655" t="s">
        <v>4560</v>
      </c>
      <c r="F655" t="s">
        <v>4574</v>
      </c>
      <c r="G655" t="s">
        <v>4584</v>
      </c>
      <c r="H655" t="s">
        <v>4603</v>
      </c>
      <c r="I655">
        <v>1</v>
      </c>
      <c r="J655" t="s">
        <v>5014</v>
      </c>
      <c r="L655">
        <v>11.02</v>
      </c>
      <c r="M655" t="s">
        <v>5463</v>
      </c>
      <c r="N655" t="s">
        <v>5473</v>
      </c>
      <c r="O655" t="s">
        <v>5480</v>
      </c>
    </row>
    <row r="656" spans="1:15" x14ac:dyDescent="0.3">
      <c r="A656" t="s">
        <v>657</v>
      </c>
      <c r="B656" t="s">
        <v>2019</v>
      </c>
      <c r="C656" t="s">
        <v>2965</v>
      </c>
      <c r="D656" t="s">
        <v>3853</v>
      </c>
      <c r="E656" t="s">
        <v>4566</v>
      </c>
      <c r="F656" t="s">
        <v>4582</v>
      </c>
      <c r="G656" t="s">
        <v>4584</v>
      </c>
      <c r="H656" t="s">
        <v>4589</v>
      </c>
      <c r="I656">
        <v>1</v>
      </c>
      <c r="J656">
        <v>33.82</v>
      </c>
      <c r="L656">
        <v>12.37</v>
      </c>
      <c r="M656" t="s">
        <v>5465</v>
      </c>
      <c r="N656" t="s">
        <v>5470</v>
      </c>
      <c r="O656" t="s">
        <v>5477</v>
      </c>
    </row>
    <row r="657" spans="1:15" x14ac:dyDescent="0.3">
      <c r="A657" t="s">
        <v>658</v>
      </c>
      <c r="B657" t="s">
        <v>2020</v>
      </c>
      <c r="C657" t="s">
        <v>3036</v>
      </c>
      <c r="D657" t="s">
        <v>3854</v>
      </c>
      <c r="E657" t="s">
        <v>4559</v>
      </c>
      <c r="F657" t="s">
        <v>4577</v>
      </c>
      <c r="G657" t="s">
        <v>4586</v>
      </c>
      <c r="H657" t="s">
        <v>4597</v>
      </c>
      <c r="I657">
        <v>10</v>
      </c>
      <c r="J657" t="s">
        <v>5015</v>
      </c>
      <c r="K657" t="s">
        <v>5460</v>
      </c>
      <c r="L657">
        <v>13.08</v>
      </c>
      <c r="M657" t="s">
        <v>5467</v>
      </c>
      <c r="N657" t="s">
        <v>5470</v>
      </c>
      <c r="O657" t="s">
        <v>5478</v>
      </c>
    </row>
    <row r="658" spans="1:15" x14ac:dyDescent="0.3">
      <c r="A658" t="s">
        <v>659</v>
      </c>
      <c r="B658" t="s">
        <v>2021</v>
      </c>
      <c r="C658" t="s">
        <v>3037</v>
      </c>
      <c r="D658" t="s">
        <v>3855</v>
      </c>
      <c r="E658" t="s">
        <v>4564</v>
      </c>
      <c r="F658" t="s">
        <v>4578</v>
      </c>
      <c r="G658" t="s">
        <v>4584</v>
      </c>
      <c r="H658" t="s">
        <v>4589</v>
      </c>
      <c r="I658">
        <v>-1</v>
      </c>
      <c r="J658" t="s">
        <v>5016</v>
      </c>
      <c r="K658">
        <v>0.15</v>
      </c>
      <c r="L658">
        <v>9.1199999999999992</v>
      </c>
      <c r="M658" t="s">
        <v>5466</v>
      </c>
      <c r="N658" t="s">
        <v>5470</v>
      </c>
      <c r="O658" t="s">
        <v>5476</v>
      </c>
    </row>
    <row r="659" spans="1:15" x14ac:dyDescent="0.3">
      <c r="A659" t="s">
        <v>660</v>
      </c>
      <c r="B659" t="s">
        <v>2022</v>
      </c>
      <c r="C659" t="s">
        <v>3038</v>
      </c>
      <c r="D659" t="s">
        <v>3856</v>
      </c>
      <c r="E659" t="s">
        <v>4565</v>
      </c>
      <c r="F659" t="s">
        <v>4576</v>
      </c>
      <c r="G659" t="s">
        <v>4583</v>
      </c>
      <c r="H659" t="s">
        <v>4588</v>
      </c>
      <c r="I659">
        <v>2</v>
      </c>
      <c r="J659">
        <v>39.659999999999997</v>
      </c>
      <c r="K659" t="s">
        <v>5460</v>
      </c>
      <c r="L659">
        <v>0</v>
      </c>
      <c r="O659" t="s">
        <v>5478</v>
      </c>
    </row>
    <row r="660" spans="1:15" x14ac:dyDescent="0.3">
      <c r="A660" t="s">
        <v>661</v>
      </c>
      <c r="B660" t="s">
        <v>2023</v>
      </c>
      <c r="C660" t="s">
        <v>3039</v>
      </c>
      <c r="D660" t="s">
        <v>3857</v>
      </c>
      <c r="E660" t="s">
        <v>4562</v>
      </c>
      <c r="F660" t="s">
        <v>4576</v>
      </c>
      <c r="G660" t="s">
        <v>4586</v>
      </c>
      <c r="H660" t="s">
        <v>4599</v>
      </c>
      <c r="I660">
        <v>-1</v>
      </c>
      <c r="J660" t="s">
        <v>5017</v>
      </c>
      <c r="L660">
        <v>10.86</v>
      </c>
      <c r="M660" t="s">
        <v>5468</v>
      </c>
      <c r="N660" t="s">
        <v>5469</v>
      </c>
      <c r="O660" t="s">
        <v>5479</v>
      </c>
    </row>
    <row r="661" spans="1:15" x14ac:dyDescent="0.3">
      <c r="A661" t="s">
        <v>662</v>
      </c>
      <c r="B661" t="s">
        <v>2024</v>
      </c>
      <c r="C661" t="s">
        <v>2714</v>
      </c>
      <c r="E661" t="s">
        <v>4571</v>
      </c>
      <c r="F661" t="s">
        <v>4573</v>
      </c>
      <c r="G661" t="s">
        <v>4587</v>
      </c>
      <c r="H661" t="s">
        <v>4606</v>
      </c>
      <c r="I661">
        <v>10</v>
      </c>
      <c r="J661">
        <v>30.36</v>
      </c>
      <c r="K661" t="s">
        <v>5460</v>
      </c>
      <c r="L661">
        <v>10.68</v>
      </c>
      <c r="M661" t="s">
        <v>5465</v>
      </c>
      <c r="O661" t="s">
        <v>5477</v>
      </c>
    </row>
    <row r="662" spans="1:15" x14ac:dyDescent="0.3">
      <c r="A662" t="s">
        <v>663</v>
      </c>
      <c r="B662" t="s">
        <v>2025</v>
      </c>
      <c r="C662" t="s">
        <v>2786</v>
      </c>
      <c r="D662" t="s">
        <v>3858</v>
      </c>
      <c r="E662" t="s">
        <v>4562</v>
      </c>
      <c r="F662" t="s">
        <v>4575</v>
      </c>
      <c r="G662" t="s">
        <v>4587</v>
      </c>
      <c r="H662" t="s">
        <v>4600</v>
      </c>
      <c r="I662">
        <v>-1</v>
      </c>
      <c r="J662">
        <v>12.46</v>
      </c>
      <c r="K662">
        <v>0.05</v>
      </c>
      <c r="L662">
        <v>12.66</v>
      </c>
      <c r="M662" t="s">
        <v>5465</v>
      </c>
      <c r="N662" t="s">
        <v>5469</v>
      </c>
      <c r="O662" t="s">
        <v>5477</v>
      </c>
    </row>
    <row r="663" spans="1:15" x14ac:dyDescent="0.3">
      <c r="A663" t="s">
        <v>664</v>
      </c>
      <c r="B663" t="s">
        <v>2026</v>
      </c>
      <c r="C663" t="s">
        <v>2715</v>
      </c>
      <c r="D663" t="s">
        <v>3859</v>
      </c>
      <c r="E663" t="s">
        <v>4551</v>
      </c>
      <c r="F663" t="s">
        <v>4579</v>
      </c>
      <c r="G663" t="s">
        <v>4587</v>
      </c>
      <c r="H663" t="s">
        <v>4606</v>
      </c>
      <c r="I663">
        <v>4</v>
      </c>
      <c r="J663">
        <v>29.91</v>
      </c>
      <c r="K663">
        <v>0.05</v>
      </c>
      <c r="L663">
        <v>11.7</v>
      </c>
      <c r="M663" t="s">
        <v>5465</v>
      </c>
      <c r="N663" t="s">
        <v>5469</v>
      </c>
      <c r="O663" t="s">
        <v>5477</v>
      </c>
    </row>
    <row r="664" spans="1:15" x14ac:dyDescent="0.3">
      <c r="A664" t="s">
        <v>665</v>
      </c>
      <c r="B664" t="s">
        <v>2027</v>
      </c>
      <c r="C664" t="s">
        <v>3040</v>
      </c>
      <c r="D664" t="s">
        <v>3860</v>
      </c>
      <c r="E664" t="s">
        <v>4558</v>
      </c>
      <c r="F664" t="s">
        <v>4581</v>
      </c>
      <c r="G664" t="s">
        <v>4584</v>
      </c>
      <c r="H664" t="s">
        <v>4608</v>
      </c>
      <c r="I664">
        <v>2</v>
      </c>
      <c r="J664" t="s">
        <v>5018</v>
      </c>
      <c r="L664">
        <v>7.8</v>
      </c>
      <c r="M664" t="s">
        <v>5467</v>
      </c>
      <c r="N664" t="s">
        <v>5472</v>
      </c>
      <c r="O664" t="s">
        <v>5477</v>
      </c>
    </row>
    <row r="665" spans="1:15" x14ac:dyDescent="0.3">
      <c r="A665" t="s">
        <v>666</v>
      </c>
      <c r="B665" t="s">
        <v>2028</v>
      </c>
      <c r="C665" t="s">
        <v>3041</v>
      </c>
      <c r="E665" t="s">
        <v>4560</v>
      </c>
      <c r="F665" t="s">
        <v>4573</v>
      </c>
      <c r="G665" t="s">
        <v>4583</v>
      </c>
      <c r="H665" t="s">
        <v>4588</v>
      </c>
      <c r="I665">
        <v>-1</v>
      </c>
      <c r="J665" t="s">
        <v>5019</v>
      </c>
      <c r="K665">
        <v>0</v>
      </c>
      <c r="L665">
        <v>12.33</v>
      </c>
      <c r="M665" t="s">
        <v>5466</v>
      </c>
      <c r="N665" t="s">
        <v>5473</v>
      </c>
      <c r="O665" t="s">
        <v>5475</v>
      </c>
    </row>
    <row r="666" spans="1:15" x14ac:dyDescent="0.3">
      <c r="A666" t="s">
        <v>667</v>
      </c>
      <c r="B666" t="s">
        <v>2029</v>
      </c>
      <c r="C666" t="s">
        <v>2814</v>
      </c>
      <c r="D666" t="s">
        <v>3861</v>
      </c>
      <c r="E666" t="s">
        <v>4569</v>
      </c>
      <c r="F666" t="s">
        <v>4572</v>
      </c>
      <c r="G666" t="s">
        <v>4587</v>
      </c>
      <c r="H666" t="s">
        <v>4606</v>
      </c>
      <c r="I666">
        <v>5</v>
      </c>
      <c r="J666" t="s">
        <v>5020</v>
      </c>
      <c r="K666">
        <v>0.15</v>
      </c>
      <c r="L666">
        <v>10.07</v>
      </c>
      <c r="M666" t="s">
        <v>5463</v>
      </c>
      <c r="O666" t="s">
        <v>5477</v>
      </c>
    </row>
    <row r="667" spans="1:15" x14ac:dyDescent="0.3">
      <c r="A667" t="s">
        <v>668</v>
      </c>
      <c r="B667" t="s">
        <v>2030</v>
      </c>
      <c r="C667" t="s">
        <v>2687</v>
      </c>
      <c r="D667" t="s">
        <v>3862</v>
      </c>
      <c r="E667" t="s">
        <v>4552</v>
      </c>
      <c r="F667" t="s">
        <v>4575</v>
      </c>
      <c r="G667" t="s">
        <v>4586</v>
      </c>
      <c r="H667" t="s">
        <v>4609</v>
      </c>
      <c r="I667">
        <v>4</v>
      </c>
      <c r="J667" t="s">
        <v>5021</v>
      </c>
      <c r="K667">
        <v>0</v>
      </c>
      <c r="L667">
        <v>9.77</v>
      </c>
      <c r="M667" t="s">
        <v>5464</v>
      </c>
      <c r="N667" t="s">
        <v>5472</v>
      </c>
      <c r="O667" t="s">
        <v>5476</v>
      </c>
    </row>
    <row r="668" spans="1:15" x14ac:dyDescent="0.3">
      <c r="A668" t="s">
        <v>669</v>
      </c>
      <c r="B668" t="s">
        <v>1655</v>
      </c>
      <c r="C668" t="s">
        <v>2986</v>
      </c>
      <c r="D668" t="s">
        <v>3863</v>
      </c>
      <c r="E668" t="s">
        <v>4559</v>
      </c>
      <c r="F668" t="s">
        <v>4577</v>
      </c>
      <c r="G668" t="s">
        <v>4583</v>
      </c>
      <c r="H668" t="s">
        <v>4588</v>
      </c>
      <c r="I668">
        <v>10</v>
      </c>
      <c r="J668" t="s">
        <v>5022</v>
      </c>
      <c r="K668" t="s">
        <v>5461</v>
      </c>
      <c r="L668">
        <v>9.2100000000000009</v>
      </c>
      <c r="M668" t="s">
        <v>5463</v>
      </c>
      <c r="N668" t="s">
        <v>5474</v>
      </c>
      <c r="O668" t="s">
        <v>5475</v>
      </c>
    </row>
    <row r="669" spans="1:15" x14ac:dyDescent="0.3">
      <c r="A669" t="s">
        <v>670</v>
      </c>
      <c r="B669" t="s">
        <v>2031</v>
      </c>
      <c r="C669" t="s">
        <v>3042</v>
      </c>
      <c r="D669" t="s">
        <v>3864</v>
      </c>
      <c r="E669" t="s">
        <v>4555</v>
      </c>
      <c r="F669" t="s">
        <v>4578</v>
      </c>
      <c r="H669" t="s">
        <v>4599</v>
      </c>
      <c r="I669">
        <v>5</v>
      </c>
      <c r="J669" t="s">
        <v>5023</v>
      </c>
      <c r="K669">
        <v>0</v>
      </c>
      <c r="L669">
        <v>14.47</v>
      </c>
      <c r="M669" t="s">
        <v>5462</v>
      </c>
      <c r="O669" t="s">
        <v>5476</v>
      </c>
    </row>
    <row r="670" spans="1:15" x14ac:dyDescent="0.3">
      <c r="A670" t="s">
        <v>671</v>
      </c>
      <c r="B670" t="s">
        <v>2032</v>
      </c>
      <c r="C670" t="s">
        <v>2884</v>
      </c>
      <c r="D670" t="s">
        <v>3865</v>
      </c>
      <c r="E670" t="s">
        <v>4566</v>
      </c>
      <c r="F670" t="s">
        <v>4582</v>
      </c>
      <c r="G670" t="s">
        <v>4586</v>
      </c>
      <c r="H670" t="s">
        <v>4599</v>
      </c>
      <c r="I670">
        <v>10</v>
      </c>
      <c r="J670">
        <v>237.62</v>
      </c>
      <c r="K670">
        <v>0.15</v>
      </c>
      <c r="L670">
        <v>4.0999999999999996</v>
      </c>
      <c r="M670" t="s">
        <v>5462</v>
      </c>
      <c r="N670" t="s">
        <v>5470</v>
      </c>
      <c r="O670" t="s">
        <v>5480</v>
      </c>
    </row>
    <row r="671" spans="1:15" x14ac:dyDescent="0.3">
      <c r="A671" t="s">
        <v>672</v>
      </c>
      <c r="B671" t="s">
        <v>2033</v>
      </c>
      <c r="C671" t="s">
        <v>2940</v>
      </c>
      <c r="D671" t="s">
        <v>3866</v>
      </c>
      <c r="E671" t="s">
        <v>4563</v>
      </c>
      <c r="F671" t="s">
        <v>4573</v>
      </c>
      <c r="G671" t="s">
        <v>4584</v>
      </c>
      <c r="H671" t="s">
        <v>4601</v>
      </c>
      <c r="I671">
        <v>4</v>
      </c>
      <c r="J671" t="s">
        <v>5024</v>
      </c>
      <c r="L671">
        <v>1.56</v>
      </c>
      <c r="M671" t="s">
        <v>5467</v>
      </c>
      <c r="N671" t="s">
        <v>5473</v>
      </c>
      <c r="O671" t="s">
        <v>5477</v>
      </c>
    </row>
    <row r="672" spans="1:15" x14ac:dyDescent="0.3">
      <c r="A672" t="s">
        <v>673</v>
      </c>
      <c r="B672" t="s">
        <v>2034</v>
      </c>
      <c r="C672" t="s">
        <v>2836</v>
      </c>
      <c r="D672" t="s">
        <v>3867</v>
      </c>
      <c r="E672" t="s">
        <v>4554</v>
      </c>
      <c r="F672" t="s">
        <v>4573</v>
      </c>
      <c r="G672" t="s">
        <v>4586</v>
      </c>
      <c r="H672" t="s">
        <v>4599</v>
      </c>
      <c r="I672">
        <v>4</v>
      </c>
      <c r="J672">
        <v>247.02</v>
      </c>
      <c r="K672">
        <v>0.1</v>
      </c>
      <c r="L672">
        <v>13.36</v>
      </c>
      <c r="M672" t="s">
        <v>5463</v>
      </c>
      <c r="N672" t="s">
        <v>5470</v>
      </c>
      <c r="O672" t="s">
        <v>5479</v>
      </c>
    </row>
    <row r="673" spans="1:15" x14ac:dyDescent="0.3">
      <c r="A673" t="s">
        <v>674</v>
      </c>
      <c r="B673" t="s">
        <v>2035</v>
      </c>
      <c r="C673" t="s">
        <v>2685</v>
      </c>
      <c r="D673" t="s">
        <v>3868</v>
      </c>
      <c r="E673" t="s">
        <v>4562</v>
      </c>
      <c r="F673" t="s">
        <v>4579</v>
      </c>
      <c r="G673" t="s">
        <v>4587</v>
      </c>
      <c r="H673" t="s">
        <v>4594</v>
      </c>
      <c r="I673">
        <v>3</v>
      </c>
      <c r="J673" t="s">
        <v>5025</v>
      </c>
      <c r="K673" t="s">
        <v>5461</v>
      </c>
      <c r="L673">
        <v>6.54</v>
      </c>
      <c r="M673" t="s">
        <v>5462</v>
      </c>
      <c r="O673" t="s">
        <v>5475</v>
      </c>
    </row>
    <row r="674" spans="1:15" x14ac:dyDescent="0.3">
      <c r="A674" t="s">
        <v>675</v>
      </c>
      <c r="B674" t="s">
        <v>2036</v>
      </c>
      <c r="C674" t="s">
        <v>3043</v>
      </c>
      <c r="D674" t="s">
        <v>3869</v>
      </c>
      <c r="E674" t="s">
        <v>4560</v>
      </c>
      <c r="F674" t="s">
        <v>4573</v>
      </c>
      <c r="G674" t="s">
        <v>4586</v>
      </c>
      <c r="H674" t="s">
        <v>4597</v>
      </c>
      <c r="I674">
        <v>-1</v>
      </c>
      <c r="J674">
        <v>92.44</v>
      </c>
      <c r="L674">
        <v>13.89</v>
      </c>
      <c r="M674" t="s">
        <v>5467</v>
      </c>
      <c r="N674" t="s">
        <v>5474</v>
      </c>
      <c r="O674" t="s">
        <v>5476</v>
      </c>
    </row>
    <row r="675" spans="1:15" x14ac:dyDescent="0.3">
      <c r="A675" t="s">
        <v>676</v>
      </c>
      <c r="B675" t="s">
        <v>2037</v>
      </c>
      <c r="C675" t="s">
        <v>3044</v>
      </c>
      <c r="D675" t="s">
        <v>3870</v>
      </c>
      <c r="E675" t="s">
        <v>4564</v>
      </c>
      <c r="F675" t="s">
        <v>4578</v>
      </c>
      <c r="G675" t="s">
        <v>4584</v>
      </c>
      <c r="H675" t="s">
        <v>4595</v>
      </c>
      <c r="I675">
        <v>4</v>
      </c>
      <c r="J675" t="s">
        <v>5026</v>
      </c>
      <c r="K675">
        <v>0.1</v>
      </c>
      <c r="L675">
        <v>1.84</v>
      </c>
      <c r="M675" t="s">
        <v>5463</v>
      </c>
      <c r="N675" t="s">
        <v>5470</v>
      </c>
      <c r="O675" t="s">
        <v>5478</v>
      </c>
    </row>
    <row r="676" spans="1:15" x14ac:dyDescent="0.3">
      <c r="A676" t="s">
        <v>677</v>
      </c>
      <c r="B676" t="s">
        <v>2038</v>
      </c>
      <c r="C676" t="s">
        <v>2831</v>
      </c>
      <c r="D676" t="s">
        <v>3871</v>
      </c>
      <c r="E676" t="s">
        <v>4556</v>
      </c>
      <c r="F676" t="s">
        <v>4576</v>
      </c>
      <c r="G676" t="s">
        <v>4584</v>
      </c>
      <c r="H676" t="s">
        <v>4608</v>
      </c>
      <c r="I676">
        <v>2</v>
      </c>
      <c r="J676">
        <v>19.11</v>
      </c>
      <c r="L676">
        <v>9.1300000000000008</v>
      </c>
      <c r="M676" t="s">
        <v>5468</v>
      </c>
      <c r="N676" t="s">
        <v>5469</v>
      </c>
      <c r="O676" t="s">
        <v>5476</v>
      </c>
    </row>
    <row r="677" spans="1:15" x14ac:dyDescent="0.3">
      <c r="A677" t="s">
        <v>678</v>
      </c>
      <c r="B677" t="s">
        <v>2039</v>
      </c>
      <c r="C677" t="s">
        <v>3045</v>
      </c>
      <c r="D677" t="s">
        <v>3872</v>
      </c>
      <c r="E677" t="s">
        <v>4561</v>
      </c>
      <c r="F677" t="s">
        <v>4572</v>
      </c>
      <c r="G677" t="s">
        <v>4583</v>
      </c>
      <c r="H677" t="s">
        <v>4604</v>
      </c>
      <c r="I677">
        <v>2</v>
      </c>
      <c r="J677" t="s">
        <v>5027</v>
      </c>
      <c r="K677">
        <v>0</v>
      </c>
      <c r="N677" t="s">
        <v>5471</v>
      </c>
      <c r="O677" t="s">
        <v>5477</v>
      </c>
    </row>
    <row r="678" spans="1:15" x14ac:dyDescent="0.3">
      <c r="A678" t="s">
        <v>679</v>
      </c>
      <c r="B678" t="s">
        <v>2040</v>
      </c>
      <c r="C678" t="s">
        <v>3007</v>
      </c>
      <c r="D678" t="s">
        <v>3873</v>
      </c>
      <c r="E678" t="s">
        <v>4557</v>
      </c>
      <c r="F678" t="s">
        <v>4580</v>
      </c>
      <c r="G678" t="s">
        <v>4586</v>
      </c>
      <c r="H678" t="s">
        <v>4597</v>
      </c>
      <c r="I678">
        <v>1</v>
      </c>
      <c r="J678" t="s">
        <v>5028</v>
      </c>
      <c r="K678">
        <v>0</v>
      </c>
      <c r="L678">
        <v>7.12</v>
      </c>
      <c r="M678" t="s">
        <v>5467</v>
      </c>
      <c r="N678" t="s">
        <v>5471</v>
      </c>
      <c r="O678" t="s">
        <v>5477</v>
      </c>
    </row>
    <row r="679" spans="1:15" x14ac:dyDescent="0.3">
      <c r="A679" t="s">
        <v>680</v>
      </c>
      <c r="B679" t="s">
        <v>2041</v>
      </c>
      <c r="C679" t="s">
        <v>3046</v>
      </c>
      <c r="D679" t="s">
        <v>3874</v>
      </c>
      <c r="E679" t="s">
        <v>4563</v>
      </c>
      <c r="F679" t="s">
        <v>4573</v>
      </c>
      <c r="G679" t="s">
        <v>4585</v>
      </c>
      <c r="H679" t="s">
        <v>4591</v>
      </c>
      <c r="I679">
        <v>2</v>
      </c>
      <c r="J679">
        <v>8.15</v>
      </c>
      <c r="L679">
        <v>7.76</v>
      </c>
      <c r="M679" t="s">
        <v>5466</v>
      </c>
      <c r="N679" t="s">
        <v>5474</v>
      </c>
      <c r="O679" t="s">
        <v>5477</v>
      </c>
    </row>
    <row r="680" spans="1:15" x14ac:dyDescent="0.3">
      <c r="A680" t="s">
        <v>681</v>
      </c>
      <c r="B680" t="s">
        <v>2042</v>
      </c>
      <c r="C680" t="s">
        <v>3047</v>
      </c>
      <c r="D680" t="s">
        <v>3875</v>
      </c>
      <c r="E680" t="s">
        <v>4559</v>
      </c>
      <c r="F680" t="s">
        <v>4582</v>
      </c>
      <c r="G680" t="s">
        <v>4586</v>
      </c>
      <c r="H680" t="s">
        <v>4593</v>
      </c>
      <c r="I680">
        <v>2</v>
      </c>
      <c r="J680">
        <v>104.54</v>
      </c>
      <c r="K680">
        <v>0</v>
      </c>
      <c r="L680">
        <v>0</v>
      </c>
      <c r="M680" t="s">
        <v>5468</v>
      </c>
      <c r="N680" t="s">
        <v>5469</v>
      </c>
      <c r="O680" t="s">
        <v>5477</v>
      </c>
    </row>
    <row r="681" spans="1:15" x14ac:dyDescent="0.3">
      <c r="A681" t="s">
        <v>682</v>
      </c>
      <c r="B681" t="s">
        <v>2043</v>
      </c>
      <c r="C681" t="s">
        <v>2980</v>
      </c>
      <c r="D681" t="s">
        <v>3876</v>
      </c>
      <c r="E681" t="s">
        <v>4568</v>
      </c>
      <c r="F681" t="s">
        <v>4573</v>
      </c>
      <c r="G681" t="s">
        <v>4587</v>
      </c>
      <c r="H681" t="s">
        <v>4596</v>
      </c>
      <c r="I681">
        <v>4</v>
      </c>
      <c r="J681" t="s">
        <v>5029</v>
      </c>
      <c r="K681" t="s">
        <v>5461</v>
      </c>
      <c r="L681">
        <v>4.42</v>
      </c>
      <c r="M681" t="s">
        <v>5466</v>
      </c>
      <c r="O681" t="s">
        <v>5479</v>
      </c>
    </row>
    <row r="682" spans="1:15" x14ac:dyDescent="0.3">
      <c r="A682" t="s">
        <v>683</v>
      </c>
      <c r="B682" t="s">
        <v>2044</v>
      </c>
      <c r="C682" t="s">
        <v>3048</v>
      </c>
      <c r="D682" t="s">
        <v>3877</v>
      </c>
      <c r="E682" t="s">
        <v>4568</v>
      </c>
      <c r="F682" t="s">
        <v>4577</v>
      </c>
      <c r="G682" t="s">
        <v>4584</v>
      </c>
      <c r="H682" t="s">
        <v>4608</v>
      </c>
      <c r="I682">
        <v>10</v>
      </c>
      <c r="J682">
        <v>19.260000000000002</v>
      </c>
      <c r="K682" t="s">
        <v>5460</v>
      </c>
      <c r="L682">
        <v>9.65</v>
      </c>
      <c r="M682" t="s">
        <v>5468</v>
      </c>
      <c r="O682" t="s">
        <v>5477</v>
      </c>
    </row>
    <row r="683" spans="1:15" x14ac:dyDescent="0.3">
      <c r="A683" t="s">
        <v>684</v>
      </c>
      <c r="B683" t="s">
        <v>2045</v>
      </c>
      <c r="C683" t="s">
        <v>3049</v>
      </c>
      <c r="D683" t="s">
        <v>3878</v>
      </c>
      <c r="E683" t="s">
        <v>4569</v>
      </c>
      <c r="F683" t="s">
        <v>4581</v>
      </c>
      <c r="G683" t="s">
        <v>4587</v>
      </c>
      <c r="H683" t="s">
        <v>4596</v>
      </c>
      <c r="I683">
        <v>3</v>
      </c>
      <c r="J683" t="s">
        <v>5030</v>
      </c>
      <c r="K683">
        <v>0.15</v>
      </c>
      <c r="L683">
        <v>9.99</v>
      </c>
      <c r="M683" t="s">
        <v>5466</v>
      </c>
      <c r="N683" t="s">
        <v>5474</v>
      </c>
      <c r="O683" t="s">
        <v>5476</v>
      </c>
    </row>
    <row r="684" spans="1:15" x14ac:dyDescent="0.3">
      <c r="A684" t="s">
        <v>685</v>
      </c>
      <c r="B684" t="s">
        <v>2046</v>
      </c>
      <c r="C684" t="s">
        <v>2622</v>
      </c>
      <c r="D684" t="s">
        <v>3879</v>
      </c>
      <c r="E684" t="s">
        <v>4550</v>
      </c>
      <c r="F684" t="s">
        <v>4573</v>
      </c>
      <c r="G684" t="s">
        <v>4584</v>
      </c>
      <c r="H684" t="s">
        <v>4603</v>
      </c>
      <c r="I684">
        <v>-1</v>
      </c>
      <c r="J684" t="s">
        <v>5031</v>
      </c>
      <c r="K684">
        <v>0</v>
      </c>
      <c r="M684" t="s">
        <v>5462</v>
      </c>
      <c r="O684" t="s">
        <v>5476</v>
      </c>
    </row>
    <row r="685" spans="1:15" x14ac:dyDescent="0.3">
      <c r="A685" t="s">
        <v>686</v>
      </c>
      <c r="B685" t="s">
        <v>1823</v>
      </c>
      <c r="C685" t="s">
        <v>2649</v>
      </c>
      <c r="D685" t="s">
        <v>3880</v>
      </c>
      <c r="E685" t="s">
        <v>4547</v>
      </c>
      <c r="F685" t="s">
        <v>4572</v>
      </c>
      <c r="G685" t="s">
        <v>4585</v>
      </c>
      <c r="H685" t="s">
        <v>4591</v>
      </c>
      <c r="I685">
        <v>1</v>
      </c>
      <c r="J685">
        <v>7.82</v>
      </c>
      <c r="K685">
        <v>0.15</v>
      </c>
      <c r="L685">
        <v>0</v>
      </c>
      <c r="M685" t="s">
        <v>5468</v>
      </c>
      <c r="N685" t="s">
        <v>5474</v>
      </c>
      <c r="O685" t="s">
        <v>5478</v>
      </c>
    </row>
    <row r="686" spans="1:15" x14ac:dyDescent="0.3">
      <c r="A686" t="s">
        <v>687</v>
      </c>
      <c r="B686" t="s">
        <v>2047</v>
      </c>
      <c r="C686" t="s">
        <v>3050</v>
      </c>
      <c r="D686" t="s">
        <v>3881</v>
      </c>
      <c r="E686" t="s">
        <v>4567</v>
      </c>
      <c r="F686" t="s">
        <v>4573</v>
      </c>
      <c r="G686" t="s">
        <v>4587</v>
      </c>
      <c r="H686" t="s">
        <v>4596</v>
      </c>
      <c r="I686">
        <v>1</v>
      </c>
      <c r="J686">
        <v>15.71</v>
      </c>
      <c r="K686">
        <v>0.15</v>
      </c>
      <c r="L686">
        <v>13.57</v>
      </c>
      <c r="M686" t="s">
        <v>5464</v>
      </c>
      <c r="N686" t="s">
        <v>5474</v>
      </c>
      <c r="O686" t="s">
        <v>5477</v>
      </c>
    </row>
    <row r="687" spans="1:15" x14ac:dyDescent="0.3">
      <c r="A687" t="s">
        <v>688</v>
      </c>
      <c r="B687" t="s">
        <v>2048</v>
      </c>
      <c r="C687" t="s">
        <v>2881</v>
      </c>
      <c r="D687" t="s">
        <v>3882</v>
      </c>
      <c r="E687" t="s">
        <v>4560</v>
      </c>
      <c r="F687" t="s">
        <v>4574</v>
      </c>
      <c r="G687" t="s">
        <v>4584</v>
      </c>
      <c r="H687" t="s">
        <v>4607</v>
      </c>
      <c r="I687">
        <v>2</v>
      </c>
      <c r="J687">
        <v>24.69</v>
      </c>
      <c r="K687" t="s">
        <v>5461</v>
      </c>
      <c r="L687">
        <v>9.6300000000000008</v>
      </c>
      <c r="M687" t="s">
        <v>5468</v>
      </c>
      <c r="N687" t="s">
        <v>5474</v>
      </c>
      <c r="O687" t="s">
        <v>5477</v>
      </c>
    </row>
    <row r="688" spans="1:15" x14ac:dyDescent="0.3">
      <c r="A688" t="s">
        <v>689</v>
      </c>
      <c r="B688" t="s">
        <v>2049</v>
      </c>
      <c r="C688" t="s">
        <v>3051</v>
      </c>
      <c r="D688" t="s">
        <v>3883</v>
      </c>
      <c r="E688" t="s">
        <v>4560</v>
      </c>
      <c r="F688" t="s">
        <v>4573</v>
      </c>
      <c r="G688" t="s">
        <v>4585</v>
      </c>
      <c r="H688" t="s">
        <v>4590</v>
      </c>
      <c r="I688">
        <v>2</v>
      </c>
      <c r="J688">
        <v>14.35</v>
      </c>
      <c r="K688" t="s">
        <v>5460</v>
      </c>
      <c r="L688">
        <v>0</v>
      </c>
      <c r="M688" t="s">
        <v>5466</v>
      </c>
      <c r="N688" t="s">
        <v>5473</v>
      </c>
      <c r="O688" t="s">
        <v>5479</v>
      </c>
    </row>
    <row r="689" spans="1:15" x14ac:dyDescent="0.3">
      <c r="A689" t="s">
        <v>690</v>
      </c>
      <c r="B689" t="s">
        <v>2050</v>
      </c>
      <c r="C689" t="s">
        <v>2665</v>
      </c>
      <c r="E689" t="s">
        <v>4563</v>
      </c>
      <c r="F689" t="s">
        <v>4573</v>
      </c>
      <c r="G689" t="s">
        <v>4585</v>
      </c>
      <c r="H689" t="s">
        <v>4592</v>
      </c>
      <c r="I689">
        <v>3</v>
      </c>
      <c r="J689" t="s">
        <v>5032</v>
      </c>
      <c r="K689">
        <v>0</v>
      </c>
      <c r="L689">
        <v>2.3199999999999998</v>
      </c>
      <c r="M689" t="s">
        <v>5466</v>
      </c>
      <c r="O689" t="s">
        <v>5477</v>
      </c>
    </row>
    <row r="690" spans="1:15" x14ac:dyDescent="0.3">
      <c r="A690" t="s">
        <v>405</v>
      </c>
      <c r="B690" t="s">
        <v>1792</v>
      </c>
      <c r="C690" t="s">
        <v>2731</v>
      </c>
      <c r="D690" t="s">
        <v>3627</v>
      </c>
      <c r="E690" t="s">
        <v>4550</v>
      </c>
      <c r="F690" t="s">
        <v>4573</v>
      </c>
      <c r="G690" t="s">
        <v>4587</v>
      </c>
      <c r="H690" t="s">
        <v>4600</v>
      </c>
      <c r="I690">
        <v>2</v>
      </c>
      <c r="J690">
        <v>12.89</v>
      </c>
      <c r="K690">
        <v>0</v>
      </c>
      <c r="L690">
        <v>1.55</v>
      </c>
      <c r="M690" t="s">
        <v>5468</v>
      </c>
      <c r="N690" t="s">
        <v>5470</v>
      </c>
      <c r="O690" t="s">
        <v>5477</v>
      </c>
    </row>
    <row r="691" spans="1:15" x14ac:dyDescent="0.3">
      <c r="A691" t="s">
        <v>691</v>
      </c>
      <c r="B691" t="s">
        <v>2051</v>
      </c>
      <c r="C691" t="s">
        <v>2685</v>
      </c>
      <c r="E691" t="s">
        <v>4552</v>
      </c>
      <c r="F691" t="s">
        <v>4579</v>
      </c>
      <c r="G691" t="s">
        <v>4585</v>
      </c>
      <c r="H691" t="s">
        <v>4590</v>
      </c>
      <c r="I691">
        <v>1</v>
      </c>
      <c r="J691" t="s">
        <v>5033</v>
      </c>
      <c r="K691">
        <v>0</v>
      </c>
      <c r="L691">
        <v>11.54</v>
      </c>
      <c r="M691" t="s">
        <v>5466</v>
      </c>
      <c r="N691" t="s">
        <v>5472</v>
      </c>
      <c r="O691" t="s">
        <v>5477</v>
      </c>
    </row>
    <row r="692" spans="1:15" x14ac:dyDescent="0.3">
      <c r="A692" t="s">
        <v>692</v>
      </c>
      <c r="B692" t="s">
        <v>2052</v>
      </c>
      <c r="C692" t="s">
        <v>2678</v>
      </c>
      <c r="D692" t="s">
        <v>3884</v>
      </c>
      <c r="E692" t="s">
        <v>4567</v>
      </c>
      <c r="F692" t="s">
        <v>4573</v>
      </c>
      <c r="G692" t="s">
        <v>4587</v>
      </c>
      <c r="H692" t="s">
        <v>4606</v>
      </c>
      <c r="I692">
        <v>3</v>
      </c>
      <c r="J692" t="s">
        <v>5034</v>
      </c>
      <c r="L692">
        <v>14.79</v>
      </c>
      <c r="M692" t="s">
        <v>5466</v>
      </c>
      <c r="N692" t="s">
        <v>5471</v>
      </c>
      <c r="O692" t="s">
        <v>5476</v>
      </c>
    </row>
    <row r="693" spans="1:15" x14ac:dyDescent="0.3">
      <c r="A693" t="s">
        <v>693</v>
      </c>
      <c r="B693" t="s">
        <v>2053</v>
      </c>
      <c r="C693" t="s">
        <v>2924</v>
      </c>
      <c r="D693" t="s">
        <v>3885</v>
      </c>
      <c r="E693" t="s">
        <v>4564</v>
      </c>
      <c r="F693" t="s">
        <v>4578</v>
      </c>
      <c r="G693" t="s">
        <v>4587</v>
      </c>
      <c r="H693" t="s">
        <v>4594</v>
      </c>
      <c r="I693">
        <v>4</v>
      </c>
      <c r="J693" t="s">
        <v>5035</v>
      </c>
      <c r="K693">
        <v>0.1</v>
      </c>
      <c r="L693">
        <v>5.55</v>
      </c>
      <c r="N693" t="s">
        <v>5473</v>
      </c>
      <c r="O693" t="s">
        <v>5475</v>
      </c>
    </row>
    <row r="694" spans="1:15" x14ac:dyDescent="0.3">
      <c r="A694" t="s">
        <v>694</v>
      </c>
      <c r="B694" t="s">
        <v>2054</v>
      </c>
      <c r="C694" t="s">
        <v>2912</v>
      </c>
      <c r="D694" t="s">
        <v>3886</v>
      </c>
      <c r="E694" t="s">
        <v>4566</v>
      </c>
      <c r="F694" t="s">
        <v>4577</v>
      </c>
      <c r="G694" t="s">
        <v>4585</v>
      </c>
      <c r="H694" t="s">
        <v>4602</v>
      </c>
      <c r="I694">
        <v>3</v>
      </c>
      <c r="J694" t="s">
        <v>4782</v>
      </c>
      <c r="L694">
        <v>4.51</v>
      </c>
      <c r="M694" t="s">
        <v>5468</v>
      </c>
      <c r="N694" t="s">
        <v>5469</v>
      </c>
      <c r="O694" t="s">
        <v>5475</v>
      </c>
    </row>
    <row r="695" spans="1:15" x14ac:dyDescent="0.3">
      <c r="A695" t="s">
        <v>695</v>
      </c>
      <c r="B695" t="s">
        <v>2055</v>
      </c>
      <c r="C695" t="s">
        <v>2677</v>
      </c>
      <c r="D695" t="s">
        <v>3887</v>
      </c>
      <c r="E695" t="s">
        <v>4558</v>
      </c>
      <c r="F695" t="s">
        <v>4580</v>
      </c>
      <c r="G695" t="s">
        <v>4587</v>
      </c>
      <c r="H695" t="s">
        <v>4596</v>
      </c>
      <c r="I695">
        <v>3</v>
      </c>
      <c r="J695">
        <v>15.6</v>
      </c>
      <c r="K695">
        <v>0.1</v>
      </c>
      <c r="L695">
        <v>12.39</v>
      </c>
      <c r="M695" t="s">
        <v>5462</v>
      </c>
      <c r="N695" t="s">
        <v>5471</v>
      </c>
      <c r="O695" t="s">
        <v>5476</v>
      </c>
    </row>
    <row r="696" spans="1:15" x14ac:dyDescent="0.3">
      <c r="A696" t="s">
        <v>696</v>
      </c>
      <c r="B696" t="s">
        <v>2056</v>
      </c>
      <c r="C696" t="s">
        <v>2875</v>
      </c>
      <c r="D696" t="s">
        <v>3888</v>
      </c>
      <c r="E696" t="s">
        <v>4550</v>
      </c>
      <c r="F696" t="s">
        <v>4573</v>
      </c>
      <c r="G696" t="s">
        <v>4585</v>
      </c>
      <c r="H696" t="s">
        <v>4590</v>
      </c>
      <c r="I696">
        <v>3</v>
      </c>
      <c r="J696">
        <v>13.38</v>
      </c>
      <c r="K696">
        <v>0</v>
      </c>
      <c r="M696" t="s">
        <v>5462</v>
      </c>
      <c r="O696" t="s">
        <v>5477</v>
      </c>
    </row>
    <row r="697" spans="1:15" x14ac:dyDescent="0.3">
      <c r="A697" t="s">
        <v>697</v>
      </c>
      <c r="B697" t="s">
        <v>1915</v>
      </c>
      <c r="C697" t="s">
        <v>3052</v>
      </c>
      <c r="D697" t="s">
        <v>3889</v>
      </c>
      <c r="E697" t="s">
        <v>4549</v>
      </c>
      <c r="F697" t="s">
        <v>4573</v>
      </c>
      <c r="G697" t="s">
        <v>4585</v>
      </c>
      <c r="H697" t="s">
        <v>4590</v>
      </c>
      <c r="I697">
        <v>2</v>
      </c>
      <c r="J697" t="s">
        <v>5036</v>
      </c>
      <c r="K697">
        <v>0.05</v>
      </c>
      <c r="L697">
        <v>6.79</v>
      </c>
      <c r="M697" t="s">
        <v>5465</v>
      </c>
      <c r="O697" t="s">
        <v>5476</v>
      </c>
    </row>
    <row r="698" spans="1:15" x14ac:dyDescent="0.3">
      <c r="A698" t="s">
        <v>698</v>
      </c>
      <c r="B698" t="s">
        <v>2057</v>
      </c>
      <c r="C698" t="s">
        <v>2840</v>
      </c>
      <c r="E698" t="s">
        <v>4552</v>
      </c>
      <c r="F698" t="s">
        <v>4579</v>
      </c>
      <c r="G698" t="s">
        <v>4587</v>
      </c>
      <c r="H698" t="s">
        <v>4606</v>
      </c>
      <c r="I698">
        <v>3</v>
      </c>
      <c r="J698">
        <v>30.61</v>
      </c>
      <c r="K698">
        <v>0</v>
      </c>
      <c r="L698">
        <v>2.46</v>
      </c>
      <c r="M698" t="s">
        <v>5463</v>
      </c>
      <c r="N698" t="s">
        <v>5471</v>
      </c>
      <c r="O698" t="s">
        <v>5477</v>
      </c>
    </row>
    <row r="699" spans="1:15" x14ac:dyDescent="0.3">
      <c r="A699" t="s">
        <v>699</v>
      </c>
      <c r="B699" t="s">
        <v>2058</v>
      </c>
      <c r="C699" t="s">
        <v>2936</v>
      </c>
      <c r="D699" t="s">
        <v>3890</v>
      </c>
      <c r="E699" t="s">
        <v>4551</v>
      </c>
      <c r="F699" t="s">
        <v>4576</v>
      </c>
      <c r="G699" t="s">
        <v>4583</v>
      </c>
      <c r="H699" t="s">
        <v>4610</v>
      </c>
      <c r="I699">
        <v>3</v>
      </c>
      <c r="J699" t="s">
        <v>5037</v>
      </c>
      <c r="K699" t="s">
        <v>5460</v>
      </c>
      <c r="L699">
        <v>7.57</v>
      </c>
      <c r="M699" t="s">
        <v>5468</v>
      </c>
      <c r="O699" t="s">
        <v>5477</v>
      </c>
    </row>
    <row r="700" spans="1:15" x14ac:dyDescent="0.3">
      <c r="A700" t="s">
        <v>700</v>
      </c>
      <c r="B700" t="s">
        <v>2059</v>
      </c>
      <c r="C700" t="s">
        <v>2888</v>
      </c>
      <c r="D700" t="s">
        <v>3891</v>
      </c>
      <c r="E700" t="s">
        <v>4570</v>
      </c>
      <c r="F700" t="s">
        <v>4574</v>
      </c>
      <c r="G700" t="s">
        <v>4584</v>
      </c>
      <c r="H700" t="s">
        <v>4601</v>
      </c>
      <c r="I700">
        <v>2</v>
      </c>
      <c r="J700" t="s">
        <v>5038</v>
      </c>
      <c r="K700" t="s">
        <v>5460</v>
      </c>
      <c r="L700">
        <v>2.11</v>
      </c>
      <c r="M700" t="s">
        <v>5468</v>
      </c>
      <c r="N700" t="s">
        <v>5474</v>
      </c>
      <c r="O700" t="s">
        <v>5476</v>
      </c>
    </row>
    <row r="701" spans="1:15" x14ac:dyDescent="0.3">
      <c r="A701" t="s">
        <v>701</v>
      </c>
      <c r="B701" t="s">
        <v>2060</v>
      </c>
      <c r="C701" t="s">
        <v>2976</v>
      </c>
      <c r="D701" t="s">
        <v>3892</v>
      </c>
      <c r="E701" t="s">
        <v>4556</v>
      </c>
      <c r="F701" t="s">
        <v>4575</v>
      </c>
      <c r="G701" t="s">
        <v>4587</v>
      </c>
      <c r="H701" t="s">
        <v>4606</v>
      </c>
      <c r="I701">
        <v>1</v>
      </c>
      <c r="J701" t="s">
        <v>5039</v>
      </c>
      <c r="K701">
        <v>0.05</v>
      </c>
      <c r="L701">
        <v>1.03</v>
      </c>
      <c r="M701" t="s">
        <v>5462</v>
      </c>
      <c r="N701" t="s">
        <v>5474</v>
      </c>
      <c r="O701" t="s">
        <v>5475</v>
      </c>
    </row>
    <row r="702" spans="1:15" x14ac:dyDescent="0.3">
      <c r="A702" t="s">
        <v>702</v>
      </c>
      <c r="B702" t="s">
        <v>2061</v>
      </c>
      <c r="C702" t="s">
        <v>3053</v>
      </c>
      <c r="D702" t="s">
        <v>3893</v>
      </c>
      <c r="E702" t="s">
        <v>4566</v>
      </c>
      <c r="F702" t="s">
        <v>4573</v>
      </c>
      <c r="G702" t="s">
        <v>4586</v>
      </c>
      <c r="H702" t="s">
        <v>4599</v>
      </c>
      <c r="I702">
        <v>1</v>
      </c>
      <c r="J702" t="s">
        <v>5040</v>
      </c>
      <c r="K702" t="s">
        <v>5461</v>
      </c>
      <c r="L702">
        <v>2.81</v>
      </c>
      <c r="N702" t="s">
        <v>5470</v>
      </c>
      <c r="O702" t="s">
        <v>5480</v>
      </c>
    </row>
    <row r="703" spans="1:15" x14ac:dyDescent="0.3">
      <c r="A703" t="s">
        <v>703</v>
      </c>
      <c r="B703" t="s">
        <v>2062</v>
      </c>
      <c r="C703" t="s">
        <v>2634</v>
      </c>
      <c r="E703" t="s">
        <v>4565</v>
      </c>
      <c r="G703" t="s">
        <v>4587</v>
      </c>
      <c r="H703" t="s">
        <v>4600</v>
      </c>
      <c r="I703">
        <v>-1</v>
      </c>
      <c r="J703" t="s">
        <v>5041</v>
      </c>
      <c r="K703">
        <v>0.1</v>
      </c>
      <c r="L703">
        <v>11.78</v>
      </c>
      <c r="M703" t="s">
        <v>5468</v>
      </c>
      <c r="N703" t="s">
        <v>5473</v>
      </c>
      <c r="O703" t="s">
        <v>5478</v>
      </c>
    </row>
    <row r="704" spans="1:15" x14ac:dyDescent="0.3">
      <c r="A704" t="s">
        <v>704</v>
      </c>
      <c r="B704" t="s">
        <v>2063</v>
      </c>
      <c r="C704" t="s">
        <v>2997</v>
      </c>
      <c r="D704" t="s">
        <v>3894</v>
      </c>
      <c r="E704" t="s">
        <v>4563</v>
      </c>
      <c r="F704" t="s">
        <v>4573</v>
      </c>
      <c r="G704" t="s">
        <v>4585</v>
      </c>
      <c r="H704" t="s">
        <v>4592</v>
      </c>
      <c r="I704">
        <v>10</v>
      </c>
      <c r="J704">
        <v>6.56</v>
      </c>
      <c r="K704">
        <v>0.15</v>
      </c>
      <c r="L704">
        <v>4.22</v>
      </c>
      <c r="N704" t="s">
        <v>5473</v>
      </c>
      <c r="O704" t="s">
        <v>5475</v>
      </c>
    </row>
    <row r="705" spans="1:15" x14ac:dyDescent="0.3">
      <c r="A705" t="s">
        <v>705</v>
      </c>
      <c r="B705" t="s">
        <v>2064</v>
      </c>
      <c r="C705" t="s">
        <v>2809</v>
      </c>
      <c r="D705" t="s">
        <v>3895</v>
      </c>
      <c r="E705" t="s">
        <v>4570</v>
      </c>
      <c r="F705" t="s">
        <v>4573</v>
      </c>
      <c r="G705" t="s">
        <v>4585</v>
      </c>
      <c r="H705" t="s">
        <v>4591</v>
      </c>
      <c r="I705">
        <v>1</v>
      </c>
      <c r="J705" t="s">
        <v>5042</v>
      </c>
      <c r="K705">
        <v>0</v>
      </c>
      <c r="L705">
        <v>6.85</v>
      </c>
      <c r="M705" t="s">
        <v>5466</v>
      </c>
      <c r="N705" t="s">
        <v>5471</v>
      </c>
      <c r="O705" t="s">
        <v>5480</v>
      </c>
    </row>
    <row r="706" spans="1:15" x14ac:dyDescent="0.3">
      <c r="A706" t="s">
        <v>706</v>
      </c>
      <c r="B706" t="s">
        <v>2065</v>
      </c>
      <c r="C706" t="s">
        <v>2758</v>
      </c>
      <c r="D706" t="s">
        <v>3896</v>
      </c>
      <c r="E706" t="s">
        <v>4568</v>
      </c>
      <c r="F706" t="s">
        <v>4577</v>
      </c>
      <c r="G706" t="s">
        <v>4585</v>
      </c>
      <c r="H706" t="s">
        <v>4592</v>
      </c>
      <c r="I706">
        <v>1</v>
      </c>
      <c r="J706" t="s">
        <v>5043</v>
      </c>
      <c r="K706">
        <v>0</v>
      </c>
      <c r="L706">
        <v>5.45</v>
      </c>
      <c r="M706" t="s">
        <v>5464</v>
      </c>
      <c r="N706" t="s">
        <v>5473</v>
      </c>
      <c r="O706" t="s">
        <v>5477</v>
      </c>
    </row>
    <row r="707" spans="1:15" x14ac:dyDescent="0.3">
      <c r="A707" t="s">
        <v>707</v>
      </c>
      <c r="B707" t="s">
        <v>2066</v>
      </c>
      <c r="C707" t="s">
        <v>2675</v>
      </c>
      <c r="D707" t="s">
        <v>3897</v>
      </c>
      <c r="E707" t="s">
        <v>4571</v>
      </c>
      <c r="F707" t="s">
        <v>4578</v>
      </c>
      <c r="G707" t="s">
        <v>4587</v>
      </c>
      <c r="H707" t="s">
        <v>4606</v>
      </c>
      <c r="I707">
        <v>2</v>
      </c>
      <c r="J707" t="s">
        <v>5044</v>
      </c>
      <c r="K707" t="s">
        <v>5461</v>
      </c>
      <c r="L707">
        <v>11.08</v>
      </c>
      <c r="M707" t="s">
        <v>5466</v>
      </c>
      <c r="N707" t="s">
        <v>5471</v>
      </c>
      <c r="O707" t="s">
        <v>5480</v>
      </c>
    </row>
    <row r="708" spans="1:15" x14ac:dyDescent="0.3">
      <c r="A708" t="s">
        <v>708</v>
      </c>
      <c r="B708" t="s">
        <v>1783</v>
      </c>
      <c r="C708" t="s">
        <v>3043</v>
      </c>
      <c r="E708" t="s">
        <v>4559</v>
      </c>
      <c r="F708" t="s">
        <v>4573</v>
      </c>
      <c r="G708" t="s">
        <v>4583</v>
      </c>
      <c r="H708" t="s">
        <v>4588</v>
      </c>
      <c r="I708">
        <v>3</v>
      </c>
      <c r="J708">
        <v>41.85</v>
      </c>
      <c r="K708">
        <v>0</v>
      </c>
      <c r="L708">
        <v>12.78</v>
      </c>
      <c r="M708" t="s">
        <v>5462</v>
      </c>
      <c r="N708" t="s">
        <v>5472</v>
      </c>
      <c r="O708" t="s">
        <v>5478</v>
      </c>
    </row>
    <row r="709" spans="1:15" x14ac:dyDescent="0.3">
      <c r="A709" t="s">
        <v>709</v>
      </c>
      <c r="B709" t="s">
        <v>2067</v>
      </c>
      <c r="C709" t="s">
        <v>2807</v>
      </c>
      <c r="D709" t="s">
        <v>3898</v>
      </c>
      <c r="E709" t="s">
        <v>4565</v>
      </c>
      <c r="F709" t="s">
        <v>4579</v>
      </c>
      <c r="G709" t="s">
        <v>4587</v>
      </c>
      <c r="H709" t="s">
        <v>4596</v>
      </c>
      <c r="I709">
        <v>4</v>
      </c>
      <c r="J709" t="s">
        <v>5045</v>
      </c>
      <c r="K709" t="s">
        <v>5460</v>
      </c>
      <c r="L709">
        <v>0</v>
      </c>
      <c r="M709" t="s">
        <v>5462</v>
      </c>
      <c r="O709" t="s">
        <v>5479</v>
      </c>
    </row>
    <row r="710" spans="1:15" x14ac:dyDescent="0.3">
      <c r="A710" t="s">
        <v>710</v>
      </c>
      <c r="B710" t="s">
        <v>2068</v>
      </c>
      <c r="C710" t="s">
        <v>2893</v>
      </c>
      <c r="D710" t="s">
        <v>3899</v>
      </c>
      <c r="E710" t="s">
        <v>4557</v>
      </c>
      <c r="F710" t="s">
        <v>4581</v>
      </c>
      <c r="G710" t="s">
        <v>4583</v>
      </c>
      <c r="H710" t="s">
        <v>4604</v>
      </c>
      <c r="I710">
        <v>4</v>
      </c>
      <c r="J710" t="s">
        <v>5046</v>
      </c>
      <c r="K710">
        <v>0.05</v>
      </c>
      <c r="L710">
        <v>4.6399999999999997</v>
      </c>
      <c r="M710" t="s">
        <v>5466</v>
      </c>
      <c r="N710" t="s">
        <v>5473</v>
      </c>
      <c r="O710" t="s">
        <v>5477</v>
      </c>
    </row>
    <row r="711" spans="1:15" x14ac:dyDescent="0.3">
      <c r="A711" t="s">
        <v>711</v>
      </c>
      <c r="B711" t="s">
        <v>2069</v>
      </c>
      <c r="C711" t="s">
        <v>2963</v>
      </c>
      <c r="D711" t="s">
        <v>3900</v>
      </c>
      <c r="E711" t="s">
        <v>4547</v>
      </c>
      <c r="F711" t="s">
        <v>4572</v>
      </c>
      <c r="H711" t="s">
        <v>4604</v>
      </c>
      <c r="I711">
        <v>3</v>
      </c>
      <c r="J711" t="s">
        <v>5047</v>
      </c>
      <c r="K711" t="s">
        <v>5460</v>
      </c>
      <c r="L711">
        <v>8.2899999999999991</v>
      </c>
      <c r="M711" t="s">
        <v>5463</v>
      </c>
      <c r="N711" t="s">
        <v>5472</v>
      </c>
      <c r="O711" t="s">
        <v>5475</v>
      </c>
    </row>
    <row r="712" spans="1:15" x14ac:dyDescent="0.3">
      <c r="A712" t="s">
        <v>712</v>
      </c>
      <c r="B712" t="s">
        <v>2070</v>
      </c>
      <c r="C712" t="s">
        <v>3054</v>
      </c>
      <c r="D712" t="s">
        <v>3901</v>
      </c>
      <c r="E712" t="s">
        <v>4560</v>
      </c>
      <c r="F712" t="s">
        <v>4574</v>
      </c>
      <c r="G712" t="s">
        <v>4586</v>
      </c>
      <c r="H712" t="s">
        <v>4599</v>
      </c>
      <c r="I712">
        <v>4</v>
      </c>
      <c r="J712" t="s">
        <v>5048</v>
      </c>
      <c r="K712" t="s">
        <v>5460</v>
      </c>
      <c r="L712">
        <v>13.41</v>
      </c>
      <c r="M712" t="s">
        <v>5466</v>
      </c>
      <c r="N712" t="s">
        <v>5470</v>
      </c>
      <c r="O712" t="s">
        <v>5480</v>
      </c>
    </row>
    <row r="713" spans="1:15" x14ac:dyDescent="0.3">
      <c r="A713" t="s">
        <v>713</v>
      </c>
      <c r="B713" t="s">
        <v>2071</v>
      </c>
      <c r="C713" t="s">
        <v>3055</v>
      </c>
      <c r="D713" t="s">
        <v>3902</v>
      </c>
      <c r="E713" t="s">
        <v>4547</v>
      </c>
      <c r="G713" t="s">
        <v>4586</v>
      </c>
      <c r="H713" t="s">
        <v>4599</v>
      </c>
      <c r="I713">
        <v>5</v>
      </c>
      <c r="J713" t="s">
        <v>5049</v>
      </c>
      <c r="K713" t="s">
        <v>5460</v>
      </c>
      <c r="L713">
        <v>4.7</v>
      </c>
      <c r="M713" t="s">
        <v>5464</v>
      </c>
      <c r="N713" t="s">
        <v>5473</v>
      </c>
      <c r="O713" t="s">
        <v>5477</v>
      </c>
    </row>
    <row r="714" spans="1:15" x14ac:dyDescent="0.3">
      <c r="A714" t="s">
        <v>714</v>
      </c>
      <c r="B714" t="s">
        <v>2072</v>
      </c>
      <c r="C714" t="s">
        <v>3056</v>
      </c>
      <c r="D714" t="s">
        <v>3903</v>
      </c>
      <c r="E714" t="s">
        <v>4560</v>
      </c>
      <c r="F714" t="s">
        <v>4573</v>
      </c>
      <c r="G714" t="s">
        <v>4585</v>
      </c>
      <c r="H714" t="s">
        <v>4591</v>
      </c>
      <c r="I714">
        <v>3</v>
      </c>
      <c r="J714" t="s">
        <v>5050</v>
      </c>
      <c r="K714">
        <v>0</v>
      </c>
      <c r="L714">
        <v>5.58</v>
      </c>
      <c r="M714" t="s">
        <v>5467</v>
      </c>
      <c r="N714" t="s">
        <v>5470</v>
      </c>
      <c r="O714" t="s">
        <v>5477</v>
      </c>
    </row>
    <row r="715" spans="1:15" x14ac:dyDescent="0.3">
      <c r="A715" t="s">
        <v>715</v>
      </c>
      <c r="B715" t="s">
        <v>2073</v>
      </c>
      <c r="C715" t="s">
        <v>3057</v>
      </c>
      <c r="D715" t="s">
        <v>3904</v>
      </c>
      <c r="E715" t="s">
        <v>4559</v>
      </c>
      <c r="F715" t="s">
        <v>4577</v>
      </c>
      <c r="G715" t="s">
        <v>4586</v>
      </c>
      <c r="H715" t="s">
        <v>4599</v>
      </c>
      <c r="I715">
        <v>2</v>
      </c>
      <c r="J715">
        <v>253.47</v>
      </c>
      <c r="K715">
        <v>0.1</v>
      </c>
      <c r="L715">
        <v>2.23</v>
      </c>
      <c r="M715" t="s">
        <v>5464</v>
      </c>
      <c r="N715" t="s">
        <v>5472</v>
      </c>
      <c r="O715" t="s">
        <v>5477</v>
      </c>
    </row>
    <row r="716" spans="1:15" x14ac:dyDescent="0.3">
      <c r="A716" t="s">
        <v>716</v>
      </c>
      <c r="B716" t="s">
        <v>2074</v>
      </c>
      <c r="C716" t="s">
        <v>3058</v>
      </c>
      <c r="D716" t="s">
        <v>3905</v>
      </c>
      <c r="E716" t="s">
        <v>4552</v>
      </c>
      <c r="F716" t="s">
        <v>4576</v>
      </c>
      <c r="G716" t="s">
        <v>4584</v>
      </c>
      <c r="H716" t="s">
        <v>4595</v>
      </c>
      <c r="I716">
        <v>10</v>
      </c>
      <c r="J716" t="s">
        <v>5051</v>
      </c>
      <c r="K716" t="s">
        <v>5460</v>
      </c>
      <c r="L716">
        <v>1.1499999999999999</v>
      </c>
      <c r="N716" t="s">
        <v>5473</v>
      </c>
      <c r="O716" t="s">
        <v>5477</v>
      </c>
    </row>
    <row r="717" spans="1:15" x14ac:dyDescent="0.3">
      <c r="A717" t="s">
        <v>717</v>
      </c>
      <c r="B717" t="s">
        <v>2075</v>
      </c>
      <c r="C717" t="s">
        <v>3059</v>
      </c>
      <c r="D717" t="s">
        <v>3906</v>
      </c>
      <c r="E717" t="s">
        <v>4559</v>
      </c>
      <c r="F717" t="s">
        <v>4573</v>
      </c>
      <c r="G717" t="s">
        <v>4583</v>
      </c>
      <c r="H717" t="s">
        <v>4605</v>
      </c>
      <c r="I717">
        <v>-1</v>
      </c>
      <c r="J717">
        <v>47.05</v>
      </c>
      <c r="K717">
        <v>0.1</v>
      </c>
      <c r="L717">
        <v>4.1900000000000004</v>
      </c>
      <c r="M717" t="s">
        <v>5467</v>
      </c>
      <c r="N717" t="s">
        <v>5474</v>
      </c>
      <c r="O717" t="s">
        <v>5479</v>
      </c>
    </row>
    <row r="718" spans="1:15" x14ac:dyDescent="0.3">
      <c r="A718" t="s">
        <v>718</v>
      </c>
      <c r="B718" t="s">
        <v>2076</v>
      </c>
      <c r="C718" t="s">
        <v>3019</v>
      </c>
      <c r="D718" t="s">
        <v>3907</v>
      </c>
      <c r="E718" t="s">
        <v>4558</v>
      </c>
      <c r="F718" t="s">
        <v>4572</v>
      </c>
      <c r="G718" t="s">
        <v>4586</v>
      </c>
      <c r="H718" t="s">
        <v>4593</v>
      </c>
      <c r="I718">
        <v>10</v>
      </c>
      <c r="J718" t="s">
        <v>5052</v>
      </c>
      <c r="K718">
        <v>0</v>
      </c>
      <c r="L718">
        <v>3.28</v>
      </c>
      <c r="M718" t="s">
        <v>5462</v>
      </c>
      <c r="N718" t="s">
        <v>5469</v>
      </c>
      <c r="O718" t="s">
        <v>5477</v>
      </c>
    </row>
    <row r="719" spans="1:15" x14ac:dyDescent="0.3">
      <c r="A719" t="s">
        <v>719</v>
      </c>
      <c r="B719" t="s">
        <v>1548</v>
      </c>
      <c r="C719" t="s">
        <v>3013</v>
      </c>
      <c r="D719" t="s">
        <v>3908</v>
      </c>
      <c r="E719" t="s">
        <v>4562</v>
      </c>
      <c r="F719" t="s">
        <v>4575</v>
      </c>
      <c r="G719" t="s">
        <v>4583</v>
      </c>
      <c r="H719" t="s">
        <v>4588</v>
      </c>
      <c r="I719">
        <v>4</v>
      </c>
      <c r="J719">
        <v>41.06</v>
      </c>
      <c r="L719">
        <v>12.69</v>
      </c>
      <c r="M719" t="s">
        <v>5462</v>
      </c>
      <c r="N719" t="s">
        <v>5474</v>
      </c>
      <c r="O719" t="s">
        <v>5480</v>
      </c>
    </row>
    <row r="720" spans="1:15" x14ac:dyDescent="0.3">
      <c r="A720" t="s">
        <v>720</v>
      </c>
      <c r="B720" t="s">
        <v>2077</v>
      </c>
      <c r="C720" t="s">
        <v>2690</v>
      </c>
      <c r="D720" t="s">
        <v>3909</v>
      </c>
      <c r="E720" t="s">
        <v>4549</v>
      </c>
      <c r="F720" t="s">
        <v>4574</v>
      </c>
      <c r="G720" t="s">
        <v>4583</v>
      </c>
      <c r="H720" t="s">
        <v>4588</v>
      </c>
      <c r="I720">
        <v>1</v>
      </c>
      <c r="J720" t="s">
        <v>5053</v>
      </c>
      <c r="K720">
        <v>0.1</v>
      </c>
      <c r="L720">
        <v>5.65</v>
      </c>
      <c r="M720" t="s">
        <v>5462</v>
      </c>
      <c r="N720" t="s">
        <v>5470</v>
      </c>
      <c r="O720" t="s">
        <v>5477</v>
      </c>
    </row>
    <row r="721" spans="1:15" x14ac:dyDescent="0.3">
      <c r="A721" t="s">
        <v>721</v>
      </c>
      <c r="B721" t="s">
        <v>2078</v>
      </c>
      <c r="C721" t="s">
        <v>2725</v>
      </c>
      <c r="D721" t="s">
        <v>3910</v>
      </c>
      <c r="E721" t="s">
        <v>4553</v>
      </c>
      <c r="F721" t="s">
        <v>4577</v>
      </c>
      <c r="G721" t="s">
        <v>4585</v>
      </c>
      <c r="H721" t="s">
        <v>4598</v>
      </c>
      <c r="I721">
        <v>1</v>
      </c>
      <c r="J721" t="s">
        <v>5054</v>
      </c>
      <c r="K721" t="s">
        <v>5460</v>
      </c>
      <c r="L721">
        <v>12.37</v>
      </c>
      <c r="M721" t="s">
        <v>5468</v>
      </c>
      <c r="N721" t="s">
        <v>5469</v>
      </c>
      <c r="O721" t="s">
        <v>5477</v>
      </c>
    </row>
    <row r="722" spans="1:15" x14ac:dyDescent="0.3">
      <c r="A722" t="s">
        <v>722</v>
      </c>
      <c r="B722" t="s">
        <v>2079</v>
      </c>
      <c r="C722" t="s">
        <v>2687</v>
      </c>
      <c r="D722" t="s">
        <v>3911</v>
      </c>
      <c r="E722" t="s">
        <v>4571</v>
      </c>
      <c r="F722" t="s">
        <v>4573</v>
      </c>
      <c r="G722" t="s">
        <v>4583</v>
      </c>
      <c r="H722" t="s">
        <v>4604</v>
      </c>
      <c r="I722">
        <v>1</v>
      </c>
      <c r="J722">
        <v>23.3</v>
      </c>
      <c r="K722">
        <v>0</v>
      </c>
      <c r="L722">
        <v>8.52</v>
      </c>
      <c r="M722" t="s">
        <v>5468</v>
      </c>
      <c r="N722" t="s">
        <v>5469</v>
      </c>
      <c r="O722" t="s">
        <v>5477</v>
      </c>
    </row>
    <row r="723" spans="1:15" x14ac:dyDescent="0.3">
      <c r="A723" t="s">
        <v>723</v>
      </c>
      <c r="B723" t="s">
        <v>2080</v>
      </c>
      <c r="C723" t="s">
        <v>2754</v>
      </c>
      <c r="D723" t="s">
        <v>3912</v>
      </c>
      <c r="E723" t="s">
        <v>4559</v>
      </c>
      <c r="F723" t="s">
        <v>4582</v>
      </c>
      <c r="G723" t="s">
        <v>4587</v>
      </c>
      <c r="H723" t="s">
        <v>4606</v>
      </c>
      <c r="I723">
        <v>3</v>
      </c>
      <c r="J723" t="s">
        <v>5055</v>
      </c>
      <c r="K723" t="s">
        <v>5461</v>
      </c>
      <c r="L723">
        <v>12.21</v>
      </c>
      <c r="M723" t="s">
        <v>5466</v>
      </c>
      <c r="N723" t="s">
        <v>5469</v>
      </c>
      <c r="O723" t="s">
        <v>5475</v>
      </c>
    </row>
    <row r="724" spans="1:15" x14ac:dyDescent="0.3">
      <c r="A724" t="s">
        <v>724</v>
      </c>
      <c r="B724" t="s">
        <v>2081</v>
      </c>
      <c r="C724" t="s">
        <v>2809</v>
      </c>
      <c r="D724" t="s">
        <v>3913</v>
      </c>
      <c r="E724" t="s">
        <v>4554</v>
      </c>
      <c r="F724" t="s">
        <v>4573</v>
      </c>
      <c r="G724" t="s">
        <v>4587</v>
      </c>
      <c r="H724" t="s">
        <v>4606</v>
      </c>
      <c r="I724">
        <v>3</v>
      </c>
      <c r="J724" t="s">
        <v>4766</v>
      </c>
      <c r="K724">
        <v>0.1</v>
      </c>
      <c r="N724" t="s">
        <v>5473</v>
      </c>
      <c r="O724" t="s">
        <v>5477</v>
      </c>
    </row>
    <row r="725" spans="1:15" x14ac:dyDescent="0.3">
      <c r="A725" t="s">
        <v>725</v>
      </c>
      <c r="B725" t="s">
        <v>2082</v>
      </c>
      <c r="C725" t="s">
        <v>3060</v>
      </c>
      <c r="D725" t="s">
        <v>3914</v>
      </c>
      <c r="E725" t="s">
        <v>4565</v>
      </c>
      <c r="F725" t="s">
        <v>4579</v>
      </c>
      <c r="G725" t="s">
        <v>4587</v>
      </c>
      <c r="H725" t="s">
        <v>4600</v>
      </c>
      <c r="I725">
        <v>5</v>
      </c>
      <c r="J725" t="s">
        <v>5056</v>
      </c>
      <c r="L725">
        <v>5.33</v>
      </c>
      <c r="M725" t="s">
        <v>5462</v>
      </c>
      <c r="N725" t="s">
        <v>5474</v>
      </c>
      <c r="O725" t="s">
        <v>5480</v>
      </c>
    </row>
    <row r="726" spans="1:15" x14ac:dyDescent="0.3">
      <c r="A726" t="s">
        <v>726</v>
      </c>
      <c r="B726" t="s">
        <v>2083</v>
      </c>
      <c r="C726" t="s">
        <v>3061</v>
      </c>
      <c r="D726" t="s">
        <v>3915</v>
      </c>
      <c r="E726" t="s">
        <v>4555</v>
      </c>
      <c r="F726" t="s">
        <v>4578</v>
      </c>
      <c r="G726" t="s">
        <v>4584</v>
      </c>
      <c r="H726" t="s">
        <v>4601</v>
      </c>
      <c r="I726">
        <v>1</v>
      </c>
      <c r="J726">
        <v>193.78</v>
      </c>
      <c r="K726">
        <v>0.15</v>
      </c>
      <c r="L726">
        <v>0</v>
      </c>
      <c r="M726" t="s">
        <v>5466</v>
      </c>
      <c r="N726" t="s">
        <v>5473</v>
      </c>
      <c r="O726" t="s">
        <v>5479</v>
      </c>
    </row>
    <row r="727" spans="1:15" x14ac:dyDescent="0.3">
      <c r="A727" t="s">
        <v>727</v>
      </c>
      <c r="B727" t="s">
        <v>2084</v>
      </c>
      <c r="C727" t="s">
        <v>2992</v>
      </c>
      <c r="D727" t="s">
        <v>3916</v>
      </c>
      <c r="E727" t="s">
        <v>4564</v>
      </c>
      <c r="F727" t="s">
        <v>4573</v>
      </c>
      <c r="G727" t="s">
        <v>4584</v>
      </c>
      <c r="H727" t="s">
        <v>4608</v>
      </c>
      <c r="I727">
        <v>3</v>
      </c>
      <c r="J727">
        <v>18.670000000000002</v>
      </c>
      <c r="K727">
        <v>0.15</v>
      </c>
      <c r="L727">
        <v>2.63</v>
      </c>
      <c r="M727" t="s">
        <v>5462</v>
      </c>
      <c r="N727" t="s">
        <v>5469</v>
      </c>
      <c r="O727" t="s">
        <v>5480</v>
      </c>
    </row>
    <row r="728" spans="1:15" x14ac:dyDescent="0.3">
      <c r="A728" t="s">
        <v>728</v>
      </c>
      <c r="B728" t="s">
        <v>2085</v>
      </c>
      <c r="C728" t="s">
        <v>3062</v>
      </c>
      <c r="D728" t="s">
        <v>3917</v>
      </c>
      <c r="E728" t="s">
        <v>4554</v>
      </c>
      <c r="F728" t="s">
        <v>4573</v>
      </c>
      <c r="G728" t="s">
        <v>4585</v>
      </c>
      <c r="H728" t="s">
        <v>4592</v>
      </c>
      <c r="I728">
        <v>1</v>
      </c>
      <c r="J728">
        <v>6.63</v>
      </c>
      <c r="L728">
        <v>2.79</v>
      </c>
      <c r="M728" t="s">
        <v>5468</v>
      </c>
      <c r="N728" t="s">
        <v>5472</v>
      </c>
      <c r="O728" t="s">
        <v>5477</v>
      </c>
    </row>
    <row r="729" spans="1:15" x14ac:dyDescent="0.3">
      <c r="A729" t="s">
        <v>729</v>
      </c>
      <c r="B729" t="s">
        <v>2086</v>
      </c>
      <c r="C729" t="s">
        <v>3010</v>
      </c>
      <c r="D729" t="s">
        <v>3918</v>
      </c>
      <c r="E729" t="s">
        <v>4547</v>
      </c>
      <c r="F729" t="s">
        <v>4572</v>
      </c>
      <c r="G729" t="s">
        <v>4586</v>
      </c>
      <c r="H729" t="s">
        <v>4597</v>
      </c>
      <c r="I729">
        <v>2</v>
      </c>
      <c r="J729" t="s">
        <v>5057</v>
      </c>
      <c r="K729">
        <v>0.05</v>
      </c>
      <c r="L729">
        <v>1.76</v>
      </c>
      <c r="M729" t="s">
        <v>5462</v>
      </c>
      <c r="N729" t="s">
        <v>5470</v>
      </c>
      <c r="O729" t="s">
        <v>5479</v>
      </c>
    </row>
    <row r="730" spans="1:15" x14ac:dyDescent="0.3">
      <c r="A730" t="s">
        <v>730</v>
      </c>
      <c r="B730" t="s">
        <v>2087</v>
      </c>
      <c r="C730" t="s">
        <v>2750</v>
      </c>
      <c r="D730" t="s">
        <v>3919</v>
      </c>
      <c r="E730" t="s">
        <v>4558</v>
      </c>
      <c r="F730" t="s">
        <v>4580</v>
      </c>
      <c r="G730" t="s">
        <v>4585</v>
      </c>
      <c r="H730" t="s">
        <v>4592</v>
      </c>
      <c r="I730">
        <v>10</v>
      </c>
      <c r="J730" t="s">
        <v>5058</v>
      </c>
      <c r="K730" t="s">
        <v>5460</v>
      </c>
      <c r="L730">
        <v>7.49</v>
      </c>
      <c r="N730" t="s">
        <v>5473</v>
      </c>
      <c r="O730" t="s">
        <v>5479</v>
      </c>
    </row>
    <row r="731" spans="1:15" x14ac:dyDescent="0.3">
      <c r="A731" t="s">
        <v>731</v>
      </c>
      <c r="B731" t="s">
        <v>2088</v>
      </c>
      <c r="C731" t="s">
        <v>2710</v>
      </c>
      <c r="D731" t="s">
        <v>3920</v>
      </c>
      <c r="E731" t="s">
        <v>4565</v>
      </c>
      <c r="F731" t="s">
        <v>4576</v>
      </c>
      <c r="G731" t="s">
        <v>4585</v>
      </c>
      <c r="H731" t="s">
        <v>4592</v>
      </c>
      <c r="I731">
        <v>4</v>
      </c>
      <c r="J731" t="s">
        <v>5059</v>
      </c>
      <c r="K731">
        <v>0</v>
      </c>
      <c r="L731">
        <v>1.73</v>
      </c>
      <c r="M731" t="s">
        <v>5462</v>
      </c>
      <c r="N731" t="s">
        <v>5471</v>
      </c>
      <c r="O731" t="s">
        <v>5477</v>
      </c>
    </row>
    <row r="732" spans="1:15" x14ac:dyDescent="0.3">
      <c r="A732" t="s">
        <v>732</v>
      </c>
      <c r="B732" t="s">
        <v>2089</v>
      </c>
      <c r="C732" t="s">
        <v>2860</v>
      </c>
      <c r="D732" t="s">
        <v>3921</v>
      </c>
      <c r="E732" t="s">
        <v>4570</v>
      </c>
      <c r="F732" t="s">
        <v>4573</v>
      </c>
      <c r="G732" t="s">
        <v>4587</v>
      </c>
      <c r="H732" t="s">
        <v>4600</v>
      </c>
      <c r="I732">
        <v>3</v>
      </c>
      <c r="J732" t="s">
        <v>5060</v>
      </c>
      <c r="K732">
        <v>0.1</v>
      </c>
      <c r="L732">
        <v>10.59</v>
      </c>
      <c r="M732" t="s">
        <v>5464</v>
      </c>
      <c r="N732" t="s">
        <v>5473</v>
      </c>
      <c r="O732" t="s">
        <v>5477</v>
      </c>
    </row>
    <row r="733" spans="1:15" x14ac:dyDescent="0.3">
      <c r="A733" t="s">
        <v>733</v>
      </c>
      <c r="B733" t="s">
        <v>2090</v>
      </c>
      <c r="C733" t="s">
        <v>3006</v>
      </c>
      <c r="E733" t="s">
        <v>4568</v>
      </c>
      <c r="F733" t="s">
        <v>4573</v>
      </c>
      <c r="G733" t="s">
        <v>4585</v>
      </c>
      <c r="H733" t="s">
        <v>4602</v>
      </c>
      <c r="I733">
        <v>2</v>
      </c>
      <c r="J733" t="s">
        <v>4658</v>
      </c>
      <c r="K733">
        <v>0.1</v>
      </c>
      <c r="L733">
        <v>2.68</v>
      </c>
      <c r="M733" t="s">
        <v>5462</v>
      </c>
      <c r="O733" t="s">
        <v>5478</v>
      </c>
    </row>
    <row r="734" spans="1:15" x14ac:dyDescent="0.3">
      <c r="A734" t="s">
        <v>734</v>
      </c>
      <c r="B734" t="s">
        <v>2091</v>
      </c>
      <c r="C734" t="s">
        <v>2740</v>
      </c>
      <c r="D734" t="s">
        <v>3922</v>
      </c>
      <c r="E734" t="s">
        <v>4549</v>
      </c>
      <c r="F734" t="s">
        <v>4573</v>
      </c>
      <c r="G734" t="s">
        <v>4585</v>
      </c>
      <c r="H734" t="s">
        <v>4602</v>
      </c>
      <c r="I734">
        <v>3</v>
      </c>
      <c r="J734" t="s">
        <v>5061</v>
      </c>
      <c r="K734">
        <v>0.1</v>
      </c>
      <c r="M734" t="s">
        <v>5467</v>
      </c>
      <c r="O734" t="s">
        <v>5477</v>
      </c>
    </row>
    <row r="735" spans="1:15" x14ac:dyDescent="0.3">
      <c r="A735" t="s">
        <v>735</v>
      </c>
      <c r="B735" t="s">
        <v>2092</v>
      </c>
      <c r="C735" t="s">
        <v>2710</v>
      </c>
      <c r="D735" t="s">
        <v>3923</v>
      </c>
      <c r="E735" t="s">
        <v>4552</v>
      </c>
      <c r="F735" t="s">
        <v>4579</v>
      </c>
      <c r="G735" t="s">
        <v>4586</v>
      </c>
      <c r="H735" t="s">
        <v>4593</v>
      </c>
      <c r="I735">
        <v>-1</v>
      </c>
      <c r="J735">
        <v>114.49</v>
      </c>
      <c r="K735">
        <v>0</v>
      </c>
      <c r="L735">
        <v>7.25</v>
      </c>
      <c r="N735" t="s">
        <v>5471</v>
      </c>
      <c r="O735" t="s">
        <v>5477</v>
      </c>
    </row>
    <row r="736" spans="1:15" x14ac:dyDescent="0.3">
      <c r="A736" t="s">
        <v>736</v>
      </c>
      <c r="B736" t="s">
        <v>2093</v>
      </c>
      <c r="C736" t="s">
        <v>2849</v>
      </c>
      <c r="D736" t="s">
        <v>3924</v>
      </c>
      <c r="E736" t="s">
        <v>4552</v>
      </c>
      <c r="F736" t="s">
        <v>4576</v>
      </c>
      <c r="G736" t="s">
        <v>4585</v>
      </c>
      <c r="H736" t="s">
        <v>4590</v>
      </c>
      <c r="I736">
        <v>2</v>
      </c>
      <c r="J736">
        <v>14.55</v>
      </c>
      <c r="K736">
        <v>0.05</v>
      </c>
      <c r="L736">
        <v>9.58</v>
      </c>
      <c r="M736" t="s">
        <v>5463</v>
      </c>
      <c r="N736" t="s">
        <v>5470</v>
      </c>
      <c r="O736" t="s">
        <v>5475</v>
      </c>
    </row>
    <row r="737" spans="1:15" x14ac:dyDescent="0.3">
      <c r="A737" t="s">
        <v>737</v>
      </c>
      <c r="B737" t="s">
        <v>2094</v>
      </c>
      <c r="C737" t="s">
        <v>3063</v>
      </c>
      <c r="D737" t="s">
        <v>3925</v>
      </c>
      <c r="E737" t="s">
        <v>4565</v>
      </c>
      <c r="F737" t="s">
        <v>4575</v>
      </c>
      <c r="G737" t="s">
        <v>4586</v>
      </c>
      <c r="H737" t="s">
        <v>4609</v>
      </c>
      <c r="I737">
        <v>1</v>
      </c>
      <c r="J737" t="s">
        <v>5062</v>
      </c>
      <c r="K737">
        <v>0</v>
      </c>
      <c r="L737">
        <v>4.16</v>
      </c>
      <c r="M737" t="s">
        <v>5463</v>
      </c>
      <c r="N737" t="s">
        <v>5471</v>
      </c>
      <c r="O737" t="s">
        <v>5477</v>
      </c>
    </row>
    <row r="738" spans="1:15" x14ac:dyDescent="0.3">
      <c r="A738" t="s">
        <v>738</v>
      </c>
      <c r="B738" t="s">
        <v>2095</v>
      </c>
      <c r="C738" t="s">
        <v>3064</v>
      </c>
      <c r="D738" t="s">
        <v>3926</v>
      </c>
      <c r="E738" t="s">
        <v>4547</v>
      </c>
      <c r="F738" t="s">
        <v>4581</v>
      </c>
      <c r="G738" t="s">
        <v>4583</v>
      </c>
      <c r="H738" t="s">
        <v>4610</v>
      </c>
      <c r="I738">
        <v>1</v>
      </c>
      <c r="J738">
        <v>80.5</v>
      </c>
      <c r="K738">
        <v>0.1</v>
      </c>
      <c r="L738">
        <v>13.91</v>
      </c>
      <c r="M738" t="s">
        <v>5464</v>
      </c>
      <c r="N738" t="s">
        <v>5474</v>
      </c>
      <c r="O738" t="s">
        <v>5480</v>
      </c>
    </row>
    <row r="739" spans="1:15" x14ac:dyDescent="0.3">
      <c r="A739" t="s">
        <v>739</v>
      </c>
      <c r="B739" t="s">
        <v>2096</v>
      </c>
      <c r="C739" t="s">
        <v>2933</v>
      </c>
      <c r="D739" t="s">
        <v>3927</v>
      </c>
      <c r="E739" t="s">
        <v>4564</v>
      </c>
      <c r="F739" t="s">
        <v>4573</v>
      </c>
      <c r="G739" t="s">
        <v>4583</v>
      </c>
      <c r="H739" t="s">
        <v>4588</v>
      </c>
      <c r="I739">
        <v>1</v>
      </c>
      <c r="J739" t="s">
        <v>5063</v>
      </c>
      <c r="K739">
        <v>0</v>
      </c>
      <c r="L739">
        <v>0</v>
      </c>
      <c r="M739" t="s">
        <v>5467</v>
      </c>
      <c r="N739" t="s">
        <v>5471</v>
      </c>
      <c r="O739" t="s">
        <v>5479</v>
      </c>
    </row>
    <row r="740" spans="1:15" x14ac:dyDescent="0.3">
      <c r="A740" t="s">
        <v>740</v>
      </c>
      <c r="B740" t="s">
        <v>2097</v>
      </c>
      <c r="C740" t="s">
        <v>2675</v>
      </c>
      <c r="D740" t="s">
        <v>3928</v>
      </c>
      <c r="E740" t="s">
        <v>4569</v>
      </c>
      <c r="F740" t="s">
        <v>4580</v>
      </c>
      <c r="G740" t="s">
        <v>4585</v>
      </c>
      <c r="H740" t="s">
        <v>4591</v>
      </c>
      <c r="I740">
        <v>5</v>
      </c>
      <c r="J740" t="s">
        <v>5064</v>
      </c>
      <c r="K740">
        <v>0.1</v>
      </c>
      <c r="L740">
        <v>5.73</v>
      </c>
      <c r="M740" t="s">
        <v>5464</v>
      </c>
      <c r="N740" t="s">
        <v>5469</v>
      </c>
      <c r="O740" t="s">
        <v>5477</v>
      </c>
    </row>
    <row r="741" spans="1:15" x14ac:dyDescent="0.3">
      <c r="A741" t="s">
        <v>741</v>
      </c>
      <c r="B741" t="s">
        <v>2098</v>
      </c>
      <c r="C741" t="s">
        <v>3065</v>
      </c>
      <c r="D741" t="s">
        <v>3929</v>
      </c>
      <c r="E741" t="s">
        <v>4558</v>
      </c>
      <c r="F741" t="s">
        <v>4572</v>
      </c>
      <c r="G741" t="s">
        <v>4584</v>
      </c>
      <c r="H741" t="s">
        <v>4589</v>
      </c>
      <c r="I741">
        <v>2</v>
      </c>
      <c r="J741" t="s">
        <v>5065</v>
      </c>
      <c r="L741">
        <v>2.11</v>
      </c>
      <c r="M741" t="s">
        <v>5465</v>
      </c>
      <c r="O741" t="s">
        <v>5477</v>
      </c>
    </row>
    <row r="742" spans="1:15" x14ac:dyDescent="0.3">
      <c r="A742" t="s">
        <v>742</v>
      </c>
      <c r="B742" t="s">
        <v>2099</v>
      </c>
      <c r="C742" t="s">
        <v>2645</v>
      </c>
      <c r="D742" t="s">
        <v>3930</v>
      </c>
      <c r="E742" t="s">
        <v>4553</v>
      </c>
      <c r="F742" t="s">
        <v>4573</v>
      </c>
      <c r="H742" t="s">
        <v>4609</v>
      </c>
      <c r="I742">
        <v>1</v>
      </c>
      <c r="J742" t="s">
        <v>5066</v>
      </c>
      <c r="K742">
        <v>0.15</v>
      </c>
      <c r="M742" t="s">
        <v>5467</v>
      </c>
      <c r="N742" t="s">
        <v>5469</v>
      </c>
      <c r="O742" t="s">
        <v>5477</v>
      </c>
    </row>
    <row r="743" spans="1:15" x14ac:dyDescent="0.3">
      <c r="A743" t="s">
        <v>743</v>
      </c>
      <c r="B743" t="s">
        <v>2100</v>
      </c>
      <c r="C743" t="s">
        <v>2629</v>
      </c>
      <c r="D743" t="s">
        <v>3931</v>
      </c>
      <c r="E743" t="s">
        <v>4555</v>
      </c>
      <c r="F743" t="s">
        <v>4578</v>
      </c>
      <c r="G743" t="s">
        <v>4584</v>
      </c>
      <c r="H743" t="s">
        <v>4595</v>
      </c>
      <c r="I743">
        <v>10</v>
      </c>
      <c r="J743">
        <v>42.4</v>
      </c>
      <c r="K743">
        <v>0</v>
      </c>
      <c r="L743">
        <v>2.94</v>
      </c>
      <c r="M743" t="s">
        <v>5463</v>
      </c>
      <c r="N743" t="s">
        <v>5469</v>
      </c>
      <c r="O743" t="s">
        <v>5477</v>
      </c>
    </row>
    <row r="744" spans="1:15" x14ac:dyDescent="0.3">
      <c r="A744" t="s">
        <v>370</v>
      </c>
      <c r="B744" t="s">
        <v>1636</v>
      </c>
      <c r="C744" t="s">
        <v>2897</v>
      </c>
      <c r="D744" t="s">
        <v>3593</v>
      </c>
      <c r="E744" t="s">
        <v>4549</v>
      </c>
      <c r="F744" t="s">
        <v>4573</v>
      </c>
      <c r="G744" t="s">
        <v>4584</v>
      </c>
      <c r="H744" t="s">
        <v>4608</v>
      </c>
      <c r="I744">
        <v>3</v>
      </c>
      <c r="J744" t="s">
        <v>4843</v>
      </c>
      <c r="K744">
        <v>0.1</v>
      </c>
      <c r="L744">
        <v>7.75</v>
      </c>
      <c r="M744" t="s">
        <v>5468</v>
      </c>
      <c r="N744" t="s">
        <v>5473</v>
      </c>
      <c r="O744" t="s">
        <v>5478</v>
      </c>
    </row>
    <row r="745" spans="1:15" x14ac:dyDescent="0.3">
      <c r="A745" t="s">
        <v>744</v>
      </c>
      <c r="B745" t="s">
        <v>2101</v>
      </c>
      <c r="C745" t="s">
        <v>3041</v>
      </c>
      <c r="D745" t="s">
        <v>3932</v>
      </c>
      <c r="E745" t="s">
        <v>4566</v>
      </c>
      <c r="F745" t="s">
        <v>4577</v>
      </c>
      <c r="G745" t="s">
        <v>4586</v>
      </c>
      <c r="H745" t="s">
        <v>4609</v>
      </c>
      <c r="I745">
        <v>2</v>
      </c>
      <c r="J745">
        <v>130.86000000000001</v>
      </c>
      <c r="L745">
        <v>0.28000000000000003</v>
      </c>
      <c r="M745" t="s">
        <v>5463</v>
      </c>
      <c r="N745" t="s">
        <v>5474</v>
      </c>
      <c r="O745" t="s">
        <v>5478</v>
      </c>
    </row>
    <row r="746" spans="1:15" x14ac:dyDescent="0.3">
      <c r="A746" t="s">
        <v>745</v>
      </c>
      <c r="B746" t="s">
        <v>2102</v>
      </c>
      <c r="C746" t="s">
        <v>2728</v>
      </c>
      <c r="D746" t="s">
        <v>3933</v>
      </c>
      <c r="E746" t="s">
        <v>4561</v>
      </c>
      <c r="F746" t="s">
        <v>4572</v>
      </c>
      <c r="G746" t="s">
        <v>4584</v>
      </c>
      <c r="H746" t="s">
        <v>4607</v>
      </c>
      <c r="I746">
        <v>2</v>
      </c>
      <c r="J746">
        <v>25.97</v>
      </c>
      <c r="K746" t="s">
        <v>5460</v>
      </c>
      <c r="L746">
        <v>7.04</v>
      </c>
      <c r="M746" t="s">
        <v>5465</v>
      </c>
      <c r="N746" t="s">
        <v>5473</v>
      </c>
      <c r="O746" t="s">
        <v>5475</v>
      </c>
    </row>
    <row r="747" spans="1:15" x14ac:dyDescent="0.3">
      <c r="A747" t="s">
        <v>746</v>
      </c>
      <c r="B747" t="s">
        <v>2103</v>
      </c>
      <c r="C747" t="s">
        <v>3066</v>
      </c>
      <c r="D747" t="s">
        <v>3934</v>
      </c>
      <c r="E747" t="s">
        <v>4548</v>
      </c>
      <c r="F747" t="s">
        <v>4578</v>
      </c>
      <c r="G747" t="s">
        <v>4585</v>
      </c>
      <c r="H747" t="s">
        <v>4591</v>
      </c>
      <c r="I747">
        <v>4</v>
      </c>
      <c r="J747">
        <v>8.08</v>
      </c>
      <c r="K747">
        <v>0.1</v>
      </c>
      <c r="L747">
        <v>14.69</v>
      </c>
      <c r="M747" t="s">
        <v>5468</v>
      </c>
      <c r="N747" t="s">
        <v>5471</v>
      </c>
      <c r="O747" t="s">
        <v>5480</v>
      </c>
    </row>
    <row r="748" spans="1:15" x14ac:dyDescent="0.3">
      <c r="A748" t="s">
        <v>747</v>
      </c>
      <c r="B748" t="s">
        <v>2104</v>
      </c>
      <c r="C748" t="s">
        <v>3067</v>
      </c>
      <c r="D748" t="s">
        <v>3935</v>
      </c>
      <c r="E748" t="s">
        <v>4568</v>
      </c>
      <c r="F748" t="s">
        <v>4573</v>
      </c>
      <c r="G748" t="s">
        <v>4584</v>
      </c>
      <c r="H748" t="s">
        <v>4608</v>
      </c>
      <c r="I748">
        <v>10</v>
      </c>
      <c r="J748">
        <v>19.559999999999999</v>
      </c>
      <c r="K748" t="s">
        <v>5461</v>
      </c>
      <c r="L748">
        <v>0.25</v>
      </c>
      <c r="M748" t="s">
        <v>5465</v>
      </c>
      <c r="N748" t="s">
        <v>5469</v>
      </c>
      <c r="O748" t="s">
        <v>5479</v>
      </c>
    </row>
    <row r="749" spans="1:15" x14ac:dyDescent="0.3">
      <c r="A749" t="s">
        <v>748</v>
      </c>
      <c r="B749" t="s">
        <v>1850</v>
      </c>
      <c r="C749" t="s">
        <v>2795</v>
      </c>
      <c r="D749" t="s">
        <v>3936</v>
      </c>
      <c r="E749" t="s">
        <v>4568</v>
      </c>
      <c r="F749" t="s">
        <v>4577</v>
      </c>
      <c r="G749" t="s">
        <v>4587</v>
      </c>
      <c r="H749" t="s">
        <v>4600</v>
      </c>
      <c r="I749">
        <v>1</v>
      </c>
      <c r="J749">
        <v>13.25</v>
      </c>
      <c r="K749">
        <v>0</v>
      </c>
      <c r="L749">
        <v>6.95</v>
      </c>
      <c r="M749" t="s">
        <v>5466</v>
      </c>
      <c r="N749" t="s">
        <v>5474</v>
      </c>
      <c r="O749" t="s">
        <v>5475</v>
      </c>
    </row>
    <row r="750" spans="1:15" x14ac:dyDescent="0.3">
      <c r="A750" t="s">
        <v>749</v>
      </c>
      <c r="B750" t="s">
        <v>2105</v>
      </c>
      <c r="C750" t="s">
        <v>3068</v>
      </c>
      <c r="D750" t="s">
        <v>3937</v>
      </c>
      <c r="E750" t="s">
        <v>4563</v>
      </c>
      <c r="F750" t="s">
        <v>4573</v>
      </c>
      <c r="G750" t="s">
        <v>4583</v>
      </c>
      <c r="H750" t="s">
        <v>4605</v>
      </c>
      <c r="I750">
        <v>1</v>
      </c>
      <c r="J750">
        <v>45.94</v>
      </c>
      <c r="K750">
        <v>0</v>
      </c>
      <c r="L750">
        <v>9.58</v>
      </c>
      <c r="M750" t="s">
        <v>5462</v>
      </c>
      <c r="O750" t="s">
        <v>5476</v>
      </c>
    </row>
    <row r="751" spans="1:15" x14ac:dyDescent="0.3">
      <c r="A751" t="s">
        <v>750</v>
      </c>
      <c r="B751" t="s">
        <v>2106</v>
      </c>
      <c r="C751" t="s">
        <v>3069</v>
      </c>
      <c r="D751" t="s">
        <v>3938</v>
      </c>
      <c r="E751" t="s">
        <v>4557</v>
      </c>
      <c r="F751" t="s">
        <v>4581</v>
      </c>
      <c r="G751" t="s">
        <v>4586</v>
      </c>
      <c r="H751" t="s">
        <v>4593</v>
      </c>
      <c r="I751">
        <v>-1</v>
      </c>
      <c r="J751" t="s">
        <v>5067</v>
      </c>
      <c r="K751">
        <v>0.15</v>
      </c>
      <c r="L751">
        <v>14.44</v>
      </c>
      <c r="M751" t="s">
        <v>5462</v>
      </c>
      <c r="N751" t="s">
        <v>5474</v>
      </c>
      <c r="O751" t="s">
        <v>5477</v>
      </c>
    </row>
    <row r="752" spans="1:15" x14ac:dyDescent="0.3">
      <c r="A752" t="s">
        <v>751</v>
      </c>
      <c r="B752" t="s">
        <v>2107</v>
      </c>
      <c r="C752" t="s">
        <v>3070</v>
      </c>
      <c r="D752" t="s">
        <v>3939</v>
      </c>
      <c r="E752" t="s">
        <v>4557</v>
      </c>
      <c r="F752" t="s">
        <v>4581</v>
      </c>
      <c r="G752" t="s">
        <v>4583</v>
      </c>
      <c r="H752" t="s">
        <v>4605</v>
      </c>
      <c r="I752">
        <v>2</v>
      </c>
      <c r="J752" t="s">
        <v>5068</v>
      </c>
      <c r="K752" t="s">
        <v>5461</v>
      </c>
      <c r="L752">
        <v>2.17</v>
      </c>
      <c r="M752" t="s">
        <v>5462</v>
      </c>
      <c r="N752" t="s">
        <v>5471</v>
      </c>
      <c r="O752" t="s">
        <v>5480</v>
      </c>
    </row>
    <row r="753" spans="1:15" x14ac:dyDescent="0.3">
      <c r="A753" t="s">
        <v>752</v>
      </c>
      <c r="B753" t="s">
        <v>1482</v>
      </c>
      <c r="C753" t="s">
        <v>2632</v>
      </c>
      <c r="D753" t="s">
        <v>3940</v>
      </c>
      <c r="E753" t="s">
        <v>4547</v>
      </c>
      <c r="F753" t="s">
        <v>4581</v>
      </c>
      <c r="H753" t="s">
        <v>4594</v>
      </c>
      <c r="I753">
        <v>2</v>
      </c>
      <c r="J753" t="s">
        <v>5069</v>
      </c>
      <c r="K753">
        <v>0</v>
      </c>
      <c r="L753">
        <v>11.32</v>
      </c>
      <c r="M753" t="s">
        <v>5462</v>
      </c>
      <c r="N753" t="s">
        <v>5472</v>
      </c>
      <c r="O753" t="s">
        <v>5477</v>
      </c>
    </row>
    <row r="754" spans="1:15" x14ac:dyDescent="0.3">
      <c r="A754" t="s">
        <v>753</v>
      </c>
      <c r="B754" t="s">
        <v>1794</v>
      </c>
      <c r="C754" t="s">
        <v>2826</v>
      </c>
      <c r="D754" t="s">
        <v>3941</v>
      </c>
      <c r="E754" t="s">
        <v>4556</v>
      </c>
      <c r="F754" t="s">
        <v>4579</v>
      </c>
      <c r="G754" t="s">
        <v>4583</v>
      </c>
      <c r="H754" t="s">
        <v>4604</v>
      </c>
      <c r="I754">
        <v>4</v>
      </c>
      <c r="J754" t="s">
        <v>5070</v>
      </c>
      <c r="K754">
        <v>0.1</v>
      </c>
      <c r="L754">
        <v>4.18</v>
      </c>
      <c r="M754" t="s">
        <v>5464</v>
      </c>
      <c r="N754" t="s">
        <v>5474</v>
      </c>
      <c r="O754" t="s">
        <v>5477</v>
      </c>
    </row>
    <row r="755" spans="1:15" x14ac:dyDescent="0.3">
      <c r="A755" t="s">
        <v>754</v>
      </c>
      <c r="B755" t="s">
        <v>2108</v>
      </c>
      <c r="C755" t="s">
        <v>2958</v>
      </c>
      <c r="D755" t="s">
        <v>3942</v>
      </c>
      <c r="E755" t="s">
        <v>4549</v>
      </c>
      <c r="F755" t="s">
        <v>4574</v>
      </c>
      <c r="G755" t="s">
        <v>4584</v>
      </c>
      <c r="H755" t="s">
        <v>4595</v>
      </c>
      <c r="I755">
        <v>1</v>
      </c>
      <c r="J755" t="s">
        <v>5071</v>
      </c>
      <c r="K755" t="s">
        <v>5460</v>
      </c>
      <c r="L755">
        <v>8.36</v>
      </c>
      <c r="M755" t="s">
        <v>5463</v>
      </c>
      <c r="N755" t="s">
        <v>5472</v>
      </c>
      <c r="O755" t="s">
        <v>5479</v>
      </c>
    </row>
    <row r="756" spans="1:15" x14ac:dyDescent="0.3">
      <c r="A756" t="s">
        <v>755</v>
      </c>
      <c r="B756" t="s">
        <v>1974</v>
      </c>
      <c r="C756" t="s">
        <v>2930</v>
      </c>
      <c r="D756" t="s">
        <v>3943</v>
      </c>
      <c r="E756" t="s">
        <v>4550</v>
      </c>
      <c r="F756" t="s">
        <v>4573</v>
      </c>
      <c r="G756" t="s">
        <v>4583</v>
      </c>
      <c r="H756" t="s">
        <v>4588</v>
      </c>
      <c r="I756">
        <v>1</v>
      </c>
      <c r="J756" t="s">
        <v>4615</v>
      </c>
      <c r="K756">
        <v>0.15</v>
      </c>
      <c r="L756">
        <v>5.72</v>
      </c>
      <c r="M756" t="s">
        <v>5465</v>
      </c>
      <c r="O756" t="s">
        <v>5475</v>
      </c>
    </row>
    <row r="757" spans="1:15" x14ac:dyDescent="0.3">
      <c r="A757" t="s">
        <v>756</v>
      </c>
      <c r="B757" t="s">
        <v>2109</v>
      </c>
      <c r="C757" t="s">
        <v>3071</v>
      </c>
      <c r="D757" t="s">
        <v>3944</v>
      </c>
      <c r="E757" t="s">
        <v>4552</v>
      </c>
      <c r="F757" t="s">
        <v>4576</v>
      </c>
      <c r="G757" t="s">
        <v>4583</v>
      </c>
      <c r="H757" t="s">
        <v>4610</v>
      </c>
      <c r="I757">
        <v>2</v>
      </c>
      <c r="J757">
        <v>78.42</v>
      </c>
      <c r="K757">
        <v>0.1</v>
      </c>
      <c r="L757">
        <v>11.86</v>
      </c>
      <c r="M757" t="s">
        <v>5463</v>
      </c>
      <c r="O757" t="s">
        <v>5477</v>
      </c>
    </row>
    <row r="758" spans="1:15" x14ac:dyDescent="0.3">
      <c r="A758" t="s">
        <v>757</v>
      </c>
      <c r="B758" t="s">
        <v>2110</v>
      </c>
      <c r="C758" t="s">
        <v>3072</v>
      </c>
      <c r="D758" t="s">
        <v>3945</v>
      </c>
      <c r="E758" t="s">
        <v>4564</v>
      </c>
      <c r="F758" t="s">
        <v>4578</v>
      </c>
      <c r="G758" t="s">
        <v>4583</v>
      </c>
      <c r="H758" t="s">
        <v>4588</v>
      </c>
      <c r="I758">
        <v>1</v>
      </c>
      <c r="J758" t="s">
        <v>5072</v>
      </c>
      <c r="K758">
        <v>0.05</v>
      </c>
      <c r="L758">
        <v>0.37</v>
      </c>
      <c r="O758" t="s">
        <v>5477</v>
      </c>
    </row>
    <row r="759" spans="1:15" x14ac:dyDescent="0.3">
      <c r="A759" t="s">
        <v>758</v>
      </c>
      <c r="B759" t="s">
        <v>2111</v>
      </c>
      <c r="C759" t="s">
        <v>3073</v>
      </c>
      <c r="E759" t="s">
        <v>4568</v>
      </c>
      <c r="F759" t="s">
        <v>4577</v>
      </c>
      <c r="G759" t="s">
        <v>4584</v>
      </c>
      <c r="H759" t="s">
        <v>4608</v>
      </c>
      <c r="I759">
        <v>-1</v>
      </c>
      <c r="J759" t="s">
        <v>5073</v>
      </c>
      <c r="K759">
        <v>0.05</v>
      </c>
      <c r="L759">
        <v>10.44</v>
      </c>
      <c r="M759" t="s">
        <v>5463</v>
      </c>
      <c r="O759" t="s">
        <v>5477</v>
      </c>
    </row>
    <row r="760" spans="1:15" x14ac:dyDescent="0.3">
      <c r="A760" t="s">
        <v>759</v>
      </c>
      <c r="B760" t="s">
        <v>2112</v>
      </c>
      <c r="C760" t="s">
        <v>3010</v>
      </c>
      <c r="D760" t="s">
        <v>3946</v>
      </c>
      <c r="E760" t="s">
        <v>4565</v>
      </c>
      <c r="F760" t="s">
        <v>4579</v>
      </c>
      <c r="G760" t="s">
        <v>4587</v>
      </c>
      <c r="H760" t="s">
        <v>4594</v>
      </c>
      <c r="I760">
        <v>2</v>
      </c>
      <c r="J760" t="s">
        <v>5074</v>
      </c>
      <c r="K760">
        <v>0</v>
      </c>
      <c r="L760">
        <v>0</v>
      </c>
      <c r="M760" t="s">
        <v>5465</v>
      </c>
      <c r="N760" t="s">
        <v>5470</v>
      </c>
      <c r="O760" t="s">
        <v>5477</v>
      </c>
    </row>
    <row r="761" spans="1:15" x14ac:dyDescent="0.3">
      <c r="A761" t="s">
        <v>760</v>
      </c>
      <c r="B761" t="s">
        <v>2113</v>
      </c>
      <c r="C761" t="s">
        <v>2808</v>
      </c>
      <c r="D761" t="s">
        <v>3947</v>
      </c>
      <c r="E761" t="s">
        <v>4565</v>
      </c>
      <c r="F761" t="s">
        <v>4575</v>
      </c>
      <c r="G761" t="s">
        <v>4585</v>
      </c>
      <c r="H761" t="s">
        <v>4592</v>
      </c>
      <c r="I761">
        <v>1</v>
      </c>
      <c r="J761" t="s">
        <v>4751</v>
      </c>
      <c r="K761">
        <v>0</v>
      </c>
      <c r="L761">
        <v>13.34</v>
      </c>
      <c r="M761" t="s">
        <v>5466</v>
      </c>
      <c r="N761" t="s">
        <v>5472</v>
      </c>
      <c r="O761" t="s">
        <v>5477</v>
      </c>
    </row>
    <row r="762" spans="1:15" x14ac:dyDescent="0.3">
      <c r="A762" t="s">
        <v>761</v>
      </c>
      <c r="B762" t="s">
        <v>1873</v>
      </c>
      <c r="C762" t="s">
        <v>2980</v>
      </c>
      <c r="D762" t="s">
        <v>3948</v>
      </c>
      <c r="E762" t="s">
        <v>4566</v>
      </c>
      <c r="F762" t="s">
        <v>4573</v>
      </c>
      <c r="G762" t="s">
        <v>4587</v>
      </c>
      <c r="H762" t="s">
        <v>4600</v>
      </c>
      <c r="I762">
        <v>1</v>
      </c>
      <c r="J762" t="s">
        <v>5075</v>
      </c>
      <c r="K762">
        <v>0</v>
      </c>
      <c r="L762">
        <v>12.19</v>
      </c>
      <c r="M762" t="s">
        <v>5468</v>
      </c>
      <c r="N762" t="s">
        <v>5474</v>
      </c>
      <c r="O762" t="s">
        <v>5477</v>
      </c>
    </row>
    <row r="763" spans="1:15" x14ac:dyDescent="0.3">
      <c r="A763" t="s">
        <v>762</v>
      </c>
      <c r="B763" t="s">
        <v>1510</v>
      </c>
      <c r="C763" t="s">
        <v>3074</v>
      </c>
      <c r="E763" t="s">
        <v>4569</v>
      </c>
      <c r="F763" t="s">
        <v>4581</v>
      </c>
      <c r="G763" t="s">
        <v>4583</v>
      </c>
      <c r="H763" t="s">
        <v>4610</v>
      </c>
      <c r="I763">
        <v>1</v>
      </c>
      <c r="J763">
        <v>77.459999999999994</v>
      </c>
      <c r="K763">
        <v>0</v>
      </c>
      <c r="L763">
        <v>13.39</v>
      </c>
      <c r="M763" t="s">
        <v>5467</v>
      </c>
      <c r="N763" t="s">
        <v>5472</v>
      </c>
      <c r="O763" t="s">
        <v>5477</v>
      </c>
    </row>
    <row r="764" spans="1:15" x14ac:dyDescent="0.3">
      <c r="A764" t="s">
        <v>763</v>
      </c>
      <c r="B764" t="s">
        <v>2114</v>
      </c>
      <c r="C764" t="s">
        <v>3075</v>
      </c>
      <c r="D764" t="s">
        <v>3949</v>
      </c>
      <c r="E764" t="s">
        <v>4557</v>
      </c>
      <c r="F764" t="s">
        <v>4572</v>
      </c>
      <c r="G764" t="s">
        <v>4584</v>
      </c>
      <c r="H764" t="s">
        <v>4589</v>
      </c>
      <c r="I764">
        <v>3</v>
      </c>
      <c r="J764">
        <v>35.82</v>
      </c>
      <c r="K764" t="s">
        <v>5460</v>
      </c>
      <c r="L764">
        <v>12.32</v>
      </c>
      <c r="M764" t="s">
        <v>5467</v>
      </c>
      <c r="N764" t="s">
        <v>5469</v>
      </c>
      <c r="O764" t="s">
        <v>5479</v>
      </c>
    </row>
    <row r="765" spans="1:15" x14ac:dyDescent="0.3">
      <c r="A765" t="s">
        <v>764</v>
      </c>
      <c r="B765" t="s">
        <v>2115</v>
      </c>
      <c r="C765" t="s">
        <v>2724</v>
      </c>
      <c r="D765" t="s">
        <v>3950</v>
      </c>
      <c r="E765" t="s">
        <v>4567</v>
      </c>
      <c r="F765" t="s">
        <v>4573</v>
      </c>
      <c r="G765" t="s">
        <v>4584</v>
      </c>
      <c r="H765" t="s">
        <v>4608</v>
      </c>
      <c r="I765">
        <v>-1</v>
      </c>
      <c r="J765">
        <v>18.09</v>
      </c>
      <c r="K765">
        <v>0</v>
      </c>
      <c r="L765">
        <v>5.37</v>
      </c>
      <c r="M765" t="s">
        <v>5463</v>
      </c>
      <c r="N765" t="s">
        <v>5471</v>
      </c>
      <c r="O765" t="s">
        <v>5477</v>
      </c>
    </row>
    <row r="766" spans="1:15" x14ac:dyDescent="0.3">
      <c r="A766" t="s">
        <v>765</v>
      </c>
      <c r="B766" t="s">
        <v>2116</v>
      </c>
      <c r="C766" t="s">
        <v>3067</v>
      </c>
      <c r="D766" t="s">
        <v>3951</v>
      </c>
      <c r="E766" t="s">
        <v>4563</v>
      </c>
      <c r="F766" t="s">
        <v>4578</v>
      </c>
      <c r="G766" t="s">
        <v>4586</v>
      </c>
      <c r="H766" t="s">
        <v>4593</v>
      </c>
      <c r="I766">
        <v>2</v>
      </c>
      <c r="J766">
        <v>108.72</v>
      </c>
      <c r="K766" t="s">
        <v>5461</v>
      </c>
      <c r="L766">
        <v>2.4</v>
      </c>
      <c r="M766" t="s">
        <v>5465</v>
      </c>
      <c r="N766" t="s">
        <v>5470</v>
      </c>
      <c r="O766" t="s">
        <v>5477</v>
      </c>
    </row>
    <row r="767" spans="1:15" x14ac:dyDescent="0.3">
      <c r="A767" t="s">
        <v>766</v>
      </c>
      <c r="B767" t="s">
        <v>2117</v>
      </c>
      <c r="C767" t="s">
        <v>3076</v>
      </c>
      <c r="E767" t="s">
        <v>4555</v>
      </c>
      <c r="F767" t="s">
        <v>4573</v>
      </c>
      <c r="G767" t="s">
        <v>4586</v>
      </c>
      <c r="H767" t="s">
        <v>4609</v>
      </c>
      <c r="I767">
        <v>1</v>
      </c>
      <c r="J767" t="s">
        <v>4835</v>
      </c>
      <c r="K767">
        <v>0</v>
      </c>
      <c r="L767">
        <v>0.82</v>
      </c>
      <c r="M767" t="s">
        <v>5468</v>
      </c>
      <c r="N767" t="s">
        <v>5472</v>
      </c>
      <c r="O767" t="s">
        <v>5477</v>
      </c>
    </row>
    <row r="768" spans="1:15" x14ac:dyDescent="0.3">
      <c r="A768" t="s">
        <v>767</v>
      </c>
      <c r="B768" t="s">
        <v>1533</v>
      </c>
      <c r="C768" t="s">
        <v>3077</v>
      </c>
      <c r="D768" t="s">
        <v>3952</v>
      </c>
      <c r="E768" t="s">
        <v>4570</v>
      </c>
      <c r="G768" t="s">
        <v>4583</v>
      </c>
      <c r="H768" t="s">
        <v>4610</v>
      </c>
      <c r="I768">
        <v>4</v>
      </c>
      <c r="J768">
        <v>78.5</v>
      </c>
      <c r="K768">
        <v>0</v>
      </c>
      <c r="L768">
        <v>5.29</v>
      </c>
      <c r="M768" t="s">
        <v>5463</v>
      </c>
      <c r="O768" t="s">
        <v>5476</v>
      </c>
    </row>
    <row r="769" spans="1:15" x14ac:dyDescent="0.3">
      <c r="A769" t="s">
        <v>768</v>
      </c>
      <c r="B769" t="s">
        <v>1416</v>
      </c>
      <c r="C769" t="s">
        <v>3078</v>
      </c>
      <c r="D769" t="s">
        <v>3953</v>
      </c>
      <c r="E769" t="s">
        <v>4556</v>
      </c>
      <c r="F769" t="s">
        <v>4575</v>
      </c>
      <c r="G769" t="s">
        <v>4585</v>
      </c>
      <c r="H769" t="s">
        <v>4592</v>
      </c>
      <c r="I769">
        <v>1</v>
      </c>
      <c r="J769">
        <v>6.21</v>
      </c>
      <c r="K769" t="s">
        <v>5461</v>
      </c>
      <c r="L769">
        <v>14.43</v>
      </c>
      <c r="M769" t="s">
        <v>5464</v>
      </c>
      <c r="N769" t="s">
        <v>5470</v>
      </c>
      <c r="O769" t="s">
        <v>5478</v>
      </c>
    </row>
    <row r="770" spans="1:15" x14ac:dyDescent="0.3">
      <c r="A770" t="s">
        <v>769</v>
      </c>
      <c r="B770" t="s">
        <v>1782</v>
      </c>
      <c r="C770" t="s">
        <v>2769</v>
      </c>
      <c r="D770" t="s">
        <v>3954</v>
      </c>
      <c r="E770" t="s">
        <v>4547</v>
      </c>
      <c r="F770" t="s">
        <v>4572</v>
      </c>
      <c r="G770" t="s">
        <v>4583</v>
      </c>
      <c r="H770" t="s">
        <v>4604</v>
      </c>
      <c r="I770">
        <v>4</v>
      </c>
      <c r="J770">
        <v>23.58</v>
      </c>
      <c r="K770">
        <v>0</v>
      </c>
      <c r="L770">
        <v>8.2899999999999991</v>
      </c>
      <c r="M770" t="s">
        <v>5467</v>
      </c>
      <c r="O770" t="s">
        <v>5478</v>
      </c>
    </row>
    <row r="771" spans="1:15" x14ac:dyDescent="0.3">
      <c r="A771" t="s">
        <v>770</v>
      </c>
      <c r="B771" t="s">
        <v>2118</v>
      </c>
      <c r="C771" t="s">
        <v>2714</v>
      </c>
      <c r="D771" t="s">
        <v>3955</v>
      </c>
      <c r="E771" t="s">
        <v>4566</v>
      </c>
      <c r="F771" t="s">
        <v>4582</v>
      </c>
      <c r="G771" t="s">
        <v>4585</v>
      </c>
      <c r="H771" t="s">
        <v>4591</v>
      </c>
      <c r="I771">
        <v>-1</v>
      </c>
      <c r="J771" t="s">
        <v>5076</v>
      </c>
      <c r="K771">
        <v>0.15</v>
      </c>
      <c r="L771">
        <v>6.75</v>
      </c>
      <c r="M771" t="s">
        <v>5463</v>
      </c>
      <c r="O771" t="s">
        <v>5479</v>
      </c>
    </row>
    <row r="772" spans="1:15" x14ac:dyDescent="0.3">
      <c r="A772" t="s">
        <v>771</v>
      </c>
      <c r="B772" t="s">
        <v>2119</v>
      </c>
      <c r="C772" t="s">
        <v>3079</v>
      </c>
      <c r="D772" t="s">
        <v>3956</v>
      </c>
      <c r="E772" t="s">
        <v>4551</v>
      </c>
      <c r="F772" t="s">
        <v>4576</v>
      </c>
      <c r="G772" t="s">
        <v>4587</v>
      </c>
      <c r="H772" t="s">
        <v>4594</v>
      </c>
      <c r="I772">
        <v>3</v>
      </c>
      <c r="J772">
        <v>60.75</v>
      </c>
      <c r="K772">
        <v>0.05</v>
      </c>
      <c r="L772">
        <v>0</v>
      </c>
      <c r="N772" t="s">
        <v>5474</v>
      </c>
      <c r="O772" t="s">
        <v>5476</v>
      </c>
    </row>
    <row r="773" spans="1:15" x14ac:dyDescent="0.3">
      <c r="A773" t="s">
        <v>772</v>
      </c>
      <c r="B773" t="s">
        <v>2120</v>
      </c>
      <c r="C773" t="s">
        <v>3058</v>
      </c>
      <c r="D773" t="s">
        <v>3957</v>
      </c>
      <c r="E773" t="s">
        <v>4563</v>
      </c>
      <c r="F773" t="s">
        <v>4573</v>
      </c>
      <c r="G773" t="s">
        <v>4585</v>
      </c>
      <c r="H773" t="s">
        <v>4598</v>
      </c>
      <c r="I773">
        <v>10</v>
      </c>
      <c r="J773">
        <v>2.96</v>
      </c>
      <c r="K773">
        <v>0.1</v>
      </c>
      <c r="L773">
        <v>12.35</v>
      </c>
      <c r="M773" t="s">
        <v>5465</v>
      </c>
      <c r="N773" t="s">
        <v>5470</v>
      </c>
      <c r="O773" t="s">
        <v>5477</v>
      </c>
    </row>
    <row r="774" spans="1:15" x14ac:dyDescent="0.3">
      <c r="A774" t="s">
        <v>773</v>
      </c>
      <c r="B774" t="s">
        <v>2121</v>
      </c>
      <c r="C774" t="s">
        <v>2631</v>
      </c>
      <c r="D774" t="s">
        <v>3958</v>
      </c>
      <c r="E774" t="s">
        <v>4567</v>
      </c>
      <c r="F774" t="s">
        <v>4573</v>
      </c>
      <c r="G774" t="s">
        <v>4583</v>
      </c>
      <c r="H774" t="s">
        <v>4610</v>
      </c>
      <c r="I774">
        <v>1</v>
      </c>
      <c r="J774" t="s">
        <v>5077</v>
      </c>
      <c r="K774" t="s">
        <v>5460</v>
      </c>
      <c r="L774">
        <v>3.56</v>
      </c>
      <c r="M774" t="s">
        <v>5463</v>
      </c>
      <c r="N774" t="s">
        <v>5474</v>
      </c>
      <c r="O774" t="s">
        <v>5479</v>
      </c>
    </row>
    <row r="775" spans="1:15" x14ac:dyDescent="0.3">
      <c r="A775" t="s">
        <v>774</v>
      </c>
      <c r="B775" t="s">
        <v>2122</v>
      </c>
      <c r="C775" t="s">
        <v>3080</v>
      </c>
      <c r="D775" t="s">
        <v>3959</v>
      </c>
      <c r="E775" t="s">
        <v>4553</v>
      </c>
      <c r="F775" t="s">
        <v>4582</v>
      </c>
      <c r="G775" t="s">
        <v>4585</v>
      </c>
      <c r="H775" t="s">
        <v>4592</v>
      </c>
      <c r="I775">
        <v>3</v>
      </c>
      <c r="J775" t="s">
        <v>4643</v>
      </c>
      <c r="K775">
        <v>0</v>
      </c>
      <c r="L775">
        <v>13.49</v>
      </c>
      <c r="M775" t="s">
        <v>5464</v>
      </c>
      <c r="N775" t="s">
        <v>5471</v>
      </c>
      <c r="O775" t="s">
        <v>5477</v>
      </c>
    </row>
    <row r="776" spans="1:15" x14ac:dyDescent="0.3">
      <c r="A776" t="s">
        <v>775</v>
      </c>
      <c r="B776" t="s">
        <v>1953</v>
      </c>
      <c r="C776" t="s">
        <v>3081</v>
      </c>
      <c r="D776" t="s">
        <v>3960</v>
      </c>
      <c r="E776" t="s">
        <v>4562</v>
      </c>
      <c r="F776" t="s">
        <v>4576</v>
      </c>
      <c r="G776" t="s">
        <v>4585</v>
      </c>
      <c r="H776" t="s">
        <v>4598</v>
      </c>
      <c r="I776">
        <v>1</v>
      </c>
      <c r="J776" t="s">
        <v>5078</v>
      </c>
      <c r="K776" t="s">
        <v>5460</v>
      </c>
      <c r="L776">
        <v>12.07</v>
      </c>
      <c r="M776" t="s">
        <v>5467</v>
      </c>
      <c r="N776" t="s">
        <v>5472</v>
      </c>
      <c r="O776" t="s">
        <v>5477</v>
      </c>
    </row>
    <row r="777" spans="1:15" x14ac:dyDescent="0.3">
      <c r="A777" t="s">
        <v>776</v>
      </c>
      <c r="B777" t="s">
        <v>2123</v>
      </c>
      <c r="C777" t="s">
        <v>2964</v>
      </c>
      <c r="D777" t="s">
        <v>3961</v>
      </c>
      <c r="E777" t="s">
        <v>4568</v>
      </c>
      <c r="F777" t="s">
        <v>4582</v>
      </c>
      <c r="G777" t="s">
        <v>4586</v>
      </c>
      <c r="H777" t="s">
        <v>4597</v>
      </c>
      <c r="I777">
        <v>2</v>
      </c>
      <c r="J777" t="s">
        <v>5079</v>
      </c>
      <c r="K777">
        <v>0</v>
      </c>
      <c r="M777" t="s">
        <v>5468</v>
      </c>
      <c r="N777" t="s">
        <v>5474</v>
      </c>
      <c r="O777" t="s">
        <v>5480</v>
      </c>
    </row>
    <row r="778" spans="1:15" x14ac:dyDescent="0.3">
      <c r="A778" t="s">
        <v>777</v>
      </c>
      <c r="B778" t="s">
        <v>2124</v>
      </c>
      <c r="C778" t="s">
        <v>3082</v>
      </c>
      <c r="D778" t="s">
        <v>3962</v>
      </c>
      <c r="E778" t="s">
        <v>4564</v>
      </c>
      <c r="F778" t="s">
        <v>4573</v>
      </c>
      <c r="G778" t="s">
        <v>4584</v>
      </c>
      <c r="H778" t="s">
        <v>4595</v>
      </c>
      <c r="I778">
        <v>5</v>
      </c>
      <c r="J778">
        <v>43.95</v>
      </c>
      <c r="K778">
        <v>0.15</v>
      </c>
      <c r="L778">
        <v>5.34</v>
      </c>
      <c r="M778" t="s">
        <v>5466</v>
      </c>
      <c r="N778" t="s">
        <v>5472</v>
      </c>
      <c r="O778" t="s">
        <v>5477</v>
      </c>
    </row>
    <row r="779" spans="1:15" x14ac:dyDescent="0.3">
      <c r="A779" t="s">
        <v>778</v>
      </c>
      <c r="B779" t="s">
        <v>2125</v>
      </c>
      <c r="C779" t="s">
        <v>3083</v>
      </c>
      <c r="D779" t="s">
        <v>3963</v>
      </c>
      <c r="E779" t="s">
        <v>4570</v>
      </c>
      <c r="F779" t="s">
        <v>4573</v>
      </c>
      <c r="G779" t="s">
        <v>4584</v>
      </c>
      <c r="H779" t="s">
        <v>4608</v>
      </c>
      <c r="I779">
        <v>1</v>
      </c>
      <c r="J779" t="s">
        <v>4843</v>
      </c>
      <c r="K779" t="s">
        <v>5460</v>
      </c>
      <c r="L779">
        <v>12.03</v>
      </c>
      <c r="M779" t="s">
        <v>5463</v>
      </c>
      <c r="N779" t="s">
        <v>5469</v>
      </c>
      <c r="O779" t="s">
        <v>5478</v>
      </c>
    </row>
    <row r="781" spans="1:15" x14ac:dyDescent="0.3">
      <c r="A781" t="s">
        <v>779</v>
      </c>
      <c r="B781" t="s">
        <v>2126</v>
      </c>
      <c r="C781" t="s">
        <v>3084</v>
      </c>
      <c r="D781" t="s">
        <v>3964</v>
      </c>
      <c r="E781" t="s">
        <v>4566</v>
      </c>
      <c r="F781" t="s">
        <v>4573</v>
      </c>
      <c r="G781" t="s">
        <v>4587</v>
      </c>
      <c r="H781" t="s">
        <v>4594</v>
      </c>
      <c r="I781">
        <v>10</v>
      </c>
      <c r="J781">
        <v>58.87</v>
      </c>
      <c r="K781">
        <v>0.15</v>
      </c>
      <c r="L781">
        <v>3.23</v>
      </c>
      <c r="M781" t="s">
        <v>5465</v>
      </c>
      <c r="N781" t="s">
        <v>5474</v>
      </c>
      <c r="O781" t="s">
        <v>5477</v>
      </c>
    </row>
    <row r="782" spans="1:15" x14ac:dyDescent="0.3">
      <c r="A782" t="s">
        <v>780</v>
      </c>
      <c r="B782" t="s">
        <v>2127</v>
      </c>
      <c r="C782" t="s">
        <v>3085</v>
      </c>
      <c r="D782" t="s">
        <v>3965</v>
      </c>
      <c r="E782" t="s">
        <v>4548</v>
      </c>
      <c r="F782" t="s">
        <v>4573</v>
      </c>
      <c r="G782" t="s">
        <v>4587</v>
      </c>
      <c r="H782" t="s">
        <v>4594</v>
      </c>
      <c r="I782">
        <v>10</v>
      </c>
      <c r="J782" t="s">
        <v>5080</v>
      </c>
      <c r="K782" t="s">
        <v>5461</v>
      </c>
      <c r="L782">
        <v>6.67</v>
      </c>
      <c r="M782" t="s">
        <v>5463</v>
      </c>
      <c r="O782" t="s">
        <v>5475</v>
      </c>
    </row>
    <row r="783" spans="1:15" x14ac:dyDescent="0.3">
      <c r="A783" t="s">
        <v>781</v>
      </c>
      <c r="B783" t="s">
        <v>1960</v>
      </c>
      <c r="C783" t="s">
        <v>3076</v>
      </c>
      <c r="D783" t="s">
        <v>3966</v>
      </c>
      <c r="E783" t="s">
        <v>4551</v>
      </c>
      <c r="F783" t="s">
        <v>4575</v>
      </c>
      <c r="G783" t="s">
        <v>4583</v>
      </c>
      <c r="H783" t="s">
        <v>4605</v>
      </c>
      <c r="I783">
        <v>1</v>
      </c>
      <c r="J783" t="s">
        <v>5081</v>
      </c>
      <c r="K783">
        <v>0</v>
      </c>
      <c r="L783">
        <v>3.88</v>
      </c>
      <c r="M783" t="s">
        <v>5465</v>
      </c>
      <c r="N783" t="s">
        <v>5473</v>
      </c>
      <c r="O783" t="s">
        <v>5477</v>
      </c>
    </row>
    <row r="784" spans="1:15" x14ac:dyDescent="0.3">
      <c r="A784" t="s">
        <v>782</v>
      </c>
      <c r="B784" t="s">
        <v>2128</v>
      </c>
      <c r="C784" t="s">
        <v>2838</v>
      </c>
      <c r="D784" t="s">
        <v>3967</v>
      </c>
      <c r="E784" t="s">
        <v>4562</v>
      </c>
      <c r="F784" t="s">
        <v>4579</v>
      </c>
      <c r="G784" t="s">
        <v>4583</v>
      </c>
      <c r="H784" t="s">
        <v>4605</v>
      </c>
      <c r="I784">
        <v>2</v>
      </c>
      <c r="J784">
        <v>46.95</v>
      </c>
      <c r="K784">
        <v>0</v>
      </c>
      <c r="L784">
        <v>10.19</v>
      </c>
      <c r="M784" t="s">
        <v>5467</v>
      </c>
      <c r="N784" t="s">
        <v>5469</v>
      </c>
      <c r="O784" t="s">
        <v>5476</v>
      </c>
    </row>
    <row r="785" spans="1:15" x14ac:dyDescent="0.3">
      <c r="A785" t="s">
        <v>783</v>
      </c>
      <c r="B785" t="s">
        <v>2129</v>
      </c>
      <c r="C785" t="s">
        <v>2848</v>
      </c>
      <c r="E785" t="s">
        <v>4560</v>
      </c>
      <c r="F785" t="s">
        <v>4573</v>
      </c>
      <c r="G785" t="s">
        <v>4586</v>
      </c>
      <c r="H785" t="s">
        <v>4609</v>
      </c>
      <c r="I785">
        <v>10</v>
      </c>
      <c r="J785">
        <v>126.93</v>
      </c>
      <c r="K785">
        <v>0.1</v>
      </c>
      <c r="L785">
        <v>0</v>
      </c>
      <c r="M785" t="s">
        <v>5467</v>
      </c>
      <c r="N785" t="s">
        <v>5469</v>
      </c>
      <c r="O785" t="s">
        <v>5475</v>
      </c>
    </row>
    <row r="786" spans="1:15" x14ac:dyDescent="0.3">
      <c r="A786" t="s">
        <v>784</v>
      </c>
      <c r="B786" t="s">
        <v>2130</v>
      </c>
      <c r="C786" t="s">
        <v>2769</v>
      </c>
      <c r="D786" t="s">
        <v>3968</v>
      </c>
      <c r="E786" t="s">
        <v>4566</v>
      </c>
      <c r="F786" t="s">
        <v>4577</v>
      </c>
      <c r="G786" t="s">
        <v>4587</v>
      </c>
      <c r="H786" t="s">
        <v>4600</v>
      </c>
      <c r="I786">
        <v>4</v>
      </c>
      <c r="J786" t="s">
        <v>5082</v>
      </c>
      <c r="K786">
        <v>0</v>
      </c>
      <c r="L786">
        <v>8.67</v>
      </c>
      <c r="M786" t="s">
        <v>5467</v>
      </c>
      <c r="N786" t="s">
        <v>5473</v>
      </c>
      <c r="O786" t="s">
        <v>5477</v>
      </c>
    </row>
    <row r="787" spans="1:15" x14ac:dyDescent="0.3">
      <c r="A787" t="s">
        <v>785</v>
      </c>
      <c r="B787" t="s">
        <v>2131</v>
      </c>
      <c r="C787" t="s">
        <v>3086</v>
      </c>
      <c r="E787" t="s">
        <v>4558</v>
      </c>
      <c r="F787" t="s">
        <v>4572</v>
      </c>
      <c r="G787" t="s">
        <v>4586</v>
      </c>
      <c r="H787" t="s">
        <v>4609</v>
      </c>
      <c r="I787">
        <v>-1</v>
      </c>
      <c r="J787">
        <v>129.03</v>
      </c>
      <c r="K787">
        <v>0</v>
      </c>
      <c r="L787">
        <v>11.57</v>
      </c>
      <c r="M787" t="s">
        <v>5462</v>
      </c>
      <c r="N787" t="s">
        <v>5471</v>
      </c>
      <c r="O787" t="s">
        <v>5477</v>
      </c>
    </row>
    <row r="788" spans="1:15" x14ac:dyDescent="0.3">
      <c r="A788" t="s">
        <v>786</v>
      </c>
      <c r="B788" t="s">
        <v>2132</v>
      </c>
      <c r="C788" t="s">
        <v>3087</v>
      </c>
      <c r="D788" t="s">
        <v>3969</v>
      </c>
      <c r="E788" t="s">
        <v>4547</v>
      </c>
      <c r="F788" t="s">
        <v>4572</v>
      </c>
      <c r="G788" t="s">
        <v>4587</v>
      </c>
      <c r="H788" t="s">
        <v>4600</v>
      </c>
      <c r="I788">
        <v>1</v>
      </c>
      <c r="J788" t="s">
        <v>5083</v>
      </c>
      <c r="K788">
        <v>0.15</v>
      </c>
      <c r="L788">
        <v>0</v>
      </c>
      <c r="M788" t="s">
        <v>5463</v>
      </c>
      <c r="N788" t="s">
        <v>5471</v>
      </c>
      <c r="O788" t="s">
        <v>5480</v>
      </c>
    </row>
    <row r="789" spans="1:15" x14ac:dyDescent="0.3">
      <c r="A789" t="s">
        <v>787</v>
      </c>
      <c r="B789" t="s">
        <v>2133</v>
      </c>
      <c r="C789" t="s">
        <v>2886</v>
      </c>
      <c r="D789" t="s">
        <v>3970</v>
      </c>
      <c r="E789" t="s">
        <v>4549</v>
      </c>
      <c r="F789" t="s">
        <v>4574</v>
      </c>
      <c r="G789" t="s">
        <v>4583</v>
      </c>
      <c r="H789" t="s">
        <v>4605</v>
      </c>
      <c r="I789">
        <v>1</v>
      </c>
      <c r="J789">
        <v>42.88</v>
      </c>
      <c r="K789">
        <v>0</v>
      </c>
      <c r="L789">
        <v>13.02</v>
      </c>
      <c r="M789" t="s">
        <v>5462</v>
      </c>
      <c r="O789" t="s">
        <v>5477</v>
      </c>
    </row>
    <row r="790" spans="1:15" x14ac:dyDescent="0.3">
      <c r="A790" t="s">
        <v>788</v>
      </c>
      <c r="B790" t="s">
        <v>2103</v>
      </c>
      <c r="C790" t="s">
        <v>3088</v>
      </c>
      <c r="D790" t="s">
        <v>3971</v>
      </c>
      <c r="E790" t="s">
        <v>4561</v>
      </c>
      <c r="F790" t="s">
        <v>4580</v>
      </c>
      <c r="G790" t="s">
        <v>4587</v>
      </c>
      <c r="H790" t="s">
        <v>4600</v>
      </c>
      <c r="I790">
        <v>2</v>
      </c>
      <c r="J790" t="s">
        <v>4837</v>
      </c>
      <c r="K790">
        <v>0.1</v>
      </c>
      <c r="L790">
        <v>1.01</v>
      </c>
      <c r="N790" t="s">
        <v>5473</v>
      </c>
      <c r="O790" t="s">
        <v>5477</v>
      </c>
    </row>
    <row r="791" spans="1:15" x14ac:dyDescent="0.3">
      <c r="A791" t="s">
        <v>235</v>
      </c>
      <c r="B791" t="s">
        <v>1632</v>
      </c>
      <c r="C791" t="s">
        <v>2810</v>
      </c>
      <c r="D791" t="s">
        <v>3467</v>
      </c>
      <c r="E791" t="s">
        <v>4568</v>
      </c>
      <c r="F791" t="s">
        <v>4582</v>
      </c>
      <c r="G791" t="s">
        <v>4583</v>
      </c>
      <c r="H791" t="s">
        <v>4604</v>
      </c>
      <c r="I791">
        <v>1</v>
      </c>
      <c r="J791" t="s">
        <v>4758</v>
      </c>
      <c r="K791" t="s">
        <v>5460</v>
      </c>
      <c r="L791">
        <v>5.73</v>
      </c>
      <c r="M791" t="s">
        <v>5468</v>
      </c>
      <c r="N791" t="s">
        <v>5471</v>
      </c>
      <c r="O791" t="s">
        <v>5477</v>
      </c>
    </row>
    <row r="792" spans="1:15" x14ac:dyDescent="0.3">
      <c r="A792" t="s">
        <v>789</v>
      </c>
      <c r="B792" t="s">
        <v>2134</v>
      </c>
      <c r="C792" t="s">
        <v>3089</v>
      </c>
      <c r="D792" t="s">
        <v>3972</v>
      </c>
      <c r="E792" t="s">
        <v>4566</v>
      </c>
      <c r="F792" t="s">
        <v>4577</v>
      </c>
      <c r="H792" t="s">
        <v>4601</v>
      </c>
      <c r="I792">
        <v>3</v>
      </c>
      <c r="J792" t="s">
        <v>5084</v>
      </c>
      <c r="K792">
        <v>0.05</v>
      </c>
      <c r="L792">
        <v>0.56000000000000005</v>
      </c>
      <c r="M792" t="s">
        <v>5466</v>
      </c>
      <c r="N792" t="s">
        <v>5473</v>
      </c>
      <c r="O792" t="s">
        <v>5475</v>
      </c>
    </row>
    <row r="793" spans="1:15" x14ac:dyDescent="0.3">
      <c r="A793" t="s">
        <v>790</v>
      </c>
      <c r="B793" t="s">
        <v>2135</v>
      </c>
      <c r="C793" t="s">
        <v>2976</v>
      </c>
      <c r="D793" t="s">
        <v>3973</v>
      </c>
      <c r="E793" t="s">
        <v>4570</v>
      </c>
      <c r="F793" t="s">
        <v>4573</v>
      </c>
      <c r="G793" t="s">
        <v>4586</v>
      </c>
      <c r="H793" t="s">
        <v>4593</v>
      </c>
      <c r="I793">
        <v>2</v>
      </c>
      <c r="J793" t="s">
        <v>5085</v>
      </c>
      <c r="K793">
        <v>0.1</v>
      </c>
      <c r="L793">
        <v>14.99</v>
      </c>
      <c r="M793" t="s">
        <v>5466</v>
      </c>
      <c r="N793" t="s">
        <v>5472</v>
      </c>
      <c r="O793" t="s">
        <v>5477</v>
      </c>
    </row>
    <row r="794" spans="1:15" x14ac:dyDescent="0.3">
      <c r="A794" t="s">
        <v>791</v>
      </c>
      <c r="B794" t="s">
        <v>2136</v>
      </c>
      <c r="C794" t="s">
        <v>2826</v>
      </c>
      <c r="D794" t="s">
        <v>3974</v>
      </c>
      <c r="E794" t="s">
        <v>4554</v>
      </c>
      <c r="F794" t="s">
        <v>4573</v>
      </c>
      <c r="G794" t="s">
        <v>4583</v>
      </c>
      <c r="H794" t="s">
        <v>4605</v>
      </c>
      <c r="I794">
        <v>10</v>
      </c>
      <c r="J794" t="s">
        <v>5086</v>
      </c>
      <c r="K794">
        <v>0.15</v>
      </c>
      <c r="L794">
        <v>4.4400000000000004</v>
      </c>
      <c r="M794" t="s">
        <v>5466</v>
      </c>
      <c r="N794" t="s">
        <v>5470</v>
      </c>
      <c r="O794" t="s">
        <v>5480</v>
      </c>
    </row>
    <row r="795" spans="1:15" x14ac:dyDescent="0.3">
      <c r="A795" t="s">
        <v>792</v>
      </c>
      <c r="B795" t="s">
        <v>2137</v>
      </c>
      <c r="C795" t="s">
        <v>2764</v>
      </c>
      <c r="D795" t="s">
        <v>3975</v>
      </c>
      <c r="E795" t="s">
        <v>4567</v>
      </c>
      <c r="F795" t="s">
        <v>4582</v>
      </c>
      <c r="G795" t="s">
        <v>4586</v>
      </c>
      <c r="H795" t="s">
        <v>4609</v>
      </c>
      <c r="I795">
        <v>1</v>
      </c>
      <c r="J795">
        <v>128.47999999999999</v>
      </c>
      <c r="K795">
        <v>0.1</v>
      </c>
      <c r="L795">
        <v>0</v>
      </c>
      <c r="M795" t="s">
        <v>5464</v>
      </c>
      <c r="N795" t="s">
        <v>5474</v>
      </c>
      <c r="O795" t="s">
        <v>5479</v>
      </c>
    </row>
    <row r="796" spans="1:15" x14ac:dyDescent="0.3">
      <c r="A796" t="s">
        <v>793</v>
      </c>
      <c r="B796" t="s">
        <v>2138</v>
      </c>
      <c r="C796" t="s">
        <v>3090</v>
      </c>
      <c r="D796" t="s">
        <v>3976</v>
      </c>
      <c r="E796" t="s">
        <v>4554</v>
      </c>
      <c r="F796" t="s">
        <v>4574</v>
      </c>
      <c r="G796" t="s">
        <v>4583</v>
      </c>
      <c r="H796" t="s">
        <v>4605</v>
      </c>
      <c r="I796">
        <v>-1</v>
      </c>
      <c r="J796" t="s">
        <v>5087</v>
      </c>
      <c r="K796">
        <v>0</v>
      </c>
      <c r="M796" t="s">
        <v>5467</v>
      </c>
      <c r="N796" t="s">
        <v>5474</v>
      </c>
      <c r="O796" t="s">
        <v>5480</v>
      </c>
    </row>
    <row r="797" spans="1:15" x14ac:dyDescent="0.3">
      <c r="A797" t="s">
        <v>794</v>
      </c>
      <c r="B797" t="s">
        <v>1875</v>
      </c>
      <c r="C797" t="s">
        <v>2998</v>
      </c>
      <c r="D797" t="s">
        <v>3977</v>
      </c>
      <c r="E797" t="s">
        <v>4559</v>
      </c>
      <c r="F797" t="s">
        <v>4577</v>
      </c>
      <c r="G797" t="s">
        <v>4586</v>
      </c>
      <c r="H797" t="s">
        <v>4599</v>
      </c>
      <c r="I797">
        <v>-1</v>
      </c>
      <c r="J797" t="s">
        <v>5088</v>
      </c>
      <c r="K797" t="s">
        <v>5460</v>
      </c>
      <c r="L797">
        <v>0</v>
      </c>
      <c r="M797" t="s">
        <v>5468</v>
      </c>
      <c r="O797" t="s">
        <v>5478</v>
      </c>
    </row>
    <row r="798" spans="1:15" x14ac:dyDescent="0.3">
      <c r="A798" t="s">
        <v>795</v>
      </c>
      <c r="B798" t="s">
        <v>1869</v>
      </c>
      <c r="C798" t="s">
        <v>3091</v>
      </c>
      <c r="D798" t="s">
        <v>3978</v>
      </c>
      <c r="E798" t="s">
        <v>4571</v>
      </c>
      <c r="F798" t="s">
        <v>4573</v>
      </c>
      <c r="G798" t="s">
        <v>4587</v>
      </c>
      <c r="H798" t="s">
        <v>4606</v>
      </c>
      <c r="I798">
        <v>3</v>
      </c>
      <c r="J798" t="s">
        <v>5089</v>
      </c>
      <c r="K798" t="s">
        <v>5460</v>
      </c>
      <c r="L798">
        <v>1.81</v>
      </c>
      <c r="M798" t="s">
        <v>5463</v>
      </c>
      <c r="N798" t="s">
        <v>5472</v>
      </c>
      <c r="O798" t="s">
        <v>5477</v>
      </c>
    </row>
    <row r="799" spans="1:15" x14ac:dyDescent="0.3">
      <c r="A799" t="s">
        <v>796</v>
      </c>
      <c r="B799" t="s">
        <v>1570</v>
      </c>
      <c r="C799" t="s">
        <v>3032</v>
      </c>
      <c r="D799" t="s">
        <v>3979</v>
      </c>
      <c r="E799" t="s">
        <v>4566</v>
      </c>
      <c r="F799" t="s">
        <v>4573</v>
      </c>
      <c r="G799" t="s">
        <v>4585</v>
      </c>
      <c r="H799" t="s">
        <v>4590</v>
      </c>
      <c r="I799">
        <v>1</v>
      </c>
      <c r="J799" t="s">
        <v>5090</v>
      </c>
      <c r="K799">
        <v>0.1</v>
      </c>
      <c r="L799">
        <v>3.06</v>
      </c>
      <c r="N799" t="s">
        <v>5472</v>
      </c>
      <c r="O799" t="s">
        <v>5477</v>
      </c>
    </row>
    <row r="800" spans="1:15" x14ac:dyDescent="0.3">
      <c r="A800" t="s">
        <v>797</v>
      </c>
      <c r="B800" t="s">
        <v>2139</v>
      </c>
      <c r="C800" t="s">
        <v>2769</v>
      </c>
      <c r="D800" t="s">
        <v>3980</v>
      </c>
      <c r="E800" t="s">
        <v>4566</v>
      </c>
      <c r="F800" t="s">
        <v>4573</v>
      </c>
      <c r="G800" t="s">
        <v>4587</v>
      </c>
      <c r="H800" t="s">
        <v>4594</v>
      </c>
      <c r="I800">
        <v>1</v>
      </c>
      <c r="J800" t="s">
        <v>5091</v>
      </c>
      <c r="K800">
        <v>0</v>
      </c>
      <c r="L800">
        <v>10.45</v>
      </c>
      <c r="M800" t="s">
        <v>5463</v>
      </c>
      <c r="N800" t="s">
        <v>5471</v>
      </c>
      <c r="O800" t="s">
        <v>5480</v>
      </c>
    </row>
    <row r="801" spans="1:15" x14ac:dyDescent="0.3">
      <c r="A801" t="s">
        <v>798</v>
      </c>
      <c r="B801" t="s">
        <v>2140</v>
      </c>
      <c r="C801" t="s">
        <v>2798</v>
      </c>
      <c r="D801" t="s">
        <v>3981</v>
      </c>
      <c r="E801" t="s">
        <v>4562</v>
      </c>
      <c r="F801" t="s">
        <v>4575</v>
      </c>
      <c r="G801" t="s">
        <v>4586</v>
      </c>
      <c r="H801" t="s">
        <v>4593</v>
      </c>
      <c r="I801">
        <v>2</v>
      </c>
      <c r="J801" t="s">
        <v>5092</v>
      </c>
      <c r="K801">
        <v>0.1</v>
      </c>
      <c r="L801">
        <v>0.54</v>
      </c>
      <c r="N801" t="s">
        <v>5469</v>
      </c>
      <c r="O801" t="s">
        <v>5477</v>
      </c>
    </row>
    <row r="802" spans="1:15" x14ac:dyDescent="0.3">
      <c r="A802" t="s">
        <v>799</v>
      </c>
      <c r="B802" t="s">
        <v>2141</v>
      </c>
      <c r="C802" t="s">
        <v>2944</v>
      </c>
      <c r="D802" t="s">
        <v>3982</v>
      </c>
      <c r="E802" t="s">
        <v>4571</v>
      </c>
      <c r="F802" t="s">
        <v>4578</v>
      </c>
      <c r="G802" t="s">
        <v>4587</v>
      </c>
      <c r="H802" t="s">
        <v>4596</v>
      </c>
      <c r="I802">
        <v>3</v>
      </c>
      <c r="J802">
        <v>14.36</v>
      </c>
      <c r="K802">
        <v>0.05</v>
      </c>
      <c r="L802">
        <v>9.3699999999999992</v>
      </c>
      <c r="M802" t="s">
        <v>5467</v>
      </c>
      <c r="N802" t="s">
        <v>5469</v>
      </c>
      <c r="O802" t="s">
        <v>5476</v>
      </c>
    </row>
    <row r="803" spans="1:15" x14ac:dyDescent="0.3">
      <c r="A803" t="s">
        <v>800</v>
      </c>
      <c r="B803" t="s">
        <v>2142</v>
      </c>
      <c r="C803" t="s">
        <v>3092</v>
      </c>
      <c r="D803" t="s">
        <v>3983</v>
      </c>
      <c r="E803" t="s">
        <v>4547</v>
      </c>
      <c r="F803" t="s">
        <v>4581</v>
      </c>
      <c r="H803" t="s">
        <v>4588</v>
      </c>
      <c r="I803">
        <v>1</v>
      </c>
      <c r="J803" t="s">
        <v>5093</v>
      </c>
      <c r="K803">
        <v>0.15</v>
      </c>
      <c r="L803">
        <v>13.77</v>
      </c>
      <c r="M803" t="s">
        <v>5468</v>
      </c>
      <c r="N803" t="s">
        <v>5473</v>
      </c>
      <c r="O803" t="s">
        <v>5475</v>
      </c>
    </row>
    <row r="804" spans="1:15" x14ac:dyDescent="0.3">
      <c r="A804" t="s">
        <v>801</v>
      </c>
      <c r="B804" t="s">
        <v>2143</v>
      </c>
      <c r="C804" t="s">
        <v>2857</v>
      </c>
      <c r="D804" t="s">
        <v>3984</v>
      </c>
      <c r="E804" t="s">
        <v>4552</v>
      </c>
      <c r="F804" t="s">
        <v>4575</v>
      </c>
      <c r="G804" t="s">
        <v>4586</v>
      </c>
      <c r="H804" t="s">
        <v>4599</v>
      </c>
      <c r="I804">
        <v>-1</v>
      </c>
      <c r="J804" t="s">
        <v>5094</v>
      </c>
      <c r="K804">
        <v>0.05</v>
      </c>
      <c r="L804">
        <v>0.36</v>
      </c>
      <c r="M804" t="s">
        <v>5465</v>
      </c>
      <c r="N804" t="s">
        <v>5471</v>
      </c>
      <c r="O804" t="s">
        <v>5477</v>
      </c>
    </row>
    <row r="805" spans="1:15" x14ac:dyDescent="0.3">
      <c r="A805" t="s">
        <v>802</v>
      </c>
      <c r="B805" t="s">
        <v>2072</v>
      </c>
      <c r="C805" t="s">
        <v>3040</v>
      </c>
      <c r="D805" t="s">
        <v>3985</v>
      </c>
      <c r="E805" t="s">
        <v>4552</v>
      </c>
      <c r="F805" t="s">
        <v>4579</v>
      </c>
      <c r="G805" t="s">
        <v>4585</v>
      </c>
      <c r="H805" t="s">
        <v>4591</v>
      </c>
      <c r="I805">
        <v>3</v>
      </c>
      <c r="J805">
        <v>7.88</v>
      </c>
      <c r="K805">
        <v>0.15</v>
      </c>
      <c r="L805">
        <v>2.8</v>
      </c>
      <c r="M805" t="s">
        <v>5467</v>
      </c>
      <c r="O805" t="s">
        <v>5476</v>
      </c>
    </row>
    <row r="806" spans="1:15" x14ac:dyDescent="0.3">
      <c r="A806" t="s">
        <v>488</v>
      </c>
      <c r="B806" t="s">
        <v>1869</v>
      </c>
      <c r="C806" t="s">
        <v>2958</v>
      </c>
      <c r="D806" t="s">
        <v>3699</v>
      </c>
      <c r="E806" t="s">
        <v>4568</v>
      </c>
      <c r="F806" t="s">
        <v>4577</v>
      </c>
      <c r="G806" t="s">
        <v>4586</v>
      </c>
      <c r="H806" t="s">
        <v>4593</v>
      </c>
      <c r="I806">
        <v>3</v>
      </c>
      <c r="J806" t="s">
        <v>4920</v>
      </c>
      <c r="K806">
        <v>0</v>
      </c>
      <c r="L806">
        <v>0</v>
      </c>
      <c r="M806" t="s">
        <v>5468</v>
      </c>
      <c r="O806" t="s">
        <v>5480</v>
      </c>
    </row>
    <row r="807" spans="1:15" x14ac:dyDescent="0.3">
      <c r="A807" t="s">
        <v>803</v>
      </c>
      <c r="B807" t="s">
        <v>2144</v>
      </c>
      <c r="C807" t="s">
        <v>3093</v>
      </c>
      <c r="D807" t="s">
        <v>3986</v>
      </c>
      <c r="E807" t="s">
        <v>4551</v>
      </c>
      <c r="F807" t="s">
        <v>4576</v>
      </c>
      <c r="G807" t="s">
        <v>4586</v>
      </c>
      <c r="H807" t="s">
        <v>4593</v>
      </c>
      <c r="I807">
        <v>2</v>
      </c>
      <c r="J807" t="s">
        <v>5095</v>
      </c>
      <c r="K807">
        <v>0</v>
      </c>
      <c r="L807">
        <v>4.28</v>
      </c>
      <c r="N807" t="s">
        <v>5474</v>
      </c>
      <c r="O807" t="s">
        <v>5477</v>
      </c>
    </row>
    <row r="808" spans="1:15" x14ac:dyDescent="0.3">
      <c r="A808" t="s">
        <v>804</v>
      </c>
      <c r="B808" t="s">
        <v>2145</v>
      </c>
      <c r="C808" t="s">
        <v>2631</v>
      </c>
      <c r="D808" t="s">
        <v>3987</v>
      </c>
      <c r="E808" t="s">
        <v>4562</v>
      </c>
      <c r="F808" t="s">
        <v>4576</v>
      </c>
      <c r="G808" t="s">
        <v>4587</v>
      </c>
      <c r="H808" t="s">
        <v>4596</v>
      </c>
      <c r="I808">
        <v>3</v>
      </c>
      <c r="J808">
        <v>14.8</v>
      </c>
      <c r="K808">
        <v>0.1</v>
      </c>
      <c r="L808">
        <v>2.2200000000000002</v>
      </c>
      <c r="M808" t="s">
        <v>5468</v>
      </c>
      <c r="O808" t="s">
        <v>5477</v>
      </c>
    </row>
    <row r="809" spans="1:15" x14ac:dyDescent="0.3">
      <c r="A809" t="s">
        <v>805</v>
      </c>
      <c r="B809" t="s">
        <v>2146</v>
      </c>
      <c r="C809" t="s">
        <v>2993</v>
      </c>
      <c r="D809" t="s">
        <v>3988</v>
      </c>
      <c r="E809" t="s">
        <v>4556</v>
      </c>
      <c r="F809" t="s">
        <v>4579</v>
      </c>
      <c r="G809" t="s">
        <v>4583</v>
      </c>
      <c r="H809" t="s">
        <v>4588</v>
      </c>
      <c r="I809">
        <v>3</v>
      </c>
      <c r="J809" t="s">
        <v>5096</v>
      </c>
      <c r="K809">
        <v>0.15</v>
      </c>
      <c r="L809">
        <v>11.13</v>
      </c>
      <c r="M809" t="s">
        <v>5465</v>
      </c>
      <c r="N809" t="s">
        <v>5470</v>
      </c>
      <c r="O809" t="s">
        <v>5478</v>
      </c>
    </row>
    <row r="810" spans="1:15" x14ac:dyDescent="0.3">
      <c r="A810" t="s">
        <v>330</v>
      </c>
      <c r="B810" t="s">
        <v>1723</v>
      </c>
      <c r="C810" t="s">
        <v>2744</v>
      </c>
      <c r="D810" t="s">
        <v>3556</v>
      </c>
      <c r="E810" t="s">
        <v>4566</v>
      </c>
      <c r="F810" t="s">
        <v>4573</v>
      </c>
      <c r="G810" t="s">
        <v>4587</v>
      </c>
      <c r="H810" t="s">
        <v>4606</v>
      </c>
      <c r="I810">
        <v>10</v>
      </c>
      <c r="J810" t="s">
        <v>4818</v>
      </c>
      <c r="K810" t="s">
        <v>5461</v>
      </c>
      <c r="L810">
        <v>5.32</v>
      </c>
      <c r="M810" t="s">
        <v>5465</v>
      </c>
      <c r="O810" t="s">
        <v>5479</v>
      </c>
    </row>
    <row r="811" spans="1:15" x14ac:dyDescent="0.3">
      <c r="A811" t="s">
        <v>806</v>
      </c>
      <c r="B811" t="s">
        <v>2147</v>
      </c>
      <c r="C811" t="s">
        <v>2766</v>
      </c>
      <c r="D811" t="s">
        <v>3989</v>
      </c>
      <c r="E811" t="s">
        <v>4563</v>
      </c>
      <c r="F811" t="s">
        <v>4578</v>
      </c>
      <c r="G811" t="s">
        <v>4585</v>
      </c>
      <c r="H811" t="s">
        <v>4590</v>
      </c>
      <c r="I811">
        <v>1</v>
      </c>
      <c r="J811" t="s">
        <v>5097</v>
      </c>
      <c r="K811">
        <v>0</v>
      </c>
      <c r="L811">
        <v>11</v>
      </c>
      <c r="M811" t="s">
        <v>5462</v>
      </c>
      <c r="N811" t="s">
        <v>5474</v>
      </c>
      <c r="O811" t="s">
        <v>5477</v>
      </c>
    </row>
    <row r="812" spans="1:15" x14ac:dyDescent="0.3">
      <c r="A812" t="s">
        <v>807</v>
      </c>
      <c r="B812" t="s">
        <v>2148</v>
      </c>
      <c r="C812" t="s">
        <v>3039</v>
      </c>
      <c r="D812" t="s">
        <v>3990</v>
      </c>
      <c r="E812" t="s">
        <v>4565</v>
      </c>
      <c r="F812" t="s">
        <v>4576</v>
      </c>
      <c r="G812" t="s">
        <v>4586</v>
      </c>
      <c r="H812" t="s">
        <v>4609</v>
      </c>
      <c r="I812">
        <v>4</v>
      </c>
      <c r="J812" t="s">
        <v>5098</v>
      </c>
      <c r="K812">
        <v>0.1</v>
      </c>
      <c r="L812">
        <v>1.93</v>
      </c>
      <c r="M812" t="s">
        <v>5466</v>
      </c>
      <c r="N812" t="s">
        <v>5472</v>
      </c>
      <c r="O812" t="s">
        <v>5480</v>
      </c>
    </row>
    <row r="813" spans="1:15" x14ac:dyDescent="0.3">
      <c r="A813" t="s">
        <v>808</v>
      </c>
      <c r="B813" t="s">
        <v>2149</v>
      </c>
      <c r="C813" t="s">
        <v>2796</v>
      </c>
      <c r="D813" t="s">
        <v>3991</v>
      </c>
      <c r="E813" t="s">
        <v>4547</v>
      </c>
      <c r="F813" t="s">
        <v>4572</v>
      </c>
      <c r="G813" t="s">
        <v>4585</v>
      </c>
      <c r="H813" t="s">
        <v>4598</v>
      </c>
      <c r="I813">
        <v>1</v>
      </c>
      <c r="J813" t="s">
        <v>5099</v>
      </c>
      <c r="K813" t="s">
        <v>5461</v>
      </c>
      <c r="L813">
        <v>6.91</v>
      </c>
      <c r="M813" t="s">
        <v>5465</v>
      </c>
      <c r="N813" t="s">
        <v>5470</v>
      </c>
      <c r="O813" t="s">
        <v>5478</v>
      </c>
    </row>
    <row r="814" spans="1:15" x14ac:dyDescent="0.3">
      <c r="A814" t="s">
        <v>809</v>
      </c>
      <c r="B814" t="s">
        <v>2150</v>
      </c>
      <c r="C814" t="s">
        <v>2840</v>
      </c>
      <c r="D814" t="s">
        <v>3992</v>
      </c>
      <c r="E814" t="s">
        <v>4563</v>
      </c>
      <c r="F814" t="s">
        <v>4578</v>
      </c>
      <c r="G814" t="s">
        <v>4587</v>
      </c>
      <c r="H814" t="s">
        <v>4600</v>
      </c>
      <c r="I814">
        <v>2</v>
      </c>
      <c r="J814">
        <v>12.36</v>
      </c>
      <c r="K814">
        <v>0.05</v>
      </c>
      <c r="L814">
        <v>1.28</v>
      </c>
      <c r="M814" t="s">
        <v>5467</v>
      </c>
      <c r="O814" t="s">
        <v>5478</v>
      </c>
    </row>
    <row r="815" spans="1:15" x14ac:dyDescent="0.3">
      <c r="A815" t="s">
        <v>810</v>
      </c>
      <c r="B815" t="s">
        <v>2151</v>
      </c>
      <c r="C815" t="s">
        <v>3075</v>
      </c>
      <c r="D815" t="s">
        <v>3993</v>
      </c>
      <c r="E815" t="s">
        <v>4552</v>
      </c>
      <c r="F815" t="s">
        <v>4575</v>
      </c>
      <c r="G815" t="s">
        <v>4584</v>
      </c>
      <c r="H815" t="s">
        <v>4589</v>
      </c>
      <c r="I815">
        <v>1</v>
      </c>
      <c r="J815">
        <v>34.5</v>
      </c>
      <c r="K815">
        <v>0</v>
      </c>
      <c r="L815">
        <v>0.75</v>
      </c>
      <c r="M815" t="s">
        <v>5463</v>
      </c>
      <c r="N815" t="s">
        <v>5471</v>
      </c>
      <c r="O815" t="s">
        <v>5477</v>
      </c>
    </row>
    <row r="816" spans="1:15" x14ac:dyDescent="0.3">
      <c r="A816" t="s">
        <v>811</v>
      </c>
      <c r="B816" t="s">
        <v>2152</v>
      </c>
      <c r="C816" t="s">
        <v>2887</v>
      </c>
      <c r="D816" t="s">
        <v>3994</v>
      </c>
      <c r="E816" t="s">
        <v>4564</v>
      </c>
      <c r="F816" t="s">
        <v>4578</v>
      </c>
      <c r="G816" t="s">
        <v>4585</v>
      </c>
      <c r="H816" t="s">
        <v>4598</v>
      </c>
      <c r="I816">
        <v>1</v>
      </c>
      <c r="J816">
        <v>3.24</v>
      </c>
      <c r="K816">
        <v>0</v>
      </c>
      <c r="L816">
        <v>8.1199999999999992</v>
      </c>
      <c r="M816" t="s">
        <v>5464</v>
      </c>
      <c r="N816" t="s">
        <v>5473</v>
      </c>
      <c r="O816" t="s">
        <v>5475</v>
      </c>
    </row>
    <row r="817" spans="1:15" x14ac:dyDescent="0.3">
      <c r="A817" t="s">
        <v>812</v>
      </c>
      <c r="B817" t="s">
        <v>2153</v>
      </c>
      <c r="C817" t="s">
        <v>2651</v>
      </c>
      <c r="D817" t="s">
        <v>3995</v>
      </c>
      <c r="E817" t="s">
        <v>4566</v>
      </c>
      <c r="F817" t="s">
        <v>4577</v>
      </c>
      <c r="G817" t="s">
        <v>4586</v>
      </c>
      <c r="H817" t="s">
        <v>4597</v>
      </c>
      <c r="I817">
        <v>2</v>
      </c>
      <c r="J817" t="s">
        <v>5100</v>
      </c>
      <c r="K817">
        <v>0</v>
      </c>
      <c r="L817">
        <v>0.35</v>
      </c>
      <c r="M817" t="s">
        <v>5466</v>
      </c>
      <c r="N817" t="s">
        <v>5471</v>
      </c>
      <c r="O817" t="s">
        <v>5476</v>
      </c>
    </row>
    <row r="818" spans="1:15" x14ac:dyDescent="0.3">
      <c r="A818" t="s">
        <v>813</v>
      </c>
      <c r="B818" t="s">
        <v>2154</v>
      </c>
      <c r="C818" t="s">
        <v>3082</v>
      </c>
      <c r="D818" t="s">
        <v>3996</v>
      </c>
      <c r="E818" t="s">
        <v>4559</v>
      </c>
      <c r="F818" t="s">
        <v>4582</v>
      </c>
      <c r="H818" t="s">
        <v>4592</v>
      </c>
      <c r="I818">
        <v>1</v>
      </c>
      <c r="J818" t="s">
        <v>5101</v>
      </c>
      <c r="K818">
        <v>0</v>
      </c>
      <c r="L818">
        <v>7.33</v>
      </c>
      <c r="M818" t="s">
        <v>5464</v>
      </c>
      <c r="N818" t="s">
        <v>5471</v>
      </c>
      <c r="O818" t="s">
        <v>5476</v>
      </c>
    </row>
    <row r="819" spans="1:15" x14ac:dyDescent="0.3">
      <c r="A819" t="s">
        <v>814</v>
      </c>
      <c r="B819" t="s">
        <v>2097</v>
      </c>
      <c r="C819" t="s">
        <v>3094</v>
      </c>
      <c r="D819" t="s">
        <v>3997</v>
      </c>
      <c r="E819" t="s">
        <v>4565</v>
      </c>
      <c r="F819" t="s">
        <v>4579</v>
      </c>
      <c r="G819" t="s">
        <v>4584</v>
      </c>
      <c r="H819" t="s">
        <v>4595</v>
      </c>
      <c r="I819">
        <v>1</v>
      </c>
      <c r="J819" t="s">
        <v>5102</v>
      </c>
      <c r="K819">
        <v>0</v>
      </c>
      <c r="L819">
        <v>9.91</v>
      </c>
      <c r="M819" t="s">
        <v>5466</v>
      </c>
      <c r="O819" t="s">
        <v>5480</v>
      </c>
    </row>
    <row r="820" spans="1:15" x14ac:dyDescent="0.3">
      <c r="A820" t="s">
        <v>815</v>
      </c>
      <c r="B820" t="s">
        <v>2155</v>
      </c>
      <c r="C820" t="s">
        <v>2699</v>
      </c>
      <c r="D820" t="s">
        <v>3998</v>
      </c>
      <c r="E820" t="s">
        <v>4567</v>
      </c>
      <c r="F820" t="s">
        <v>4582</v>
      </c>
      <c r="G820" t="s">
        <v>4586</v>
      </c>
      <c r="H820" t="s">
        <v>4609</v>
      </c>
      <c r="I820">
        <v>5</v>
      </c>
      <c r="J820" t="s">
        <v>5103</v>
      </c>
      <c r="K820">
        <v>0.15</v>
      </c>
      <c r="L820">
        <v>5.42</v>
      </c>
      <c r="M820" t="s">
        <v>5465</v>
      </c>
      <c r="N820" t="s">
        <v>5474</v>
      </c>
      <c r="O820" t="s">
        <v>5479</v>
      </c>
    </row>
    <row r="821" spans="1:15" x14ac:dyDescent="0.3">
      <c r="A821" t="s">
        <v>816</v>
      </c>
      <c r="B821" t="s">
        <v>2156</v>
      </c>
      <c r="C821" t="s">
        <v>2944</v>
      </c>
      <c r="D821" t="s">
        <v>3999</v>
      </c>
      <c r="E821" t="s">
        <v>4549</v>
      </c>
      <c r="F821" t="s">
        <v>4574</v>
      </c>
      <c r="G821" t="s">
        <v>4585</v>
      </c>
      <c r="H821" t="s">
        <v>4602</v>
      </c>
      <c r="I821">
        <v>-1</v>
      </c>
      <c r="J821">
        <v>4.1500000000000004</v>
      </c>
      <c r="L821">
        <v>4.67</v>
      </c>
      <c r="M821" t="s">
        <v>5465</v>
      </c>
      <c r="N821" t="s">
        <v>5470</v>
      </c>
      <c r="O821" t="s">
        <v>5478</v>
      </c>
    </row>
    <row r="822" spans="1:15" x14ac:dyDescent="0.3">
      <c r="A822" t="s">
        <v>817</v>
      </c>
      <c r="B822" t="s">
        <v>2157</v>
      </c>
      <c r="C822" t="s">
        <v>2980</v>
      </c>
      <c r="D822" t="s">
        <v>4000</v>
      </c>
      <c r="E822" t="s">
        <v>4559</v>
      </c>
      <c r="F822" t="s">
        <v>4582</v>
      </c>
      <c r="G822" t="s">
        <v>4586</v>
      </c>
      <c r="H822" t="s">
        <v>4599</v>
      </c>
      <c r="I822">
        <v>10</v>
      </c>
      <c r="J822" t="s">
        <v>5104</v>
      </c>
      <c r="K822">
        <v>0</v>
      </c>
      <c r="L822">
        <v>9.66</v>
      </c>
      <c r="M822" t="s">
        <v>5462</v>
      </c>
      <c r="N822" t="s">
        <v>5473</v>
      </c>
      <c r="O822" t="s">
        <v>5477</v>
      </c>
    </row>
    <row r="823" spans="1:15" x14ac:dyDescent="0.3">
      <c r="A823" t="s">
        <v>818</v>
      </c>
      <c r="B823" t="s">
        <v>2158</v>
      </c>
      <c r="C823" t="s">
        <v>2763</v>
      </c>
      <c r="D823" t="s">
        <v>4001</v>
      </c>
      <c r="E823" t="s">
        <v>4561</v>
      </c>
      <c r="F823" t="s">
        <v>4572</v>
      </c>
      <c r="G823" t="s">
        <v>4584</v>
      </c>
      <c r="H823" t="s">
        <v>4595</v>
      </c>
      <c r="I823">
        <v>1</v>
      </c>
      <c r="J823">
        <v>43.52</v>
      </c>
      <c r="K823">
        <v>0</v>
      </c>
      <c r="L823">
        <v>9.3699999999999992</v>
      </c>
      <c r="M823" t="s">
        <v>5467</v>
      </c>
      <c r="O823" t="s">
        <v>5475</v>
      </c>
    </row>
    <row r="824" spans="1:15" x14ac:dyDescent="0.3">
      <c r="A824" t="s">
        <v>819</v>
      </c>
      <c r="B824" t="s">
        <v>2159</v>
      </c>
      <c r="C824" t="s">
        <v>3016</v>
      </c>
      <c r="D824" t="s">
        <v>4002</v>
      </c>
      <c r="E824" t="s">
        <v>4560</v>
      </c>
      <c r="F824" t="s">
        <v>4574</v>
      </c>
      <c r="G824" t="s">
        <v>4585</v>
      </c>
      <c r="H824" t="s">
        <v>4592</v>
      </c>
      <c r="I824">
        <v>2</v>
      </c>
      <c r="J824">
        <v>6.34</v>
      </c>
      <c r="K824">
        <v>0.15</v>
      </c>
      <c r="L824">
        <v>11.4</v>
      </c>
      <c r="M824" t="s">
        <v>5467</v>
      </c>
      <c r="N824" t="s">
        <v>5473</v>
      </c>
      <c r="O824" t="s">
        <v>5477</v>
      </c>
    </row>
    <row r="825" spans="1:15" x14ac:dyDescent="0.3">
      <c r="A825" t="s">
        <v>820</v>
      </c>
      <c r="B825" t="s">
        <v>2160</v>
      </c>
      <c r="C825" t="s">
        <v>2978</v>
      </c>
      <c r="D825" t="s">
        <v>4003</v>
      </c>
      <c r="E825" t="s">
        <v>4569</v>
      </c>
      <c r="F825" t="s">
        <v>4581</v>
      </c>
      <c r="G825" t="s">
        <v>4586</v>
      </c>
      <c r="H825" t="s">
        <v>4599</v>
      </c>
      <c r="I825">
        <v>4</v>
      </c>
      <c r="J825">
        <v>240.95</v>
      </c>
      <c r="K825">
        <v>0.05</v>
      </c>
      <c r="L825">
        <v>2.9</v>
      </c>
      <c r="M825" t="s">
        <v>5463</v>
      </c>
      <c r="N825" t="s">
        <v>5473</v>
      </c>
      <c r="O825" t="s">
        <v>5476</v>
      </c>
    </row>
    <row r="826" spans="1:15" x14ac:dyDescent="0.3">
      <c r="A826" t="s">
        <v>821</v>
      </c>
      <c r="B826" t="s">
        <v>1420</v>
      </c>
      <c r="C826" t="s">
        <v>2626</v>
      </c>
      <c r="D826" t="s">
        <v>4004</v>
      </c>
      <c r="E826" t="s">
        <v>4563</v>
      </c>
      <c r="F826" t="s">
        <v>4573</v>
      </c>
      <c r="G826" t="s">
        <v>4586</v>
      </c>
      <c r="H826" t="s">
        <v>4599</v>
      </c>
      <c r="I826">
        <v>5</v>
      </c>
      <c r="J826">
        <v>245.66</v>
      </c>
      <c r="K826">
        <v>0.05</v>
      </c>
      <c r="L826">
        <v>1.36</v>
      </c>
      <c r="M826" t="s">
        <v>5465</v>
      </c>
      <c r="N826" t="s">
        <v>5470</v>
      </c>
      <c r="O826" t="s">
        <v>5480</v>
      </c>
    </row>
    <row r="827" spans="1:15" x14ac:dyDescent="0.3">
      <c r="A827" t="s">
        <v>822</v>
      </c>
      <c r="B827" t="s">
        <v>1842</v>
      </c>
      <c r="C827" t="s">
        <v>2967</v>
      </c>
      <c r="D827" t="s">
        <v>4005</v>
      </c>
      <c r="E827" t="s">
        <v>4554</v>
      </c>
      <c r="F827" t="s">
        <v>4574</v>
      </c>
      <c r="G827" t="s">
        <v>4587</v>
      </c>
      <c r="H827" t="s">
        <v>4600</v>
      </c>
      <c r="I827">
        <v>4</v>
      </c>
      <c r="J827" t="s">
        <v>5105</v>
      </c>
      <c r="K827">
        <v>0.05</v>
      </c>
      <c r="L827">
        <v>12.68</v>
      </c>
      <c r="M827" t="s">
        <v>5466</v>
      </c>
      <c r="N827" t="s">
        <v>5471</v>
      </c>
      <c r="O827" t="s">
        <v>5480</v>
      </c>
    </row>
    <row r="828" spans="1:15" x14ac:dyDescent="0.3">
      <c r="A828" t="s">
        <v>823</v>
      </c>
      <c r="B828" t="s">
        <v>2161</v>
      </c>
      <c r="C828" t="s">
        <v>2896</v>
      </c>
      <c r="D828" t="s">
        <v>4006</v>
      </c>
      <c r="E828" t="s">
        <v>4559</v>
      </c>
      <c r="F828" t="s">
        <v>4573</v>
      </c>
      <c r="G828" t="s">
        <v>4587</v>
      </c>
      <c r="H828" t="s">
        <v>4600</v>
      </c>
      <c r="I828">
        <v>1</v>
      </c>
      <c r="J828" t="s">
        <v>5106</v>
      </c>
      <c r="L828">
        <v>0.17</v>
      </c>
      <c r="M828" t="s">
        <v>5462</v>
      </c>
      <c r="N828" t="s">
        <v>5472</v>
      </c>
      <c r="O828" t="s">
        <v>5477</v>
      </c>
    </row>
    <row r="829" spans="1:15" x14ac:dyDescent="0.3">
      <c r="A829" t="s">
        <v>599</v>
      </c>
      <c r="B829" t="s">
        <v>1968</v>
      </c>
      <c r="C829" t="s">
        <v>2949</v>
      </c>
      <c r="D829" t="s">
        <v>3798</v>
      </c>
      <c r="E829" t="s">
        <v>4549</v>
      </c>
      <c r="F829" t="s">
        <v>4573</v>
      </c>
      <c r="G829" t="s">
        <v>4586</v>
      </c>
      <c r="H829" t="s">
        <v>4599</v>
      </c>
      <c r="I829">
        <v>2</v>
      </c>
      <c r="J829">
        <v>245.9</v>
      </c>
      <c r="K829">
        <v>0</v>
      </c>
      <c r="L829">
        <v>5.51</v>
      </c>
      <c r="M829" t="s">
        <v>5462</v>
      </c>
      <c r="N829" t="s">
        <v>5471</v>
      </c>
      <c r="O829" t="s">
        <v>5477</v>
      </c>
    </row>
    <row r="830" spans="1:15" x14ac:dyDescent="0.3">
      <c r="A830" t="s">
        <v>824</v>
      </c>
      <c r="B830" t="s">
        <v>2118</v>
      </c>
      <c r="C830" t="s">
        <v>2919</v>
      </c>
      <c r="D830" t="s">
        <v>4007</v>
      </c>
      <c r="E830" t="s">
        <v>4553</v>
      </c>
      <c r="F830" t="s">
        <v>4577</v>
      </c>
      <c r="G830" t="s">
        <v>4586</v>
      </c>
      <c r="H830" t="s">
        <v>4597</v>
      </c>
      <c r="I830">
        <v>-1</v>
      </c>
      <c r="J830">
        <v>87.76</v>
      </c>
      <c r="L830">
        <v>9.32</v>
      </c>
      <c r="M830" t="s">
        <v>5467</v>
      </c>
      <c r="N830" t="s">
        <v>5471</v>
      </c>
      <c r="O830" t="s">
        <v>5475</v>
      </c>
    </row>
    <row r="831" spans="1:15" x14ac:dyDescent="0.3">
      <c r="A831" t="s">
        <v>825</v>
      </c>
      <c r="B831" t="s">
        <v>2162</v>
      </c>
      <c r="C831" t="s">
        <v>2730</v>
      </c>
      <c r="D831" t="s">
        <v>4008</v>
      </c>
      <c r="E831" t="s">
        <v>4564</v>
      </c>
      <c r="F831" t="s">
        <v>4578</v>
      </c>
      <c r="G831" t="s">
        <v>4584</v>
      </c>
      <c r="H831" t="s">
        <v>4607</v>
      </c>
      <c r="I831">
        <v>3</v>
      </c>
      <c r="J831" t="s">
        <v>5107</v>
      </c>
      <c r="K831">
        <v>0.05</v>
      </c>
      <c r="L831">
        <v>8.34</v>
      </c>
      <c r="N831" t="s">
        <v>5472</v>
      </c>
      <c r="O831" t="s">
        <v>5477</v>
      </c>
    </row>
    <row r="832" spans="1:15" x14ac:dyDescent="0.3">
      <c r="A832" t="s">
        <v>826</v>
      </c>
      <c r="B832" t="s">
        <v>2163</v>
      </c>
      <c r="C832" t="s">
        <v>2639</v>
      </c>
      <c r="D832" t="s">
        <v>4009</v>
      </c>
      <c r="E832" t="s">
        <v>4561</v>
      </c>
      <c r="F832" t="s">
        <v>4581</v>
      </c>
      <c r="G832" t="s">
        <v>4585</v>
      </c>
      <c r="H832" t="s">
        <v>4592</v>
      </c>
      <c r="I832">
        <v>1</v>
      </c>
      <c r="J832">
        <v>6.76</v>
      </c>
      <c r="K832">
        <v>0.1</v>
      </c>
      <c r="L832">
        <v>6.81</v>
      </c>
      <c r="N832" t="s">
        <v>5469</v>
      </c>
      <c r="O832" t="s">
        <v>5477</v>
      </c>
    </row>
    <row r="833" spans="1:15" x14ac:dyDescent="0.3">
      <c r="A833" t="s">
        <v>827</v>
      </c>
      <c r="B833" t="s">
        <v>1876</v>
      </c>
      <c r="C833" t="s">
        <v>3095</v>
      </c>
      <c r="D833" t="s">
        <v>4010</v>
      </c>
      <c r="E833" t="s">
        <v>4569</v>
      </c>
      <c r="F833" t="s">
        <v>4580</v>
      </c>
      <c r="G833" t="s">
        <v>4585</v>
      </c>
      <c r="H833" t="s">
        <v>4602</v>
      </c>
      <c r="I833">
        <v>5</v>
      </c>
      <c r="J833" t="s">
        <v>5108</v>
      </c>
      <c r="K833" t="s">
        <v>5460</v>
      </c>
      <c r="L833">
        <v>8.14</v>
      </c>
      <c r="M833" t="s">
        <v>5463</v>
      </c>
      <c r="N833" t="s">
        <v>5470</v>
      </c>
      <c r="O833" t="s">
        <v>5478</v>
      </c>
    </row>
    <row r="834" spans="1:15" x14ac:dyDescent="0.3">
      <c r="A834" t="s">
        <v>828</v>
      </c>
      <c r="B834" t="s">
        <v>2164</v>
      </c>
      <c r="C834" t="s">
        <v>3096</v>
      </c>
      <c r="D834" t="s">
        <v>4011</v>
      </c>
      <c r="E834" t="s">
        <v>4548</v>
      </c>
      <c r="F834" t="s">
        <v>4573</v>
      </c>
      <c r="G834" t="s">
        <v>4587</v>
      </c>
      <c r="H834" t="s">
        <v>4606</v>
      </c>
      <c r="I834">
        <v>2</v>
      </c>
      <c r="J834">
        <v>28.97</v>
      </c>
      <c r="L834">
        <v>1.8</v>
      </c>
      <c r="M834" t="s">
        <v>5462</v>
      </c>
      <c r="N834" t="s">
        <v>5472</v>
      </c>
      <c r="O834" t="s">
        <v>5479</v>
      </c>
    </row>
    <row r="835" spans="1:15" x14ac:dyDescent="0.3">
      <c r="A835" t="s">
        <v>829</v>
      </c>
      <c r="B835" t="s">
        <v>2165</v>
      </c>
      <c r="C835" t="s">
        <v>2916</v>
      </c>
      <c r="D835" t="s">
        <v>4012</v>
      </c>
      <c r="E835" t="s">
        <v>4554</v>
      </c>
      <c r="F835" t="s">
        <v>4573</v>
      </c>
      <c r="G835" t="s">
        <v>4587</v>
      </c>
      <c r="H835" t="s">
        <v>4594</v>
      </c>
      <c r="I835">
        <v>2</v>
      </c>
      <c r="J835" t="s">
        <v>5109</v>
      </c>
      <c r="K835">
        <v>0</v>
      </c>
      <c r="L835">
        <v>12.1</v>
      </c>
      <c r="N835" t="s">
        <v>5471</v>
      </c>
      <c r="O835" t="s">
        <v>5477</v>
      </c>
    </row>
    <row r="836" spans="1:15" x14ac:dyDescent="0.3">
      <c r="A836" t="s">
        <v>830</v>
      </c>
      <c r="B836" t="s">
        <v>2166</v>
      </c>
      <c r="C836" t="s">
        <v>2644</v>
      </c>
      <c r="D836" t="s">
        <v>4013</v>
      </c>
      <c r="E836" t="s">
        <v>4560</v>
      </c>
      <c r="F836" t="s">
        <v>4574</v>
      </c>
      <c r="G836" t="s">
        <v>4583</v>
      </c>
      <c r="H836" t="s">
        <v>4588</v>
      </c>
      <c r="I836">
        <v>10</v>
      </c>
      <c r="J836" t="s">
        <v>5110</v>
      </c>
      <c r="K836">
        <v>0</v>
      </c>
      <c r="L836">
        <v>6.59</v>
      </c>
      <c r="M836" t="s">
        <v>5468</v>
      </c>
      <c r="N836" t="s">
        <v>5470</v>
      </c>
      <c r="O836" t="s">
        <v>5475</v>
      </c>
    </row>
    <row r="837" spans="1:15" x14ac:dyDescent="0.3">
      <c r="A837" t="s">
        <v>831</v>
      </c>
      <c r="B837" t="s">
        <v>2167</v>
      </c>
      <c r="C837" t="s">
        <v>3030</v>
      </c>
      <c r="D837" t="s">
        <v>4014</v>
      </c>
      <c r="E837" t="s">
        <v>4554</v>
      </c>
      <c r="F837" t="s">
        <v>4574</v>
      </c>
      <c r="G837" t="s">
        <v>4583</v>
      </c>
      <c r="H837" t="s">
        <v>4610</v>
      </c>
      <c r="I837">
        <v>10</v>
      </c>
      <c r="J837">
        <v>82.94</v>
      </c>
      <c r="K837">
        <v>0.1</v>
      </c>
      <c r="L837">
        <v>2.06</v>
      </c>
      <c r="M837" t="s">
        <v>5463</v>
      </c>
      <c r="N837" t="s">
        <v>5472</v>
      </c>
      <c r="O837" t="s">
        <v>5480</v>
      </c>
    </row>
    <row r="838" spans="1:15" x14ac:dyDescent="0.3">
      <c r="A838" t="s">
        <v>832</v>
      </c>
      <c r="B838" t="s">
        <v>2168</v>
      </c>
      <c r="C838" t="s">
        <v>3097</v>
      </c>
      <c r="D838" t="s">
        <v>4015</v>
      </c>
      <c r="E838" t="s">
        <v>4567</v>
      </c>
      <c r="F838" t="s">
        <v>4573</v>
      </c>
      <c r="G838" t="s">
        <v>4587</v>
      </c>
      <c r="H838" t="s">
        <v>4596</v>
      </c>
      <c r="I838">
        <v>10</v>
      </c>
      <c r="J838">
        <v>14.86</v>
      </c>
      <c r="K838">
        <v>0</v>
      </c>
      <c r="L838">
        <v>5.03</v>
      </c>
      <c r="M838" t="s">
        <v>5466</v>
      </c>
      <c r="N838" t="s">
        <v>5472</v>
      </c>
      <c r="O838" t="s">
        <v>5476</v>
      </c>
    </row>
    <row r="839" spans="1:15" x14ac:dyDescent="0.3">
      <c r="A839" t="s">
        <v>833</v>
      </c>
      <c r="B839" t="s">
        <v>2169</v>
      </c>
      <c r="C839" t="s">
        <v>2855</v>
      </c>
      <c r="D839" t="s">
        <v>4016</v>
      </c>
      <c r="E839" t="s">
        <v>4558</v>
      </c>
      <c r="F839" t="s">
        <v>4581</v>
      </c>
      <c r="G839" t="s">
        <v>4585</v>
      </c>
      <c r="H839" t="s">
        <v>4591</v>
      </c>
      <c r="I839">
        <v>2</v>
      </c>
      <c r="J839" t="s">
        <v>5111</v>
      </c>
      <c r="K839" t="s">
        <v>5461</v>
      </c>
      <c r="M839" t="s">
        <v>5467</v>
      </c>
      <c r="N839" t="s">
        <v>5470</v>
      </c>
      <c r="O839" t="s">
        <v>5475</v>
      </c>
    </row>
    <row r="840" spans="1:15" x14ac:dyDescent="0.3">
      <c r="A840" t="s">
        <v>834</v>
      </c>
      <c r="B840" t="s">
        <v>1798</v>
      </c>
      <c r="C840" t="s">
        <v>3098</v>
      </c>
      <c r="D840" t="s">
        <v>4017</v>
      </c>
      <c r="E840" t="s">
        <v>4562</v>
      </c>
      <c r="F840" t="s">
        <v>4575</v>
      </c>
      <c r="G840" t="s">
        <v>4584</v>
      </c>
      <c r="H840" t="s">
        <v>4608</v>
      </c>
      <c r="I840">
        <v>2</v>
      </c>
      <c r="J840">
        <v>18.350000000000001</v>
      </c>
      <c r="K840" t="s">
        <v>5460</v>
      </c>
      <c r="L840">
        <v>5.58</v>
      </c>
      <c r="N840" t="s">
        <v>5472</v>
      </c>
      <c r="O840" t="s">
        <v>5480</v>
      </c>
    </row>
    <row r="841" spans="1:15" x14ac:dyDescent="0.3">
      <c r="A841" t="s">
        <v>835</v>
      </c>
      <c r="B841" t="s">
        <v>1942</v>
      </c>
      <c r="C841" t="s">
        <v>2628</v>
      </c>
      <c r="D841" t="s">
        <v>4018</v>
      </c>
      <c r="E841" t="s">
        <v>4562</v>
      </c>
      <c r="F841" t="s">
        <v>4575</v>
      </c>
      <c r="G841" t="s">
        <v>4587</v>
      </c>
      <c r="H841" t="s">
        <v>4596</v>
      </c>
      <c r="I841">
        <v>4</v>
      </c>
      <c r="J841">
        <v>14.8</v>
      </c>
      <c r="K841" t="s">
        <v>5461</v>
      </c>
      <c r="L841">
        <v>9.6999999999999993</v>
      </c>
      <c r="M841" t="s">
        <v>5466</v>
      </c>
      <c r="N841" t="s">
        <v>5474</v>
      </c>
      <c r="O841" t="s">
        <v>5477</v>
      </c>
    </row>
    <row r="842" spans="1:15" x14ac:dyDescent="0.3">
      <c r="A842" t="s">
        <v>836</v>
      </c>
      <c r="B842" t="s">
        <v>2170</v>
      </c>
      <c r="C842" t="s">
        <v>3099</v>
      </c>
      <c r="D842" t="s">
        <v>4019</v>
      </c>
      <c r="E842" t="s">
        <v>4560</v>
      </c>
      <c r="F842" t="s">
        <v>4573</v>
      </c>
      <c r="G842" t="s">
        <v>4586</v>
      </c>
      <c r="H842" t="s">
        <v>4599</v>
      </c>
      <c r="I842">
        <v>10</v>
      </c>
      <c r="J842" t="s">
        <v>5112</v>
      </c>
      <c r="K842">
        <v>0</v>
      </c>
      <c r="L842">
        <v>9.51</v>
      </c>
      <c r="M842" t="s">
        <v>5468</v>
      </c>
      <c r="N842" t="s">
        <v>5469</v>
      </c>
      <c r="O842" t="s">
        <v>5480</v>
      </c>
    </row>
    <row r="843" spans="1:15" x14ac:dyDescent="0.3">
      <c r="A843" t="s">
        <v>837</v>
      </c>
      <c r="B843" t="s">
        <v>2171</v>
      </c>
      <c r="C843" t="s">
        <v>2664</v>
      </c>
      <c r="D843" t="s">
        <v>4020</v>
      </c>
      <c r="E843" t="s">
        <v>4548</v>
      </c>
      <c r="F843" t="s">
        <v>4578</v>
      </c>
      <c r="G843" t="s">
        <v>4586</v>
      </c>
      <c r="H843" t="s">
        <v>4609</v>
      </c>
      <c r="I843">
        <v>5</v>
      </c>
      <c r="J843" t="s">
        <v>5113</v>
      </c>
      <c r="K843">
        <v>0.15</v>
      </c>
      <c r="L843">
        <v>3.68</v>
      </c>
      <c r="M843" t="s">
        <v>5468</v>
      </c>
      <c r="N843" t="s">
        <v>5474</v>
      </c>
      <c r="O843" t="s">
        <v>5480</v>
      </c>
    </row>
    <row r="844" spans="1:15" x14ac:dyDescent="0.3">
      <c r="A844" t="s">
        <v>838</v>
      </c>
      <c r="B844" t="s">
        <v>2172</v>
      </c>
      <c r="C844" t="s">
        <v>3085</v>
      </c>
      <c r="D844" t="s">
        <v>4021</v>
      </c>
      <c r="E844" t="s">
        <v>4558</v>
      </c>
      <c r="F844" t="s">
        <v>4572</v>
      </c>
      <c r="G844" t="s">
        <v>4586</v>
      </c>
      <c r="H844" t="s">
        <v>4597</v>
      </c>
      <c r="I844">
        <v>1</v>
      </c>
      <c r="J844">
        <v>92.18</v>
      </c>
      <c r="K844">
        <v>0</v>
      </c>
      <c r="L844">
        <v>12.93</v>
      </c>
      <c r="M844" t="s">
        <v>5465</v>
      </c>
      <c r="N844" t="s">
        <v>5469</v>
      </c>
      <c r="O844" t="s">
        <v>5477</v>
      </c>
    </row>
    <row r="845" spans="1:15" x14ac:dyDescent="0.3">
      <c r="A845" t="s">
        <v>839</v>
      </c>
      <c r="B845" t="s">
        <v>2173</v>
      </c>
      <c r="C845" t="s">
        <v>2763</v>
      </c>
      <c r="D845" t="s">
        <v>4022</v>
      </c>
      <c r="E845" t="s">
        <v>4549</v>
      </c>
      <c r="F845" t="s">
        <v>4573</v>
      </c>
      <c r="G845" t="s">
        <v>4586</v>
      </c>
      <c r="H845" t="s">
        <v>4593</v>
      </c>
      <c r="I845">
        <v>1</v>
      </c>
      <c r="J845">
        <v>109.45</v>
      </c>
      <c r="K845" t="s">
        <v>5460</v>
      </c>
      <c r="L845">
        <v>0</v>
      </c>
      <c r="M845" t="s">
        <v>5467</v>
      </c>
      <c r="N845" t="s">
        <v>5473</v>
      </c>
      <c r="O845" t="s">
        <v>5477</v>
      </c>
    </row>
    <row r="846" spans="1:15" x14ac:dyDescent="0.3">
      <c r="A846" t="s">
        <v>840</v>
      </c>
      <c r="B846" t="s">
        <v>1520</v>
      </c>
      <c r="C846" t="s">
        <v>2825</v>
      </c>
      <c r="D846" t="s">
        <v>4023</v>
      </c>
      <c r="E846" t="s">
        <v>4552</v>
      </c>
      <c r="F846" t="s">
        <v>4576</v>
      </c>
      <c r="G846" t="s">
        <v>4587</v>
      </c>
      <c r="H846" t="s">
        <v>4596</v>
      </c>
      <c r="I846">
        <v>1</v>
      </c>
      <c r="J846">
        <v>15.27</v>
      </c>
      <c r="K846">
        <v>0</v>
      </c>
      <c r="L846">
        <v>2.13</v>
      </c>
      <c r="M846" t="s">
        <v>5468</v>
      </c>
      <c r="N846" t="s">
        <v>5470</v>
      </c>
      <c r="O846" t="s">
        <v>5475</v>
      </c>
    </row>
    <row r="847" spans="1:15" x14ac:dyDescent="0.3">
      <c r="A847" t="s">
        <v>841</v>
      </c>
      <c r="B847" t="s">
        <v>2174</v>
      </c>
      <c r="C847" t="s">
        <v>3100</v>
      </c>
      <c r="D847" t="s">
        <v>4024</v>
      </c>
      <c r="E847" t="s">
        <v>4564</v>
      </c>
      <c r="F847" t="s">
        <v>4573</v>
      </c>
      <c r="G847" t="s">
        <v>4586</v>
      </c>
      <c r="H847" t="s">
        <v>4599</v>
      </c>
      <c r="I847">
        <v>2</v>
      </c>
      <c r="J847" t="s">
        <v>5114</v>
      </c>
      <c r="K847" t="s">
        <v>5461</v>
      </c>
      <c r="L847">
        <v>7.67</v>
      </c>
      <c r="M847" t="s">
        <v>5467</v>
      </c>
      <c r="N847" t="s">
        <v>5472</v>
      </c>
      <c r="O847" t="s">
        <v>5478</v>
      </c>
    </row>
    <row r="848" spans="1:15" x14ac:dyDescent="0.3">
      <c r="A848" t="s">
        <v>842</v>
      </c>
      <c r="B848" t="s">
        <v>2175</v>
      </c>
      <c r="C848" t="s">
        <v>2732</v>
      </c>
      <c r="D848" t="s">
        <v>4025</v>
      </c>
      <c r="E848" t="s">
        <v>4555</v>
      </c>
      <c r="F848" t="s">
        <v>4578</v>
      </c>
      <c r="G848" t="s">
        <v>4586</v>
      </c>
      <c r="H848" t="s">
        <v>4597</v>
      </c>
      <c r="I848">
        <v>2</v>
      </c>
      <c r="J848" t="s">
        <v>5115</v>
      </c>
      <c r="K848">
        <v>0.1</v>
      </c>
      <c r="L848">
        <v>11.39</v>
      </c>
      <c r="M848" t="s">
        <v>5463</v>
      </c>
      <c r="N848" t="s">
        <v>5470</v>
      </c>
      <c r="O848" t="s">
        <v>5475</v>
      </c>
    </row>
    <row r="849" spans="1:15" x14ac:dyDescent="0.3">
      <c r="A849" t="s">
        <v>843</v>
      </c>
      <c r="B849" t="s">
        <v>2176</v>
      </c>
      <c r="C849" t="s">
        <v>2764</v>
      </c>
      <c r="D849" t="s">
        <v>4026</v>
      </c>
      <c r="E849" t="s">
        <v>4550</v>
      </c>
      <c r="F849" t="s">
        <v>4573</v>
      </c>
      <c r="G849" t="s">
        <v>4586</v>
      </c>
      <c r="H849" t="s">
        <v>4597</v>
      </c>
      <c r="I849">
        <v>4</v>
      </c>
      <c r="J849" t="s">
        <v>5116</v>
      </c>
      <c r="K849">
        <v>0</v>
      </c>
      <c r="L849">
        <v>13.8</v>
      </c>
      <c r="M849" t="s">
        <v>5467</v>
      </c>
      <c r="N849" t="s">
        <v>5470</v>
      </c>
      <c r="O849" t="s">
        <v>5477</v>
      </c>
    </row>
    <row r="850" spans="1:15" x14ac:dyDescent="0.3">
      <c r="A850" t="s">
        <v>844</v>
      </c>
      <c r="B850" t="s">
        <v>2177</v>
      </c>
      <c r="C850" t="s">
        <v>2815</v>
      </c>
      <c r="D850" t="s">
        <v>4027</v>
      </c>
      <c r="E850" t="s">
        <v>4552</v>
      </c>
      <c r="F850" t="s">
        <v>4576</v>
      </c>
      <c r="G850" t="s">
        <v>4587</v>
      </c>
      <c r="H850" t="s">
        <v>4606</v>
      </c>
      <c r="I850">
        <v>3</v>
      </c>
      <c r="J850" t="s">
        <v>5117</v>
      </c>
      <c r="K850">
        <v>0</v>
      </c>
      <c r="L850">
        <v>5.23</v>
      </c>
      <c r="N850" t="s">
        <v>5471</v>
      </c>
      <c r="O850" t="s">
        <v>5477</v>
      </c>
    </row>
    <row r="851" spans="1:15" x14ac:dyDescent="0.3">
      <c r="A851" t="s">
        <v>845</v>
      </c>
      <c r="B851" t="s">
        <v>2178</v>
      </c>
      <c r="C851" t="s">
        <v>3035</v>
      </c>
      <c r="D851" t="s">
        <v>4028</v>
      </c>
      <c r="E851" t="s">
        <v>4565</v>
      </c>
      <c r="F851" t="s">
        <v>4576</v>
      </c>
      <c r="G851" t="s">
        <v>4585</v>
      </c>
      <c r="H851" t="s">
        <v>4592</v>
      </c>
      <c r="I851">
        <v>5</v>
      </c>
      <c r="J851" t="s">
        <v>4877</v>
      </c>
      <c r="K851">
        <v>0</v>
      </c>
      <c r="L851">
        <v>10.78</v>
      </c>
      <c r="M851" t="s">
        <v>5465</v>
      </c>
      <c r="N851" t="s">
        <v>5473</v>
      </c>
      <c r="O851" t="s">
        <v>5477</v>
      </c>
    </row>
    <row r="852" spans="1:15" x14ac:dyDescent="0.3">
      <c r="A852" t="s">
        <v>846</v>
      </c>
      <c r="B852" t="s">
        <v>2179</v>
      </c>
      <c r="C852" t="s">
        <v>3054</v>
      </c>
      <c r="D852" t="s">
        <v>4029</v>
      </c>
      <c r="E852" t="s">
        <v>4564</v>
      </c>
      <c r="F852" t="s">
        <v>4573</v>
      </c>
      <c r="G852" t="s">
        <v>4583</v>
      </c>
      <c r="H852" t="s">
        <v>4605</v>
      </c>
      <c r="I852">
        <v>-1</v>
      </c>
      <c r="J852">
        <v>45.42</v>
      </c>
      <c r="K852">
        <v>0</v>
      </c>
      <c r="L852">
        <v>8.77</v>
      </c>
      <c r="M852" t="s">
        <v>5465</v>
      </c>
      <c r="N852" t="s">
        <v>5472</v>
      </c>
      <c r="O852" t="s">
        <v>5480</v>
      </c>
    </row>
    <row r="853" spans="1:15" x14ac:dyDescent="0.3">
      <c r="A853" t="s">
        <v>847</v>
      </c>
      <c r="B853" t="s">
        <v>2180</v>
      </c>
      <c r="C853" t="s">
        <v>2846</v>
      </c>
      <c r="D853" t="s">
        <v>4030</v>
      </c>
      <c r="E853" t="s">
        <v>4547</v>
      </c>
      <c r="G853" t="s">
        <v>4587</v>
      </c>
      <c r="H853" t="s">
        <v>4596</v>
      </c>
      <c r="I853">
        <v>3</v>
      </c>
      <c r="J853" t="s">
        <v>5118</v>
      </c>
      <c r="K853">
        <v>0</v>
      </c>
      <c r="L853">
        <v>13.52</v>
      </c>
      <c r="M853" t="s">
        <v>5464</v>
      </c>
      <c r="O853" t="s">
        <v>5480</v>
      </c>
    </row>
    <row r="854" spans="1:15" x14ac:dyDescent="0.3">
      <c r="A854" t="s">
        <v>848</v>
      </c>
      <c r="B854" t="s">
        <v>2181</v>
      </c>
      <c r="C854" t="s">
        <v>2946</v>
      </c>
      <c r="E854" t="s">
        <v>4559</v>
      </c>
      <c r="F854" t="s">
        <v>4577</v>
      </c>
      <c r="G854" t="s">
        <v>4587</v>
      </c>
      <c r="H854" t="s">
        <v>4596</v>
      </c>
      <c r="I854">
        <v>-1</v>
      </c>
      <c r="J854" t="s">
        <v>5119</v>
      </c>
      <c r="K854">
        <v>0</v>
      </c>
      <c r="L854">
        <v>0</v>
      </c>
      <c r="M854" t="s">
        <v>5467</v>
      </c>
      <c r="O854" t="s">
        <v>5477</v>
      </c>
    </row>
    <row r="855" spans="1:15" x14ac:dyDescent="0.3">
      <c r="A855" t="s">
        <v>849</v>
      </c>
      <c r="B855" t="s">
        <v>2096</v>
      </c>
      <c r="C855" t="s">
        <v>3101</v>
      </c>
      <c r="D855" t="s">
        <v>4031</v>
      </c>
      <c r="E855" t="s">
        <v>4553</v>
      </c>
      <c r="F855" t="s">
        <v>4582</v>
      </c>
      <c r="G855" t="s">
        <v>4586</v>
      </c>
      <c r="H855" t="s">
        <v>4593</v>
      </c>
      <c r="I855">
        <v>1</v>
      </c>
      <c r="J855" t="s">
        <v>5120</v>
      </c>
      <c r="K855">
        <v>0.15</v>
      </c>
      <c r="L855">
        <v>9.4600000000000009</v>
      </c>
      <c r="M855" t="s">
        <v>5466</v>
      </c>
      <c r="N855" t="s">
        <v>5473</v>
      </c>
      <c r="O855" t="s">
        <v>5475</v>
      </c>
    </row>
    <row r="856" spans="1:15" x14ac:dyDescent="0.3">
      <c r="A856" t="s">
        <v>850</v>
      </c>
      <c r="B856" t="s">
        <v>2182</v>
      </c>
      <c r="C856" t="s">
        <v>3096</v>
      </c>
      <c r="D856" t="s">
        <v>4032</v>
      </c>
      <c r="E856" t="s">
        <v>4568</v>
      </c>
      <c r="F856" t="s">
        <v>4577</v>
      </c>
      <c r="G856" t="s">
        <v>4585</v>
      </c>
      <c r="H856" t="s">
        <v>4592</v>
      </c>
      <c r="I856">
        <v>1</v>
      </c>
      <c r="J856" t="s">
        <v>5121</v>
      </c>
      <c r="K856">
        <v>0.15</v>
      </c>
      <c r="L856">
        <v>2.61</v>
      </c>
      <c r="M856" t="s">
        <v>5465</v>
      </c>
      <c r="N856" t="s">
        <v>5474</v>
      </c>
      <c r="O856" t="s">
        <v>5477</v>
      </c>
    </row>
    <row r="857" spans="1:15" x14ac:dyDescent="0.3">
      <c r="A857" t="s">
        <v>851</v>
      </c>
      <c r="B857" t="s">
        <v>1790</v>
      </c>
      <c r="C857" t="s">
        <v>3102</v>
      </c>
      <c r="D857" t="s">
        <v>4033</v>
      </c>
      <c r="E857" t="s">
        <v>4551</v>
      </c>
      <c r="F857" t="s">
        <v>4579</v>
      </c>
      <c r="G857" t="s">
        <v>4584</v>
      </c>
      <c r="H857" t="s">
        <v>4603</v>
      </c>
      <c r="I857">
        <v>1</v>
      </c>
      <c r="J857" t="s">
        <v>5122</v>
      </c>
      <c r="K857">
        <v>0</v>
      </c>
      <c r="L857">
        <v>11.4</v>
      </c>
      <c r="M857" t="s">
        <v>5466</v>
      </c>
      <c r="N857" t="s">
        <v>5469</v>
      </c>
      <c r="O857" t="s">
        <v>5480</v>
      </c>
    </row>
    <row r="858" spans="1:15" x14ac:dyDescent="0.3">
      <c r="A858" t="s">
        <v>852</v>
      </c>
      <c r="B858" t="s">
        <v>2183</v>
      </c>
      <c r="C858" t="s">
        <v>3094</v>
      </c>
      <c r="D858" t="s">
        <v>4034</v>
      </c>
      <c r="E858" t="s">
        <v>4556</v>
      </c>
      <c r="G858" t="s">
        <v>4583</v>
      </c>
      <c r="H858" t="s">
        <v>4610</v>
      </c>
      <c r="I858">
        <v>2</v>
      </c>
      <c r="J858" t="s">
        <v>5123</v>
      </c>
      <c r="L858">
        <v>5.22</v>
      </c>
      <c r="M858" t="s">
        <v>5468</v>
      </c>
      <c r="N858" t="s">
        <v>5474</v>
      </c>
      <c r="O858" t="s">
        <v>5475</v>
      </c>
    </row>
    <row r="859" spans="1:15" x14ac:dyDescent="0.3">
      <c r="A859" t="s">
        <v>853</v>
      </c>
      <c r="B859" t="s">
        <v>2184</v>
      </c>
      <c r="C859" t="s">
        <v>2868</v>
      </c>
      <c r="E859" t="s">
        <v>4555</v>
      </c>
      <c r="F859" t="s">
        <v>4578</v>
      </c>
      <c r="G859" t="s">
        <v>4585</v>
      </c>
      <c r="H859" t="s">
        <v>4591</v>
      </c>
      <c r="I859">
        <v>1</v>
      </c>
      <c r="J859" t="s">
        <v>5124</v>
      </c>
      <c r="K859">
        <v>0.1</v>
      </c>
      <c r="L859">
        <v>6.74</v>
      </c>
      <c r="M859" t="s">
        <v>5462</v>
      </c>
      <c r="O859" t="s">
        <v>5478</v>
      </c>
    </row>
    <row r="860" spans="1:15" x14ac:dyDescent="0.3">
      <c r="A860" t="s">
        <v>854</v>
      </c>
      <c r="B860" t="s">
        <v>2185</v>
      </c>
      <c r="C860" t="s">
        <v>2857</v>
      </c>
      <c r="D860" t="s">
        <v>4035</v>
      </c>
      <c r="E860" t="s">
        <v>4558</v>
      </c>
      <c r="F860" t="s">
        <v>4581</v>
      </c>
      <c r="G860" t="s">
        <v>4586</v>
      </c>
      <c r="H860" t="s">
        <v>4597</v>
      </c>
      <c r="I860">
        <v>4</v>
      </c>
      <c r="J860" t="s">
        <v>5125</v>
      </c>
      <c r="K860">
        <v>0.1</v>
      </c>
      <c r="L860">
        <v>3.77</v>
      </c>
      <c r="M860" t="s">
        <v>5466</v>
      </c>
      <c r="N860" t="s">
        <v>5474</v>
      </c>
      <c r="O860" t="s">
        <v>5477</v>
      </c>
    </row>
    <row r="861" spans="1:15" x14ac:dyDescent="0.3">
      <c r="A861" t="s">
        <v>855</v>
      </c>
      <c r="B861" t="s">
        <v>2186</v>
      </c>
      <c r="C861" t="s">
        <v>3035</v>
      </c>
      <c r="D861" t="s">
        <v>4036</v>
      </c>
      <c r="E861" t="s">
        <v>4555</v>
      </c>
      <c r="F861" t="s">
        <v>4578</v>
      </c>
      <c r="G861" t="s">
        <v>4586</v>
      </c>
      <c r="H861" t="s">
        <v>4597</v>
      </c>
      <c r="I861">
        <v>-1</v>
      </c>
      <c r="J861" t="s">
        <v>5126</v>
      </c>
      <c r="K861">
        <v>0</v>
      </c>
      <c r="L861">
        <v>2.34</v>
      </c>
      <c r="M861" t="s">
        <v>5466</v>
      </c>
      <c r="N861" t="s">
        <v>5469</v>
      </c>
      <c r="O861" t="s">
        <v>5477</v>
      </c>
    </row>
    <row r="862" spans="1:15" x14ac:dyDescent="0.3">
      <c r="A862" t="s">
        <v>856</v>
      </c>
      <c r="B862" t="s">
        <v>2187</v>
      </c>
      <c r="C862" t="s">
        <v>3103</v>
      </c>
      <c r="D862" t="s">
        <v>4037</v>
      </c>
      <c r="E862" t="s">
        <v>4570</v>
      </c>
      <c r="F862" t="s">
        <v>4573</v>
      </c>
      <c r="G862" t="s">
        <v>4585</v>
      </c>
      <c r="H862" t="s">
        <v>4598</v>
      </c>
      <c r="I862">
        <v>3</v>
      </c>
      <c r="J862" t="s">
        <v>4906</v>
      </c>
      <c r="K862">
        <v>0.05</v>
      </c>
      <c r="L862">
        <v>3.99</v>
      </c>
      <c r="M862" t="s">
        <v>5467</v>
      </c>
      <c r="N862" t="s">
        <v>5469</v>
      </c>
      <c r="O862" t="s">
        <v>5475</v>
      </c>
    </row>
    <row r="863" spans="1:15" x14ac:dyDescent="0.3">
      <c r="A863" t="s">
        <v>857</v>
      </c>
      <c r="B863" t="s">
        <v>2188</v>
      </c>
      <c r="C863" t="s">
        <v>2835</v>
      </c>
      <c r="D863" t="s">
        <v>4038</v>
      </c>
      <c r="E863" t="s">
        <v>4567</v>
      </c>
      <c r="F863" t="s">
        <v>4577</v>
      </c>
      <c r="G863" t="s">
        <v>4587</v>
      </c>
      <c r="H863" t="s">
        <v>4596</v>
      </c>
      <c r="I863">
        <v>1</v>
      </c>
      <c r="J863">
        <v>14.31</v>
      </c>
      <c r="K863">
        <v>0.1</v>
      </c>
      <c r="L863">
        <v>0</v>
      </c>
      <c r="M863" t="s">
        <v>5462</v>
      </c>
      <c r="N863" t="s">
        <v>5471</v>
      </c>
      <c r="O863" t="s">
        <v>5479</v>
      </c>
    </row>
    <row r="864" spans="1:15" x14ac:dyDescent="0.3">
      <c r="A864" t="s">
        <v>858</v>
      </c>
      <c r="B864" t="s">
        <v>2189</v>
      </c>
      <c r="C864" t="s">
        <v>2737</v>
      </c>
      <c r="D864" t="s">
        <v>4039</v>
      </c>
      <c r="E864" t="s">
        <v>4550</v>
      </c>
      <c r="F864" t="s">
        <v>4573</v>
      </c>
      <c r="G864" t="s">
        <v>4587</v>
      </c>
      <c r="H864" t="s">
        <v>4606</v>
      </c>
      <c r="I864">
        <v>4</v>
      </c>
      <c r="J864">
        <v>30.09</v>
      </c>
      <c r="L864">
        <v>0.08</v>
      </c>
      <c r="M864" t="s">
        <v>5468</v>
      </c>
      <c r="N864" t="s">
        <v>5470</v>
      </c>
      <c r="O864" t="s">
        <v>5480</v>
      </c>
    </row>
    <row r="865" spans="1:15" x14ac:dyDescent="0.3">
      <c r="A865" t="s">
        <v>859</v>
      </c>
      <c r="B865" t="s">
        <v>2190</v>
      </c>
      <c r="C865" t="s">
        <v>2862</v>
      </c>
      <c r="D865" t="s">
        <v>4040</v>
      </c>
      <c r="E865" t="s">
        <v>4567</v>
      </c>
      <c r="F865" t="s">
        <v>4577</v>
      </c>
      <c r="H865" t="s">
        <v>4608</v>
      </c>
      <c r="I865">
        <v>3</v>
      </c>
      <c r="J865" t="s">
        <v>5127</v>
      </c>
      <c r="K865">
        <v>0</v>
      </c>
      <c r="L865">
        <v>0</v>
      </c>
      <c r="M865" t="s">
        <v>5463</v>
      </c>
      <c r="N865" t="s">
        <v>5474</v>
      </c>
      <c r="O865" t="s">
        <v>5477</v>
      </c>
    </row>
    <row r="866" spans="1:15" x14ac:dyDescent="0.3">
      <c r="A866" t="s">
        <v>860</v>
      </c>
      <c r="B866" t="s">
        <v>2022</v>
      </c>
      <c r="C866" t="s">
        <v>3104</v>
      </c>
      <c r="D866" t="s">
        <v>4041</v>
      </c>
      <c r="E866" t="s">
        <v>4550</v>
      </c>
      <c r="F866" t="s">
        <v>4574</v>
      </c>
      <c r="G866" t="s">
        <v>4586</v>
      </c>
      <c r="H866" t="s">
        <v>4609</v>
      </c>
      <c r="I866">
        <v>10</v>
      </c>
      <c r="J866">
        <v>127.57</v>
      </c>
      <c r="K866">
        <v>0</v>
      </c>
      <c r="L866">
        <v>9.1</v>
      </c>
      <c r="M866" t="s">
        <v>5462</v>
      </c>
      <c r="O866" t="s">
        <v>5478</v>
      </c>
    </row>
    <row r="867" spans="1:15" x14ac:dyDescent="0.3">
      <c r="A867" t="s">
        <v>861</v>
      </c>
      <c r="B867" t="s">
        <v>2191</v>
      </c>
      <c r="C867" t="s">
        <v>2921</v>
      </c>
      <c r="D867" t="s">
        <v>4042</v>
      </c>
      <c r="E867" t="s">
        <v>4558</v>
      </c>
      <c r="F867" t="s">
        <v>4580</v>
      </c>
      <c r="G867" t="s">
        <v>4585</v>
      </c>
      <c r="H867" t="s">
        <v>4602</v>
      </c>
      <c r="I867">
        <v>3</v>
      </c>
      <c r="J867" t="s">
        <v>4712</v>
      </c>
      <c r="K867">
        <v>0</v>
      </c>
      <c r="L867">
        <v>11.92</v>
      </c>
      <c r="N867" t="s">
        <v>5471</v>
      </c>
      <c r="O867" t="s">
        <v>5479</v>
      </c>
    </row>
    <row r="868" spans="1:15" x14ac:dyDescent="0.3">
      <c r="A868" t="s">
        <v>862</v>
      </c>
      <c r="B868" t="s">
        <v>2192</v>
      </c>
      <c r="C868" t="s">
        <v>3077</v>
      </c>
      <c r="D868" t="s">
        <v>4043</v>
      </c>
      <c r="E868" t="s">
        <v>4553</v>
      </c>
      <c r="F868" t="s">
        <v>4582</v>
      </c>
      <c r="G868" t="s">
        <v>4584</v>
      </c>
      <c r="H868" t="s">
        <v>4608</v>
      </c>
      <c r="I868">
        <v>1</v>
      </c>
      <c r="J868">
        <v>18.07</v>
      </c>
      <c r="K868" t="s">
        <v>5461</v>
      </c>
      <c r="L868">
        <v>10.59</v>
      </c>
      <c r="N868" t="s">
        <v>5471</v>
      </c>
      <c r="O868" t="s">
        <v>5476</v>
      </c>
    </row>
    <row r="869" spans="1:15" x14ac:dyDescent="0.3">
      <c r="A869" t="s">
        <v>863</v>
      </c>
      <c r="B869" t="s">
        <v>2193</v>
      </c>
      <c r="C869" t="s">
        <v>2703</v>
      </c>
      <c r="D869" t="s">
        <v>4044</v>
      </c>
      <c r="E869" t="s">
        <v>4559</v>
      </c>
      <c r="F869" t="s">
        <v>4577</v>
      </c>
      <c r="G869" t="s">
        <v>4584</v>
      </c>
      <c r="H869" t="s">
        <v>4607</v>
      </c>
      <c r="I869">
        <v>4</v>
      </c>
      <c r="J869" t="s">
        <v>5128</v>
      </c>
      <c r="K869">
        <v>0.05</v>
      </c>
      <c r="L869">
        <v>1.0900000000000001</v>
      </c>
      <c r="M869" t="s">
        <v>5464</v>
      </c>
      <c r="N869" t="s">
        <v>5471</v>
      </c>
      <c r="O869" t="s">
        <v>5477</v>
      </c>
    </row>
    <row r="870" spans="1:15" x14ac:dyDescent="0.3">
      <c r="A870" t="s">
        <v>864</v>
      </c>
      <c r="B870" t="s">
        <v>2194</v>
      </c>
      <c r="C870" t="s">
        <v>3105</v>
      </c>
      <c r="D870" t="s">
        <v>4045</v>
      </c>
      <c r="E870" t="s">
        <v>4567</v>
      </c>
      <c r="F870" t="s">
        <v>4582</v>
      </c>
      <c r="G870" t="s">
        <v>4584</v>
      </c>
      <c r="H870" t="s">
        <v>4595</v>
      </c>
      <c r="I870">
        <v>1</v>
      </c>
      <c r="J870" t="s">
        <v>5129</v>
      </c>
      <c r="K870" t="s">
        <v>5461</v>
      </c>
      <c r="L870">
        <v>0</v>
      </c>
      <c r="M870" t="s">
        <v>5463</v>
      </c>
      <c r="N870" t="s">
        <v>5471</v>
      </c>
      <c r="O870" t="s">
        <v>5479</v>
      </c>
    </row>
    <row r="871" spans="1:15" x14ac:dyDescent="0.3">
      <c r="A871" t="s">
        <v>865</v>
      </c>
      <c r="B871" t="s">
        <v>1509</v>
      </c>
      <c r="C871" t="s">
        <v>3057</v>
      </c>
      <c r="D871" t="s">
        <v>4046</v>
      </c>
      <c r="E871" t="s">
        <v>4565</v>
      </c>
      <c r="F871" t="s">
        <v>4576</v>
      </c>
      <c r="G871" t="s">
        <v>4585</v>
      </c>
      <c r="H871" t="s">
        <v>4591</v>
      </c>
      <c r="I871">
        <v>1</v>
      </c>
      <c r="J871" t="s">
        <v>5130</v>
      </c>
      <c r="L871">
        <v>4.57</v>
      </c>
      <c r="M871" t="s">
        <v>5465</v>
      </c>
      <c r="N871" t="s">
        <v>5472</v>
      </c>
      <c r="O871" t="s">
        <v>5479</v>
      </c>
    </row>
    <row r="872" spans="1:15" x14ac:dyDescent="0.3">
      <c r="A872" t="s">
        <v>866</v>
      </c>
      <c r="B872" t="s">
        <v>2195</v>
      </c>
      <c r="C872" t="s">
        <v>3106</v>
      </c>
      <c r="D872" t="s">
        <v>4047</v>
      </c>
      <c r="E872" t="s">
        <v>4568</v>
      </c>
      <c r="F872" t="s">
        <v>4573</v>
      </c>
      <c r="G872" t="s">
        <v>4585</v>
      </c>
      <c r="H872" t="s">
        <v>4592</v>
      </c>
      <c r="I872">
        <v>4</v>
      </c>
      <c r="J872" t="s">
        <v>5131</v>
      </c>
      <c r="M872" t="s">
        <v>5466</v>
      </c>
      <c r="N872" t="s">
        <v>5473</v>
      </c>
      <c r="O872" t="s">
        <v>5478</v>
      </c>
    </row>
    <row r="873" spans="1:15" x14ac:dyDescent="0.3">
      <c r="A873" t="s">
        <v>867</v>
      </c>
      <c r="B873" t="s">
        <v>2196</v>
      </c>
      <c r="C873" t="s">
        <v>2735</v>
      </c>
      <c r="D873" t="s">
        <v>4048</v>
      </c>
      <c r="E873" t="s">
        <v>4559</v>
      </c>
      <c r="F873" t="s">
        <v>4577</v>
      </c>
      <c r="G873" t="s">
        <v>4583</v>
      </c>
      <c r="H873" t="s">
        <v>4605</v>
      </c>
      <c r="I873">
        <v>1</v>
      </c>
      <c r="J873" t="s">
        <v>5132</v>
      </c>
      <c r="K873" t="s">
        <v>5461</v>
      </c>
      <c r="L873">
        <v>13.93</v>
      </c>
      <c r="M873" t="s">
        <v>5468</v>
      </c>
      <c r="N873" t="s">
        <v>5469</v>
      </c>
      <c r="O873" t="s">
        <v>5479</v>
      </c>
    </row>
    <row r="874" spans="1:15" x14ac:dyDescent="0.3">
      <c r="A874" t="s">
        <v>868</v>
      </c>
      <c r="B874" t="s">
        <v>2197</v>
      </c>
      <c r="C874" t="s">
        <v>2931</v>
      </c>
      <c r="E874" t="s">
        <v>4558</v>
      </c>
      <c r="F874" t="s">
        <v>4572</v>
      </c>
      <c r="G874" t="s">
        <v>4585</v>
      </c>
      <c r="H874" t="s">
        <v>4592</v>
      </c>
      <c r="I874">
        <v>4</v>
      </c>
      <c r="J874" t="s">
        <v>4628</v>
      </c>
      <c r="K874">
        <v>0</v>
      </c>
      <c r="L874">
        <v>11.03</v>
      </c>
      <c r="M874" t="s">
        <v>5463</v>
      </c>
      <c r="N874" t="s">
        <v>5472</v>
      </c>
      <c r="O874" t="s">
        <v>5477</v>
      </c>
    </row>
    <row r="875" spans="1:15" x14ac:dyDescent="0.3">
      <c r="A875" t="s">
        <v>869</v>
      </c>
      <c r="B875" t="s">
        <v>2198</v>
      </c>
      <c r="C875" t="s">
        <v>2674</v>
      </c>
      <c r="D875" t="s">
        <v>4049</v>
      </c>
      <c r="E875" t="s">
        <v>4558</v>
      </c>
      <c r="F875" t="s">
        <v>4581</v>
      </c>
      <c r="G875" t="s">
        <v>4585</v>
      </c>
      <c r="H875" t="s">
        <v>4591</v>
      </c>
      <c r="I875">
        <v>2</v>
      </c>
      <c r="J875">
        <v>8.0299999999999994</v>
      </c>
      <c r="K875">
        <v>0.1</v>
      </c>
      <c r="L875">
        <v>4.8499999999999996</v>
      </c>
      <c r="M875" t="s">
        <v>5468</v>
      </c>
      <c r="N875" t="s">
        <v>5471</v>
      </c>
      <c r="O875" t="s">
        <v>5477</v>
      </c>
    </row>
    <row r="876" spans="1:15" x14ac:dyDescent="0.3">
      <c r="A876" t="s">
        <v>870</v>
      </c>
      <c r="B876" t="s">
        <v>2199</v>
      </c>
      <c r="C876" t="s">
        <v>3034</v>
      </c>
      <c r="D876" t="s">
        <v>4050</v>
      </c>
      <c r="E876" t="s">
        <v>4552</v>
      </c>
      <c r="F876" t="s">
        <v>4576</v>
      </c>
      <c r="G876" t="s">
        <v>4584</v>
      </c>
      <c r="H876" t="s">
        <v>4589</v>
      </c>
      <c r="I876">
        <v>10</v>
      </c>
      <c r="J876">
        <v>34.28</v>
      </c>
      <c r="L876">
        <v>5.57</v>
      </c>
      <c r="M876" t="s">
        <v>5467</v>
      </c>
      <c r="N876" t="s">
        <v>5469</v>
      </c>
      <c r="O876" t="s">
        <v>5476</v>
      </c>
    </row>
    <row r="877" spans="1:15" x14ac:dyDescent="0.3">
      <c r="A877" t="s">
        <v>871</v>
      </c>
      <c r="B877" t="s">
        <v>2200</v>
      </c>
      <c r="C877" t="s">
        <v>2638</v>
      </c>
      <c r="E877" t="s">
        <v>4571</v>
      </c>
      <c r="F877" t="s">
        <v>4573</v>
      </c>
      <c r="G877" t="s">
        <v>4584</v>
      </c>
      <c r="H877" t="s">
        <v>4601</v>
      </c>
      <c r="I877">
        <v>2</v>
      </c>
      <c r="J877">
        <v>191.26</v>
      </c>
      <c r="K877">
        <v>0.1</v>
      </c>
      <c r="L877">
        <v>11.15</v>
      </c>
      <c r="M877" t="s">
        <v>5466</v>
      </c>
      <c r="N877" t="s">
        <v>5474</v>
      </c>
      <c r="O877" t="s">
        <v>5480</v>
      </c>
    </row>
    <row r="878" spans="1:15" x14ac:dyDescent="0.3">
      <c r="A878" t="s">
        <v>872</v>
      </c>
      <c r="B878" t="s">
        <v>2201</v>
      </c>
      <c r="C878" t="s">
        <v>3107</v>
      </c>
      <c r="E878" t="s">
        <v>4567</v>
      </c>
      <c r="F878" t="s">
        <v>4577</v>
      </c>
      <c r="G878" t="s">
        <v>4583</v>
      </c>
      <c r="H878" t="s">
        <v>4604</v>
      </c>
      <c r="I878">
        <v>2</v>
      </c>
      <c r="J878">
        <v>21.81</v>
      </c>
      <c r="K878" t="s">
        <v>5460</v>
      </c>
      <c r="L878">
        <v>0</v>
      </c>
      <c r="M878" t="s">
        <v>5464</v>
      </c>
      <c r="N878" t="s">
        <v>5473</v>
      </c>
      <c r="O878" t="s">
        <v>5476</v>
      </c>
    </row>
    <row r="879" spans="1:15" x14ac:dyDescent="0.3">
      <c r="A879" t="s">
        <v>873</v>
      </c>
      <c r="B879" t="s">
        <v>2150</v>
      </c>
      <c r="C879" t="s">
        <v>2758</v>
      </c>
      <c r="D879" t="s">
        <v>4051</v>
      </c>
      <c r="E879" t="s">
        <v>4560</v>
      </c>
      <c r="F879" t="s">
        <v>4574</v>
      </c>
      <c r="G879" t="s">
        <v>4585</v>
      </c>
      <c r="H879" t="s">
        <v>4592</v>
      </c>
      <c r="I879">
        <v>4</v>
      </c>
      <c r="J879" t="s">
        <v>5133</v>
      </c>
      <c r="K879" t="s">
        <v>5460</v>
      </c>
      <c r="L879">
        <v>0</v>
      </c>
      <c r="M879" t="s">
        <v>5468</v>
      </c>
      <c r="N879" t="s">
        <v>5474</v>
      </c>
      <c r="O879" t="s">
        <v>5480</v>
      </c>
    </row>
    <row r="880" spans="1:15" x14ac:dyDescent="0.3">
      <c r="A880" t="s">
        <v>874</v>
      </c>
      <c r="B880" t="s">
        <v>2202</v>
      </c>
      <c r="C880" t="s">
        <v>2827</v>
      </c>
      <c r="D880" t="s">
        <v>4052</v>
      </c>
      <c r="E880" t="s">
        <v>4555</v>
      </c>
      <c r="F880" t="s">
        <v>4578</v>
      </c>
      <c r="G880" t="s">
        <v>4585</v>
      </c>
      <c r="H880" t="s">
        <v>4598</v>
      </c>
      <c r="I880">
        <v>1</v>
      </c>
      <c r="J880" t="s">
        <v>5001</v>
      </c>
      <c r="K880">
        <v>0.1</v>
      </c>
      <c r="L880">
        <v>0</v>
      </c>
      <c r="M880" t="s">
        <v>5468</v>
      </c>
      <c r="N880" t="s">
        <v>5472</v>
      </c>
      <c r="O880" t="s">
        <v>5479</v>
      </c>
    </row>
    <row r="881" spans="1:15" x14ac:dyDescent="0.3">
      <c r="A881" t="s">
        <v>875</v>
      </c>
      <c r="B881" t="s">
        <v>2203</v>
      </c>
      <c r="C881" t="s">
        <v>3108</v>
      </c>
      <c r="D881" t="s">
        <v>4053</v>
      </c>
      <c r="E881" t="s">
        <v>4552</v>
      </c>
      <c r="F881" t="s">
        <v>4576</v>
      </c>
      <c r="G881" t="s">
        <v>4585</v>
      </c>
      <c r="H881" t="s">
        <v>4598</v>
      </c>
      <c r="I881">
        <v>2</v>
      </c>
      <c r="J881" t="s">
        <v>5134</v>
      </c>
      <c r="K881">
        <v>0.1</v>
      </c>
      <c r="L881">
        <v>7.46</v>
      </c>
      <c r="M881" t="s">
        <v>5462</v>
      </c>
      <c r="O881" t="s">
        <v>5477</v>
      </c>
    </row>
    <row r="882" spans="1:15" x14ac:dyDescent="0.3">
      <c r="A882" t="s">
        <v>876</v>
      </c>
      <c r="B882" t="s">
        <v>2204</v>
      </c>
      <c r="C882" t="s">
        <v>3109</v>
      </c>
      <c r="D882" t="s">
        <v>4054</v>
      </c>
      <c r="E882" t="s">
        <v>4566</v>
      </c>
      <c r="F882" t="s">
        <v>4577</v>
      </c>
      <c r="G882" t="s">
        <v>4585</v>
      </c>
      <c r="H882" t="s">
        <v>4598</v>
      </c>
      <c r="I882">
        <v>1</v>
      </c>
      <c r="J882">
        <v>2.97</v>
      </c>
      <c r="K882">
        <v>0</v>
      </c>
      <c r="L882">
        <v>12.47</v>
      </c>
      <c r="M882" t="s">
        <v>5463</v>
      </c>
      <c r="O882" t="s">
        <v>5478</v>
      </c>
    </row>
    <row r="883" spans="1:15" x14ac:dyDescent="0.3">
      <c r="A883" t="s">
        <v>877</v>
      </c>
      <c r="B883" t="s">
        <v>2205</v>
      </c>
      <c r="C883" t="s">
        <v>2766</v>
      </c>
      <c r="D883" t="s">
        <v>4055</v>
      </c>
      <c r="E883" t="s">
        <v>4547</v>
      </c>
      <c r="F883" t="s">
        <v>4572</v>
      </c>
      <c r="G883" t="s">
        <v>4587</v>
      </c>
      <c r="H883" t="s">
        <v>4600</v>
      </c>
      <c r="I883">
        <v>5</v>
      </c>
      <c r="J883" t="s">
        <v>5135</v>
      </c>
      <c r="K883">
        <v>0</v>
      </c>
      <c r="L883">
        <v>12.36</v>
      </c>
      <c r="M883" t="s">
        <v>5464</v>
      </c>
      <c r="N883" t="s">
        <v>5472</v>
      </c>
      <c r="O883" t="s">
        <v>5477</v>
      </c>
    </row>
    <row r="884" spans="1:15" x14ac:dyDescent="0.3">
      <c r="A884" t="s">
        <v>878</v>
      </c>
      <c r="B884" t="s">
        <v>2206</v>
      </c>
      <c r="C884" t="s">
        <v>2685</v>
      </c>
      <c r="D884" t="s">
        <v>4056</v>
      </c>
      <c r="E884" t="s">
        <v>4552</v>
      </c>
      <c r="F884" t="s">
        <v>4575</v>
      </c>
      <c r="G884" t="s">
        <v>4586</v>
      </c>
      <c r="H884" t="s">
        <v>4593</v>
      </c>
      <c r="I884">
        <v>2</v>
      </c>
      <c r="J884" t="s">
        <v>5136</v>
      </c>
      <c r="K884">
        <v>0</v>
      </c>
      <c r="L884">
        <v>6.9</v>
      </c>
      <c r="M884" t="s">
        <v>5468</v>
      </c>
      <c r="N884" t="s">
        <v>5474</v>
      </c>
      <c r="O884" t="s">
        <v>5479</v>
      </c>
    </row>
    <row r="885" spans="1:15" x14ac:dyDescent="0.3">
      <c r="A885" t="s">
        <v>879</v>
      </c>
      <c r="B885" t="s">
        <v>2207</v>
      </c>
      <c r="C885" t="s">
        <v>2735</v>
      </c>
      <c r="D885" t="s">
        <v>4057</v>
      </c>
      <c r="E885" t="s">
        <v>4550</v>
      </c>
      <c r="F885" t="s">
        <v>4573</v>
      </c>
      <c r="G885" t="s">
        <v>4584</v>
      </c>
      <c r="H885" t="s">
        <v>4608</v>
      </c>
      <c r="I885">
        <v>-1</v>
      </c>
      <c r="J885">
        <v>18.53</v>
      </c>
      <c r="K885">
        <v>0</v>
      </c>
      <c r="M885" t="s">
        <v>5468</v>
      </c>
      <c r="O885" t="s">
        <v>5475</v>
      </c>
    </row>
    <row r="886" spans="1:15" x14ac:dyDescent="0.3">
      <c r="A886" t="s">
        <v>880</v>
      </c>
      <c r="B886" t="s">
        <v>2208</v>
      </c>
      <c r="C886" t="s">
        <v>3110</v>
      </c>
      <c r="D886" t="s">
        <v>4058</v>
      </c>
      <c r="E886" t="s">
        <v>4549</v>
      </c>
      <c r="F886" t="s">
        <v>4574</v>
      </c>
      <c r="G886" t="s">
        <v>4587</v>
      </c>
      <c r="H886" t="s">
        <v>4594</v>
      </c>
      <c r="I886">
        <v>5</v>
      </c>
      <c r="J886">
        <v>58.66</v>
      </c>
      <c r="K886">
        <v>0.1</v>
      </c>
      <c r="L886">
        <v>2.38</v>
      </c>
      <c r="N886" t="s">
        <v>5469</v>
      </c>
      <c r="O886" t="s">
        <v>5477</v>
      </c>
    </row>
    <row r="887" spans="1:15" x14ac:dyDescent="0.3">
      <c r="A887" t="s">
        <v>881</v>
      </c>
      <c r="B887" t="s">
        <v>2209</v>
      </c>
      <c r="C887" t="s">
        <v>2791</v>
      </c>
      <c r="D887" t="s">
        <v>4059</v>
      </c>
      <c r="E887" t="s">
        <v>4549</v>
      </c>
      <c r="F887" t="s">
        <v>4574</v>
      </c>
      <c r="G887" t="s">
        <v>4584</v>
      </c>
      <c r="H887" t="s">
        <v>4607</v>
      </c>
      <c r="I887">
        <v>5</v>
      </c>
      <c r="J887">
        <v>24.17</v>
      </c>
      <c r="K887">
        <v>0</v>
      </c>
      <c r="L887">
        <v>13.54</v>
      </c>
      <c r="M887" t="s">
        <v>5464</v>
      </c>
      <c r="N887" t="s">
        <v>5472</v>
      </c>
      <c r="O887" t="s">
        <v>5477</v>
      </c>
    </row>
    <row r="888" spans="1:15" x14ac:dyDescent="0.3">
      <c r="A888" t="s">
        <v>882</v>
      </c>
      <c r="B888" t="s">
        <v>2210</v>
      </c>
      <c r="C888" t="s">
        <v>3111</v>
      </c>
      <c r="E888" t="s">
        <v>4571</v>
      </c>
      <c r="F888" t="s">
        <v>4573</v>
      </c>
      <c r="G888" t="s">
        <v>4585</v>
      </c>
      <c r="H888" t="s">
        <v>4598</v>
      </c>
      <c r="I888">
        <v>2</v>
      </c>
      <c r="J888">
        <v>3.17</v>
      </c>
      <c r="K888">
        <v>0</v>
      </c>
      <c r="L888">
        <v>0.28999999999999998</v>
      </c>
      <c r="M888" t="s">
        <v>5468</v>
      </c>
      <c r="N888" t="s">
        <v>5473</v>
      </c>
      <c r="O888" t="s">
        <v>5477</v>
      </c>
    </row>
    <row r="889" spans="1:15" x14ac:dyDescent="0.3">
      <c r="A889" t="s">
        <v>883</v>
      </c>
      <c r="B889" t="s">
        <v>2211</v>
      </c>
      <c r="C889" t="s">
        <v>3111</v>
      </c>
      <c r="D889" t="s">
        <v>4060</v>
      </c>
      <c r="E889" t="s">
        <v>4555</v>
      </c>
      <c r="F889" t="s">
        <v>4578</v>
      </c>
      <c r="G889" t="s">
        <v>4585</v>
      </c>
      <c r="H889" t="s">
        <v>4591</v>
      </c>
      <c r="I889">
        <v>1</v>
      </c>
      <c r="J889">
        <v>7.81</v>
      </c>
      <c r="K889">
        <v>0.15</v>
      </c>
      <c r="L889">
        <v>14.88</v>
      </c>
      <c r="M889" t="s">
        <v>5465</v>
      </c>
      <c r="N889" t="s">
        <v>5469</v>
      </c>
      <c r="O889" t="s">
        <v>5475</v>
      </c>
    </row>
    <row r="890" spans="1:15" x14ac:dyDescent="0.3">
      <c r="A890" t="s">
        <v>884</v>
      </c>
      <c r="B890" t="s">
        <v>2212</v>
      </c>
      <c r="C890" t="s">
        <v>2880</v>
      </c>
      <c r="D890" t="s">
        <v>4061</v>
      </c>
      <c r="E890" t="s">
        <v>4559</v>
      </c>
      <c r="F890" t="s">
        <v>4577</v>
      </c>
      <c r="G890" t="s">
        <v>4585</v>
      </c>
      <c r="H890" t="s">
        <v>4602</v>
      </c>
      <c r="I890">
        <v>2</v>
      </c>
      <c r="J890">
        <v>4.37</v>
      </c>
      <c r="L890">
        <v>4.1100000000000003</v>
      </c>
      <c r="M890" t="s">
        <v>5464</v>
      </c>
      <c r="N890" t="s">
        <v>5474</v>
      </c>
      <c r="O890" t="s">
        <v>5477</v>
      </c>
    </row>
    <row r="891" spans="1:15" x14ac:dyDescent="0.3">
      <c r="A891" t="s">
        <v>885</v>
      </c>
      <c r="B891" t="s">
        <v>2213</v>
      </c>
      <c r="C891" t="s">
        <v>3112</v>
      </c>
      <c r="D891" t="s">
        <v>4062</v>
      </c>
      <c r="E891" t="s">
        <v>4567</v>
      </c>
      <c r="F891" t="s">
        <v>4573</v>
      </c>
      <c r="G891" t="s">
        <v>4586</v>
      </c>
      <c r="H891" t="s">
        <v>4609</v>
      </c>
      <c r="I891">
        <v>5</v>
      </c>
      <c r="J891" t="s">
        <v>5137</v>
      </c>
      <c r="K891">
        <v>0</v>
      </c>
      <c r="L891">
        <v>5.87</v>
      </c>
      <c r="M891" t="s">
        <v>5467</v>
      </c>
      <c r="N891" t="s">
        <v>5473</v>
      </c>
      <c r="O891" t="s">
        <v>5479</v>
      </c>
    </row>
    <row r="892" spans="1:15" x14ac:dyDescent="0.3">
      <c r="A892" t="s">
        <v>886</v>
      </c>
      <c r="B892" t="s">
        <v>2214</v>
      </c>
      <c r="C892" t="s">
        <v>3113</v>
      </c>
      <c r="D892" t="s">
        <v>4063</v>
      </c>
      <c r="E892" t="s">
        <v>4562</v>
      </c>
      <c r="F892" t="s">
        <v>4576</v>
      </c>
      <c r="G892" t="s">
        <v>4585</v>
      </c>
      <c r="H892" t="s">
        <v>4602</v>
      </c>
      <c r="I892">
        <v>1</v>
      </c>
      <c r="J892" t="s">
        <v>5138</v>
      </c>
      <c r="L892">
        <v>2.73</v>
      </c>
      <c r="M892" t="s">
        <v>5467</v>
      </c>
      <c r="N892" t="s">
        <v>5469</v>
      </c>
      <c r="O892" t="s">
        <v>5475</v>
      </c>
    </row>
    <row r="893" spans="1:15" x14ac:dyDescent="0.3">
      <c r="A893" t="s">
        <v>887</v>
      </c>
      <c r="B893" t="s">
        <v>2215</v>
      </c>
      <c r="C893" t="s">
        <v>3114</v>
      </c>
      <c r="D893" t="s">
        <v>4064</v>
      </c>
      <c r="E893" t="s">
        <v>4564</v>
      </c>
      <c r="F893" t="s">
        <v>4573</v>
      </c>
      <c r="G893" t="s">
        <v>4586</v>
      </c>
      <c r="H893" t="s">
        <v>4597</v>
      </c>
      <c r="I893">
        <v>10</v>
      </c>
      <c r="J893">
        <v>87.6</v>
      </c>
      <c r="K893" t="s">
        <v>5460</v>
      </c>
      <c r="L893">
        <v>0</v>
      </c>
      <c r="M893" t="s">
        <v>5465</v>
      </c>
      <c r="N893" t="s">
        <v>5471</v>
      </c>
      <c r="O893" t="s">
        <v>5477</v>
      </c>
    </row>
    <row r="894" spans="1:15" x14ac:dyDescent="0.3">
      <c r="A894" t="s">
        <v>888</v>
      </c>
      <c r="B894" t="s">
        <v>2216</v>
      </c>
      <c r="C894" t="s">
        <v>3115</v>
      </c>
      <c r="D894" t="s">
        <v>4065</v>
      </c>
      <c r="E894" t="s">
        <v>4550</v>
      </c>
      <c r="F894" t="s">
        <v>4573</v>
      </c>
      <c r="G894" t="s">
        <v>4583</v>
      </c>
      <c r="H894" t="s">
        <v>4605</v>
      </c>
      <c r="I894">
        <v>1</v>
      </c>
      <c r="J894" t="s">
        <v>5139</v>
      </c>
      <c r="K894" t="s">
        <v>5461</v>
      </c>
      <c r="L894">
        <v>3.28</v>
      </c>
      <c r="M894" t="s">
        <v>5463</v>
      </c>
      <c r="N894" t="s">
        <v>5474</v>
      </c>
      <c r="O894" t="s">
        <v>5478</v>
      </c>
    </row>
    <row r="895" spans="1:15" x14ac:dyDescent="0.3">
      <c r="A895" t="s">
        <v>889</v>
      </c>
      <c r="B895" t="s">
        <v>2217</v>
      </c>
      <c r="C895" t="s">
        <v>2874</v>
      </c>
      <c r="D895" t="s">
        <v>4066</v>
      </c>
      <c r="E895" t="s">
        <v>4560</v>
      </c>
      <c r="F895" t="s">
        <v>4573</v>
      </c>
      <c r="G895" t="s">
        <v>4586</v>
      </c>
      <c r="H895" t="s">
        <v>4597</v>
      </c>
      <c r="I895">
        <v>1</v>
      </c>
      <c r="J895" t="s">
        <v>5140</v>
      </c>
      <c r="K895" t="s">
        <v>5460</v>
      </c>
      <c r="L895">
        <v>0</v>
      </c>
      <c r="M895" t="s">
        <v>5466</v>
      </c>
      <c r="N895" t="s">
        <v>5473</v>
      </c>
      <c r="O895" t="s">
        <v>5480</v>
      </c>
    </row>
    <row r="896" spans="1:15" x14ac:dyDescent="0.3">
      <c r="A896" t="s">
        <v>890</v>
      </c>
      <c r="B896" t="s">
        <v>2218</v>
      </c>
      <c r="C896" t="s">
        <v>2637</v>
      </c>
      <c r="D896" t="s">
        <v>4067</v>
      </c>
      <c r="E896" t="s">
        <v>4570</v>
      </c>
      <c r="F896" t="s">
        <v>4573</v>
      </c>
      <c r="G896" t="s">
        <v>4583</v>
      </c>
      <c r="H896" t="s">
        <v>4588</v>
      </c>
      <c r="I896">
        <v>2</v>
      </c>
      <c r="J896">
        <v>41.02</v>
      </c>
      <c r="K896">
        <v>0.15</v>
      </c>
      <c r="L896">
        <v>11.64</v>
      </c>
      <c r="M896" t="s">
        <v>5468</v>
      </c>
      <c r="N896" t="s">
        <v>5469</v>
      </c>
      <c r="O896" t="s">
        <v>5475</v>
      </c>
    </row>
    <row r="897" spans="1:15" x14ac:dyDescent="0.3">
      <c r="A897" t="s">
        <v>891</v>
      </c>
      <c r="B897" t="s">
        <v>2219</v>
      </c>
      <c r="C897" t="s">
        <v>3116</v>
      </c>
      <c r="E897" t="s">
        <v>4550</v>
      </c>
      <c r="F897" t="s">
        <v>4574</v>
      </c>
      <c r="G897" t="s">
        <v>4587</v>
      </c>
      <c r="H897" t="s">
        <v>4596</v>
      </c>
      <c r="I897">
        <v>1</v>
      </c>
      <c r="J897" t="s">
        <v>5141</v>
      </c>
      <c r="K897" t="s">
        <v>5461</v>
      </c>
      <c r="L897">
        <v>10.29</v>
      </c>
      <c r="M897" t="s">
        <v>5464</v>
      </c>
      <c r="N897" t="s">
        <v>5473</v>
      </c>
      <c r="O897" t="s">
        <v>5480</v>
      </c>
    </row>
    <row r="898" spans="1:15" x14ac:dyDescent="0.3">
      <c r="A898" t="s">
        <v>892</v>
      </c>
      <c r="B898" t="s">
        <v>2220</v>
      </c>
      <c r="C898" t="s">
        <v>3022</v>
      </c>
      <c r="D898" t="s">
        <v>4068</v>
      </c>
      <c r="E898" t="s">
        <v>4568</v>
      </c>
      <c r="F898" t="s">
        <v>4582</v>
      </c>
      <c r="G898" t="s">
        <v>4585</v>
      </c>
      <c r="H898" t="s">
        <v>4591</v>
      </c>
      <c r="I898">
        <v>4</v>
      </c>
      <c r="J898" t="s">
        <v>5142</v>
      </c>
      <c r="K898" t="s">
        <v>5461</v>
      </c>
      <c r="L898">
        <v>0</v>
      </c>
      <c r="M898" t="s">
        <v>5462</v>
      </c>
      <c r="N898" t="s">
        <v>5473</v>
      </c>
      <c r="O898" t="s">
        <v>5476</v>
      </c>
    </row>
    <row r="899" spans="1:15" x14ac:dyDescent="0.3">
      <c r="A899" t="s">
        <v>893</v>
      </c>
      <c r="B899" t="s">
        <v>2221</v>
      </c>
      <c r="C899" t="s">
        <v>2841</v>
      </c>
      <c r="D899" t="s">
        <v>4069</v>
      </c>
      <c r="E899" t="s">
        <v>4551</v>
      </c>
      <c r="F899" t="s">
        <v>4576</v>
      </c>
      <c r="G899" t="s">
        <v>4584</v>
      </c>
      <c r="H899" t="s">
        <v>4608</v>
      </c>
      <c r="I899">
        <v>1</v>
      </c>
      <c r="J899" t="s">
        <v>5143</v>
      </c>
      <c r="K899">
        <v>0.05</v>
      </c>
      <c r="L899">
        <v>10.25</v>
      </c>
      <c r="M899" t="s">
        <v>5466</v>
      </c>
      <c r="N899" t="s">
        <v>5470</v>
      </c>
      <c r="O899" t="s">
        <v>5477</v>
      </c>
    </row>
    <row r="900" spans="1:15" x14ac:dyDescent="0.3">
      <c r="A900" t="s">
        <v>894</v>
      </c>
      <c r="B900" t="s">
        <v>2222</v>
      </c>
      <c r="C900" t="s">
        <v>2724</v>
      </c>
      <c r="D900" t="s">
        <v>4070</v>
      </c>
      <c r="E900" t="s">
        <v>4547</v>
      </c>
      <c r="F900" t="s">
        <v>4581</v>
      </c>
      <c r="G900" t="s">
        <v>4587</v>
      </c>
      <c r="H900" t="s">
        <v>4600</v>
      </c>
      <c r="I900">
        <v>4</v>
      </c>
      <c r="J900" t="s">
        <v>5144</v>
      </c>
      <c r="K900">
        <v>0</v>
      </c>
      <c r="L900">
        <v>7.86</v>
      </c>
      <c r="O900" t="s">
        <v>5480</v>
      </c>
    </row>
    <row r="901" spans="1:15" x14ac:dyDescent="0.3">
      <c r="A901" t="s">
        <v>895</v>
      </c>
      <c r="B901" t="s">
        <v>2223</v>
      </c>
      <c r="C901" t="s">
        <v>3117</v>
      </c>
      <c r="D901" t="s">
        <v>4071</v>
      </c>
      <c r="E901" t="s">
        <v>4568</v>
      </c>
      <c r="F901" t="s">
        <v>4573</v>
      </c>
      <c r="H901" t="s">
        <v>4604</v>
      </c>
      <c r="I901">
        <v>2</v>
      </c>
      <c r="J901">
        <v>22.31</v>
      </c>
      <c r="K901" t="s">
        <v>5460</v>
      </c>
      <c r="L901">
        <v>10</v>
      </c>
      <c r="M901" t="s">
        <v>5465</v>
      </c>
      <c r="N901" t="s">
        <v>5474</v>
      </c>
      <c r="O901" t="s">
        <v>5480</v>
      </c>
    </row>
    <row r="902" spans="1:15" x14ac:dyDescent="0.3">
      <c r="A902" t="s">
        <v>896</v>
      </c>
      <c r="B902" t="s">
        <v>2224</v>
      </c>
      <c r="C902" t="s">
        <v>2640</v>
      </c>
      <c r="D902" t="s">
        <v>4072</v>
      </c>
      <c r="E902" t="s">
        <v>4565</v>
      </c>
      <c r="F902" t="s">
        <v>4576</v>
      </c>
      <c r="G902" t="s">
        <v>4583</v>
      </c>
      <c r="H902" t="s">
        <v>4588</v>
      </c>
      <c r="I902">
        <v>1</v>
      </c>
      <c r="J902" t="s">
        <v>5145</v>
      </c>
      <c r="L902">
        <v>12.69</v>
      </c>
      <c r="M902" t="s">
        <v>5465</v>
      </c>
      <c r="O902" t="s">
        <v>5477</v>
      </c>
    </row>
    <row r="903" spans="1:15" x14ac:dyDescent="0.3">
      <c r="A903" t="s">
        <v>897</v>
      </c>
      <c r="B903" t="s">
        <v>1841</v>
      </c>
      <c r="C903" t="s">
        <v>2968</v>
      </c>
      <c r="D903" t="s">
        <v>4073</v>
      </c>
      <c r="E903" t="s">
        <v>4555</v>
      </c>
      <c r="F903" t="s">
        <v>4578</v>
      </c>
      <c r="G903" t="s">
        <v>4583</v>
      </c>
      <c r="H903" t="s">
        <v>4588</v>
      </c>
      <c r="I903">
        <v>-1</v>
      </c>
      <c r="J903">
        <v>41.8</v>
      </c>
      <c r="K903" t="s">
        <v>5460</v>
      </c>
      <c r="L903">
        <v>14.23</v>
      </c>
      <c r="M903" t="s">
        <v>5465</v>
      </c>
      <c r="N903" t="s">
        <v>5473</v>
      </c>
      <c r="O903" t="s">
        <v>5477</v>
      </c>
    </row>
    <row r="904" spans="1:15" x14ac:dyDescent="0.3">
      <c r="A904" t="s">
        <v>793</v>
      </c>
      <c r="B904" t="s">
        <v>2138</v>
      </c>
      <c r="C904" t="s">
        <v>3090</v>
      </c>
      <c r="D904" t="s">
        <v>3976</v>
      </c>
      <c r="E904" t="s">
        <v>4554</v>
      </c>
      <c r="F904" t="s">
        <v>4574</v>
      </c>
      <c r="G904" t="s">
        <v>4583</v>
      </c>
      <c r="H904" t="s">
        <v>4605</v>
      </c>
      <c r="I904">
        <v>-1</v>
      </c>
      <c r="J904" t="s">
        <v>5087</v>
      </c>
      <c r="K904">
        <v>0</v>
      </c>
      <c r="L904">
        <v>11.48</v>
      </c>
      <c r="M904" t="s">
        <v>5467</v>
      </c>
      <c r="N904" t="s">
        <v>5474</v>
      </c>
      <c r="O904" t="s">
        <v>5480</v>
      </c>
    </row>
    <row r="905" spans="1:15" x14ac:dyDescent="0.3">
      <c r="A905" t="s">
        <v>898</v>
      </c>
      <c r="B905" t="s">
        <v>1520</v>
      </c>
      <c r="C905" t="s">
        <v>3118</v>
      </c>
      <c r="D905" t="s">
        <v>4074</v>
      </c>
      <c r="E905" t="s">
        <v>4550</v>
      </c>
      <c r="F905" t="s">
        <v>4574</v>
      </c>
      <c r="G905" t="s">
        <v>4585</v>
      </c>
      <c r="H905" t="s">
        <v>4592</v>
      </c>
      <c r="I905">
        <v>5</v>
      </c>
      <c r="J905">
        <v>6.79</v>
      </c>
      <c r="L905">
        <v>6.81</v>
      </c>
      <c r="M905" t="s">
        <v>5467</v>
      </c>
      <c r="N905" t="s">
        <v>5473</v>
      </c>
      <c r="O905" t="s">
        <v>5480</v>
      </c>
    </row>
    <row r="906" spans="1:15" x14ac:dyDescent="0.3">
      <c r="A906" t="s">
        <v>899</v>
      </c>
      <c r="B906" t="s">
        <v>2225</v>
      </c>
      <c r="C906" t="s">
        <v>2947</v>
      </c>
      <c r="D906" t="s">
        <v>4075</v>
      </c>
      <c r="E906" t="s">
        <v>4557</v>
      </c>
      <c r="F906" t="s">
        <v>4581</v>
      </c>
      <c r="G906" t="s">
        <v>4587</v>
      </c>
      <c r="H906" t="s">
        <v>4594</v>
      </c>
      <c r="I906">
        <v>3</v>
      </c>
      <c r="J906">
        <v>62.15</v>
      </c>
      <c r="K906">
        <v>0</v>
      </c>
      <c r="L906">
        <v>0</v>
      </c>
      <c r="M906" t="s">
        <v>5467</v>
      </c>
      <c r="N906" t="s">
        <v>5472</v>
      </c>
      <c r="O906" t="s">
        <v>5477</v>
      </c>
    </row>
    <row r="907" spans="1:15" x14ac:dyDescent="0.3">
      <c r="A907" t="s">
        <v>900</v>
      </c>
      <c r="B907" t="s">
        <v>2226</v>
      </c>
      <c r="C907" t="s">
        <v>3015</v>
      </c>
      <c r="D907" t="s">
        <v>4076</v>
      </c>
      <c r="E907" t="s">
        <v>4568</v>
      </c>
      <c r="F907" t="s">
        <v>4577</v>
      </c>
      <c r="G907" t="s">
        <v>4583</v>
      </c>
      <c r="H907" t="s">
        <v>4588</v>
      </c>
      <c r="I907">
        <v>1</v>
      </c>
      <c r="J907">
        <v>38.25</v>
      </c>
      <c r="K907">
        <v>0</v>
      </c>
      <c r="L907">
        <v>3.79</v>
      </c>
      <c r="N907" t="s">
        <v>5469</v>
      </c>
      <c r="O907" t="s">
        <v>5476</v>
      </c>
    </row>
    <row r="908" spans="1:15" x14ac:dyDescent="0.3">
      <c r="A908" t="s">
        <v>901</v>
      </c>
      <c r="B908" t="s">
        <v>2227</v>
      </c>
      <c r="C908" t="s">
        <v>3039</v>
      </c>
      <c r="D908" t="s">
        <v>4077</v>
      </c>
      <c r="E908" t="s">
        <v>4569</v>
      </c>
      <c r="F908" t="s">
        <v>4580</v>
      </c>
      <c r="G908" t="s">
        <v>4585</v>
      </c>
      <c r="H908" t="s">
        <v>4591</v>
      </c>
      <c r="I908">
        <v>4</v>
      </c>
      <c r="J908" t="s">
        <v>5146</v>
      </c>
      <c r="K908">
        <v>0</v>
      </c>
      <c r="L908">
        <v>13.9</v>
      </c>
      <c r="M908" t="s">
        <v>5466</v>
      </c>
      <c r="O908" t="s">
        <v>5478</v>
      </c>
    </row>
    <row r="909" spans="1:15" x14ac:dyDescent="0.3">
      <c r="A909" t="s">
        <v>902</v>
      </c>
      <c r="B909" t="s">
        <v>2228</v>
      </c>
      <c r="C909" t="s">
        <v>2775</v>
      </c>
      <c r="D909" t="s">
        <v>4078</v>
      </c>
      <c r="E909" t="s">
        <v>4554</v>
      </c>
      <c r="F909" t="s">
        <v>4573</v>
      </c>
      <c r="G909" t="s">
        <v>4583</v>
      </c>
      <c r="H909" t="s">
        <v>4610</v>
      </c>
      <c r="I909">
        <v>3</v>
      </c>
      <c r="J909" t="s">
        <v>5147</v>
      </c>
      <c r="K909">
        <v>0.05</v>
      </c>
      <c r="L909">
        <v>14.75</v>
      </c>
      <c r="M909" t="s">
        <v>5463</v>
      </c>
      <c r="O909" t="s">
        <v>5476</v>
      </c>
    </row>
    <row r="910" spans="1:15" x14ac:dyDescent="0.3">
      <c r="A910" t="s">
        <v>23</v>
      </c>
      <c r="B910" t="s">
        <v>1423</v>
      </c>
      <c r="C910" t="s">
        <v>2630</v>
      </c>
      <c r="D910" t="s">
        <v>3270</v>
      </c>
      <c r="E910" t="s">
        <v>4555</v>
      </c>
      <c r="F910" t="s">
        <v>4578</v>
      </c>
      <c r="G910" t="s">
        <v>4584</v>
      </c>
      <c r="H910" t="s">
        <v>4595</v>
      </c>
      <c r="I910">
        <v>1</v>
      </c>
      <c r="J910" t="s">
        <v>4616</v>
      </c>
      <c r="K910">
        <v>0.15</v>
      </c>
      <c r="L910">
        <v>6.19</v>
      </c>
      <c r="M910" t="s">
        <v>5465</v>
      </c>
      <c r="N910" t="s">
        <v>5474</v>
      </c>
      <c r="O910" t="s">
        <v>5477</v>
      </c>
    </row>
    <row r="911" spans="1:15" x14ac:dyDescent="0.3">
      <c r="A911" t="s">
        <v>903</v>
      </c>
      <c r="B911" t="s">
        <v>2229</v>
      </c>
      <c r="C911" t="s">
        <v>2953</v>
      </c>
      <c r="D911" t="s">
        <v>4079</v>
      </c>
      <c r="E911" t="s">
        <v>4559</v>
      </c>
      <c r="F911" t="s">
        <v>4573</v>
      </c>
      <c r="G911" t="s">
        <v>4585</v>
      </c>
      <c r="H911" t="s">
        <v>4598</v>
      </c>
      <c r="I911">
        <v>4</v>
      </c>
      <c r="J911" t="s">
        <v>4620</v>
      </c>
      <c r="K911" t="s">
        <v>5460</v>
      </c>
      <c r="L911">
        <v>10.08</v>
      </c>
      <c r="M911" t="s">
        <v>5467</v>
      </c>
      <c r="O911" t="s">
        <v>5479</v>
      </c>
    </row>
    <row r="912" spans="1:15" x14ac:dyDescent="0.3">
      <c r="A912" t="s">
        <v>904</v>
      </c>
      <c r="B912" t="s">
        <v>2230</v>
      </c>
      <c r="C912" t="s">
        <v>2742</v>
      </c>
      <c r="D912" t="s">
        <v>4080</v>
      </c>
      <c r="E912" t="s">
        <v>4549</v>
      </c>
      <c r="F912" t="s">
        <v>4573</v>
      </c>
      <c r="G912" t="s">
        <v>4587</v>
      </c>
      <c r="H912" t="s">
        <v>4606</v>
      </c>
      <c r="I912">
        <v>2</v>
      </c>
      <c r="J912" t="s">
        <v>5148</v>
      </c>
      <c r="K912">
        <v>0.1</v>
      </c>
      <c r="L912">
        <v>13.5</v>
      </c>
      <c r="M912" t="s">
        <v>5466</v>
      </c>
      <c r="N912" t="s">
        <v>5474</v>
      </c>
      <c r="O912" t="s">
        <v>5477</v>
      </c>
    </row>
    <row r="913" spans="1:15" x14ac:dyDescent="0.3">
      <c r="A913" t="s">
        <v>905</v>
      </c>
      <c r="B913" t="s">
        <v>1456</v>
      </c>
      <c r="C913" t="s">
        <v>3119</v>
      </c>
      <c r="D913" t="s">
        <v>4081</v>
      </c>
      <c r="E913" t="s">
        <v>4563</v>
      </c>
      <c r="F913" t="s">
        <v>4573</v>
      </c>
      <c r="G913" t="s">
        <v>4584</v>
      </c>
      <c r="H913" t="s">
        <v>4589</v>
      </c>
      <c r="I913">
        <v>1</v>
      </c>
      <c r="J913" t="s">
        <v>5149</v>
      </c>
      <c r="L913">
        <v>5.74</v>
      </c>
      <c r="M913" t="s">
        <v>5464</v>
      </c>
      <c r="O913" t="s">
        <v>5477</v>
      </c>
    </row>
    <row r="914" spans="1:15" x14ac:dyDescent="0.3">
      <c r="A914" t="s">
        <v>15</v>
      </c>
      <c r="B914" t="s">
        <v>1415</v>
      </c>
      <c r="C914" t="s">
        <v>2622</v>
      </c>
      <c r="D914" t="s">
        <v>3262</v>
      </c>
      <c r="E914" t="s">
        <v>4547</v>
      </c>
      <c r="F914" t="s">
        <v>4572</v>
      </c>
      <c r="G914" t="s">
        <v>4583</v>
      </c>
      <c r="H914" t="s">
        <v>4588</v>
      </c>
      <c r="I914">
        <v>2</v>
      </c>
      <c r="J914">
        <v>41.09</v>
      </c>
      <c r="K914" t="s">
        <v>5460</v>
      </c>
      <c r="L914">
        <v>2.41</v>
      </c>
      <c r="M914" t="s">
        <v>5462</v>
      </c>
      <c r="N914" t="s">
        <v>5469</v>
      </c>
      <c r="O914" t="s">
        <v>5475</v>
      </c>
    </row>
    <row r="915" spans="1:15" x14ac:dyDescent="0.3">
      <c r="A915" t="s">
        <v>906</v>
      </c>
      <c r="B915" t="s">
        <v>2231</v>
      </c>
      <c r="C915" t="s">
        <v>2682</v>
      </c>
      <c r="D915" t="s">
        <v>4082</v>
      </c>
      <c r="E915" t="s">
        <v>4567</v>
      </c>
      <c r="F915" t="s">
        <v>4573</v>
      </c>
      <c r="G915" t="s">
        <v>4583</v>
      </c>
      <c r="H915" t="s">
        <v>4605</v>
      </c>
      <c r="I915">
        <v>1</v>
      </c>
      <c r="J915" t="s">
        <v>5150</v>
      </c>
      <c r="K915">
        <v>0</v>
      </c>
      <c r="L915">
        <v>9.25</v>
      </c>
      <c r="N915" t="s">
        <v>5469</v>
      </c>
      <c r="O915" t="s">
        <v>5475</v>
      </c>
    </row>
    <row r="916" spans="1:15" x14ac:dyDescent="0.3">
      <c r="A916" t="s">
        <v>907</v>
      </c>
      <c r="B916" t="s">
        <v>2232</v>
      </c>
      <c r="C916" t="s">
        <v>3120</v>
      </c>
      <c r="D916" t="s">
        <v>4083</v>
      </c>
      <c r="E916" t="s">
        <v>4547</v>
      </c>
      <c r="F916" t="s">
        <v>4572</v>
      </c>
      <c r="G916" t="s">
        <v>4586</v>
      </c>
      <c r="H916" t="s">
        <v>4593</v>
      </c>
      <c r="I916">
        <v>3</v>
      </c>
      <c r="J916">
        <v>113.61</v>
      </c>
      <c r="K916">
        <v>0</v>
      </c>
      <c r="L916">
        <v>3.13</v>
      </c>
      <c r="M916" t="s">
        <v>5464</v>
      </c>
      <c r="O916" t="s">
        <v>5480</v>
      </c>
    </row>
    <row r="917" spans="1:15" x14ac:dyDescent="0.3">
      <c r="A917" t="s">
        <v>908</v>
      </c>
      <c r="B917" t="s">
        <v>2233</v>
      </c>
      <c r="C917" t="s">
        <v>2807</v>
      </c>
      <c r="D917" t="s">
        <v>4084</v>
      </c>
      <c r="E917" t="s">
        <v>4564</v>
      </c>
      <c r="F917" t="s">
        <v>4573</v>
      </c>
      <c r="G917" t="s">
        <v>4585</v>
      </c>
      <c r="H917" t="s">
        <v>4598</v>
      </c>
      <c r="I917">
        <v>-1</v>
      </c>
      <c r="J917" t="s">
        <v>5151</v>
      </c>
      <c r="K917" t="s">
        <v>5460</v>
      </c>
      <c r="L917">
        <v>9.59</v>
      </c>
      <c r="M917" t="s">
        <v>5462</v>
      </c>
      <c r="N917" t="s">
        <v>5470</v>
      </c>
      <c r="O917" t="s">
        <v>5475</v>
      </c>
    </row>
    <row r="918" spans="1:15" x14ac:dyDescent="0.3">
      <c r="A918" t="s">
        <v>909</v>
      </c>
      <c r="B918" t="s">
        <v>2234</v>
      </c>
      <c r="C918" t="s">
        <v>3009</v>
      </c>
      <c r="D918" t="s">
        <v>4085</v>
      </c>
      <c r="E918" t="s">
        <v>4553</v>
      </c>
      <c r="F918" t="s">
        <v>4577</v>
      </c>
      <c r="G918" t="s">
        <v>4586</v>
      </c>
      <c r="H918" t="s">
        <v>4609</v>
      </c>
      <c r="I918">
        <v>4</v>
      </c>
      <c r="J918" t="s">
        <v>5152</v>
      </c>
      <c r="K918">
        <v>0.1</v>
      </c>
      <c r="L918">
        <v>5.47</v>
      </c>
      <c r="M918" t="s">
        <v>5463</v>
      </c>
      <c r="N918" t="s">
        <v>5474</v>
      </c>
      <c r="O918" t="s">
        <v>5477</v>
      </c>
    </row>
    <row r="919" spans="1:15" x14ac:dyDescent="0.3">
      <c r="A919" t="s">
        <v>910</v>
      </c>
      <c r="B919" t="s">
        <v>2235</v>
      </c>
      <c r="C919" t="s">
        <v>3121</v>
      </c>
      <c r="D919" t="s">
        <v>4086</v>
      </c>
      <c r="E919" t="s">
        <v>4567</v>
      </c>
      <c r="G919" t="s">
        <v>4584</v>
      </c>
      <c r="H919" t="s">
        <v>4607</v>
      </c>
      <c r="I919">
        <v>2</v>
      </c>
      <c r="J919">
        <v>24.41</v>
      </c>
      <c r="K919" t="s">
        <v>5460</v>
      </c>
      <c r="L919">
        <v>0</v>
      </c>
      <c r="M919" t="s">
        <v>5468</v>
      </c>
      <c r="N919" t="s">
        <v>5469</v>
      </c>
      <c r="O919" t="s">
        <v>5477</v>
      </c>
    </row>
    <row r="920" spans="1:15" x14ac:dyDescent="0.3">
      <c r="A920" t="s">
        <v>911</v>
      </c>
      <c r="B920" t="s">
        <v>2236</v>
      </c>
      <c r="C920" t="s">
        <v>3090</v>
      </c>
      <c r="D920" t="s">
        <v>4087</v>
      </c>
      <c r="E920" t="s">
        <v>4553</v>
      </c>
      <c r="F920" t="s">
        <v>4577</v>
      </c>
      <c r="G920" t="s">
        <v>4585</v>
      </c>
      <c r="H920" t="s">
        <v>4590</v>
      </c>
      <c r="I920">
        <v>4</v>
      </c>
      <c r="J920" t="s">
        <v>5153</v>
      </c>
      <c r="K920">
        <v>0.05</v>
      </c>
      <c r="L920">
        <v>4.92</v>
      </c>
      <c r="M920" t="s">
        <v>5465</v>
      </c>
      <c r="N920" t="s">
        <v>5471</v>
      </c>
      <c r="O920" t="s">
        <v>5478</v>
      </c>
    </row>
    <row r="921" spans="1:15" x14ac:dyDescent="0.3">
      <c r="A921" t="s">
        <v>912</v>
      </c>
      <c r="B921" t="s">
        <v>2237</v>
      </c>
      <c r="C921" t="s">
        <v>3122</v>
      </c>
      <c r="D921" t="s">
        <v>4088</v>
      </c>
      <c r="E921" t="s">
        <v>4559</v>
      </c>
      <c r="F921" t="s">
        <v>4577</v>
      </c>
      <c r="G921" t="s">
        <v>4584</v>
      </c>
      <c r="H921" t="s">
        <v>4595</v>
      </c>
      <c r="I921">
        <v>5</v>
      </c>
      <c r="J921" t="s">
        <v>5154</v>
      </c>
      <c r="K921">
        <v>0</v>
      </c>
      <c r="L921">
        <v>3.15</v>
      </c>
      <c r="M921" t="s">
        <v>5462</v>
      </c>
      <c r="N921" t="s">
        <v>5470</v>
      </c>
      <c r="O921" t="s">
        <v>5480</v>
      </c>
    </row>
    <row r="922" spans="1:15" x14ac:dyDescent="0.3">
      <c r="A922" t="s">
        <v>913</v>
      </c>
      <c r="B922" t="s">
        <v>1592</v>
      </c>
      <c r="C922" t="s">
        <v>3123</v>
      </c>
      <c r="D922" t="s">
        <v>4089</v>
      </c>
      <c r="E922" t="s">
        <v>4562</v>
      </c>
      <c r="F922" t="s">
        <v>4579</v>
      </c>
      <c r="G922" t="s">
        <v>4585</v>
      </c>
      <c r="H922" t="s">
        <v>4590</v>
      </c>
      <c r="I922">
        <v>2</v>
      </c>
      <c r="J922" t="s">
        <v>5155</v>
      </c>
      <c r="L922">
        <v>2.58</v>
      </c>
      <c r="M922" t="s">
        <v>5467</v>
      </c>
      <c r="N922" t="s">
        <v>5471</v>
      </c>
      <c r="O922" t="s">
        <v>5477</v>
      </c>
    </row>
    <row r="923" spans="1:15" x14ac:dyDescent="0.3">
      <c r="A923" t="s">
        <v>914</v>
      </c>
      <c r="B923" t="s">
        <v>2238</v>
      </c>
      <c r="C923" t="s">
        <v>3124</v>
      </c>
      <c r="D923" t="s">
        <v>4090</v>
      </c>
      <c r="E923" t="s">
        <v>4555</v>
      </c>
      <c r="F923" t="s">
        <v>4573</v>
      </c>
      <c r="G923" t="s">
        <v>4583</v>
      </c>
      <c r="H923" t="s">
        <v>4588</v>
      </c>
      <c r="I923">
        <v>1</v>
      </c>
      <c r="J923" t="s">
        <v>5156</v>
      </c>
      <c r="K923">
        <v>0.05</v>
      </c>
      <c r="L923">
        <v>2.33</v>
      </c>
      <c r="M923" t="s">
        <v>5467</v>
      </c>
      <c r="N923" t="s">
        <v>5470</v>
      </c>
      <c r="O923" t="s">
        <v>5479</v>
      </c>
    </row>
    <row r="924" spans="1:15" x14ac:dyDescent="0.3">
      <c r="A924" t="s">
        <v>915</v>
      </c>
      <c r="B924" t="s">
        <v>2239</v>
      </c>
      <c r="C924" t="s">
        <v>3125</v>
      </c>
      <c r="D924" t="s">
        <v>4091</v>
      </c>
      <c r="E924" t="s">
        <v>4571</v>
      </c>
      <c r="F924" t="s">
        <v>4573</v>
      </c>
      <c r="G924" t="s">
        <v>4587</v>
      </c>
      <c r="H924" t="s">
        <v>4606</v>
      </c>
      <c r="I924">
        <v>3</v>
      </c>
      <c r="J924">
        <v>29.83</v>
      </c>
      <c r="K924">
        <v>0</v>
      </c>
      <c r="L924">
        <v>1.31</v>
      </c>
      <c r="M924" t="s">
        <v>5468</v>
      </c>
      <c r="N924" t="s">
        <v>5474</v>
      </c>
      <c r="O924" t="s">
        <v>5478</v>
      </c>
    </row>
    <row r="925" spans="1:15" x14ac:dyDescent="0.3">
      <c r="A925" t="s">
        <v>916</v>
      </c>
      <c r="B925" t="s">
        <v>2240</v>
      </c>
      <c r="C925" t="s">
        <v>2979</v>
      </c>
      <c r="D925" t="s">
        <v>4092</v>
      </c>
      <c r="E925" t="s">
        <v>4560</v>
      </c>
      <c r="F925" t="s">
        <v>4574</v>
      </c>
      <c r="G925" t="s">
        <v>4584</v>
      </c>
      <c r="H925" t="s">
        <v>4607</v>
      </c>
      <c r="I925">
        <v>1</v>
      </c>
      <c r="J925">
        <v>25.76</v>
      </c>
      <c r="K925">
        <v>0</v>
      </c>
      <c r="L925">
        <v>5.84</v>
      </c>
      <c r="M925" t="s">
        <v>5468</v>
      </c>
      <c r="N925" t="s">
        <v>5469</v>
      </c>
      <c r="O925" t="s">
        <v>5480</v>
      </c>
    </row>
    <row r="926" spans="1:15" x14ac:dyDescent="0.3">
      <c r="A926" t="s">
        <v>917</v>
      </c>
      <c r="B926" t="s">
        <v>1959</v>
      </c>
      <c r="C926" t="s">
        <v>3126</v>
      </c>
      <c r="E926" t="s">
        <v>4559</v>
      </c>
      <c r="F926" t="s">
        <v>4582</v>
      </c>
      <c r="G926" t="s">
        <v>4585</v>
      </c>
      <c r="H926" t="s">
        <v>4591</v>
      </c>
      <c r="I926">
        <v>-1</v>
      </c>
      <c r="J926" t="s">
        <v>5157</v>
      </c>
      <c r="K926" t="s">
        <v>5460</v>
      </c>
      <c r="L926">
        <v>5.9</v>
      </c>
      <c r="M926" t="s">
        <v>5466</v>
      </c>
      <c r="N926" t="s">
        <v>5474</v>
      </c>
      <c r="O926" t="s">
        <v>5479</v>
      </c>
    </row>
    <row r="927" spans="1:15" x14ac:dyDescent="0.3">
      <c r="A927" t="s">
        <v>918</v>
      </c>
      <c r="B927" t="s">
        <v>2241</v>
      </c>
      <c r="C927" t="s">
        <v>3010</v>
      </c>
      <c r="D927" t="s">
        <v>4093</v>
      </c>
      <c r="E927" t="s">
        <v>4564</v>
      </c>
      <c r="F927" t="s">
        <v>4573</v>
      </c>
      <c r="G927" t="s">
        <v>4584</v>
      </c>
      <c r="H927" t="s">
        <v>4589</v>
      </c>
      <c r="I927">
        <v>2</v>
      </c>
      <c r="J927" t="s">
        <v>5158</v>
      </c>
      <c r="K927">
        <v>0</v>
      </c>
      <c r="L927">
        <v>12.19</v>
      </c>
      <c r="M927" t="s">
        <v>5465</v>
      </c>
      <c r="N927" t="s">
        <v>5473</v>
      </c>
      <c r="O927" t="s">
        <v>5477</v>
      </c>
    </row>
    <row r="928" spans="1:15" x14ac:dyDescent="0.3">
      <c r="A928" t="s">
        <v>207</v>
      </c>
      <c r="B928" t="s">
        <v>1479</v>
      </c>
      <c r="C928" t="s">
        <v>2785</v>
      </c>
      <c r="D928" t="s">
        <v>3440</v>
      </c>
      <c r="E928" t="s">
        <v>4565</v>
      </c>
      <c r="F928" t="s">
        <v>4579</v>
      </c>
      <c r="G928" t="s">
        <v>4586</v>
      </c>
      <c r="H928" t="s">
        <v>4597</v>
      </c>
      <c r="I928">
        <v>-1</v>
      </c>
      <c r="J928">
        <v>84.78</v>
      </c>
      <c r="K928">
        <v>0</v>
      </c>
      <c r="L928">
        <v>6.54</v>
      </c>
      <c r="N928" t="s">
        <v>5469</v>
      </c>
      <c r="O928" t="s">
        <v>5478</v>
      </c>
    </row>
    <row r="929" spans="1:15" x14ac:dyDescent="0.3">
      <c r="A929" t="s">
        <v>919</v>
      </c>
      <c r="B929" t="s">
        <v>2242</v>
      </c>
      <c r="C929" t="s">
        <v>3127</v>
      </c>
      <c r="D929" t="s">
        <v>4094</v>
      </c>
      <c r="E929" t="s">
        <v>4566</v>
      </c>
      <c r="F929" t="s">
        <v>4577</v>
      </c>
      <c r="G929" t="s">
        <v>4583</v>
      </c>
      <c r="H929" t="s">
        <v>4605</v>
      </c>
      <c r="I929">
        <v>4</v>
      </c>
      <c r="J929" t="s">
        <v>5159</v>
      </c>
      <c r="K929">
        <v>0</v>
      </c>
      <c r="L929">
        <v>7.8</v>
      </c>
      <c r="M929" t="s">
        <v>5462</v>
      </c>
      <c r="N929" t="s">
        <v>5473</v>
      </c>
      <c r="O929" t="s">
        <v>5476</v>
      </c>
    </row>
    <row r="930" spans="1:15" x14ac:dyDescent="0.3">
      <c r="A930" t="s">
        <v>920</v>
      </c>
      <c r="B930" t="s">
        <v>2243</v>
      </c>
      <c r="C930" t="s">
        <v>3128</v>
      </c>
      <c r="D930" t="s">
        <v>4095</v>
      </c>
      <c r="E930" t="s">
        <v>4565</v>
      </c>
      <c r="G930" t="s">
        <v>4586</v>
      </c>
      <c r="H930" t="s">
        <v>4593</v>
      </c>
      <c r="I930">
        <v>1</v>
      </c>
      <c r="J930">
        <v>112.48</v>
      </c>
      <c r="L930">
        <v>13.37</v>
      </c>
      <c r="M930" t="s">
        <v>5465</v>
      </c>
      <c r="O930" t="s">
        <v>5479</v>
      </c>
    </row>
    <row r="931" spans="1:15" x14ac:dyDescent="0.3">
      <c r="A931" t="s">
        <v>921</v>
      </c>
      <c r="B931" t="s">
        <v>1484</v>
      </c>
      <c r="C931" t="s">
        <v>3129</v>
      </c>
      <c r="D931" t="s">
        <v>4096</v>
      </c>
      <c r="E931" t="s">
        <v>4550</v>
      </c>
      <c r="F931" t="s">
        <v>4574</v>
      </c>
      <c r="G931" t="s">
        <v>4584</v>
      </c>
      <c r="H931" t="s">
        <v>4589</v>
      </c>
      <c r="I931">
        <v>10</v>
      </c>
      <c r="J931" t="s">
        <v>5160</v>
      </c>
      <c r="K931">
        <v>0.1</v>
      </c>
      <c r="L931">
        <v>3.78</v>
      </c>
      <c r="M931" t="s">
        <v>5464</v>
      </c>
      <c r="O931" t="s">
        <v>5478</v>
      </c>
    </row>
    <row r="932" spans="1:15" x14ac:dyDescent="0.3">
      <c r="A932" t="s">
        <v>867</v>
      </c>
      <c r="B932" t="s">
        <v>2196</v>
      </c>
      <c r="C932" t="s">
        <v>2735</v>
      </c>
      <c r="D932" t="s">
        <v>4048</v>
      </c>
      <c r="E932" t="s">
        <v>4559</v>
      </c>
      <c r="F932" t="s">
        <v>4577</v>
      </c>
      <c r="G932" t="s">
        <v>4583</v>
      </c>
      <c r="H932" t="s">
        <v>4605</v>
      </c>
      <c r="I932">
        <v>1</v>
      </c>
      <c r="J932" t="s">
        <v>5132</v>
      </c>
      <c r="K932" t="s">
        <v>5461</v>
      </c>
      <c r="L932">
        <v>13.93</v>
      </c>
      <c r="M932" t="s">
        <v>5468</v>
      </c>
      <c r="N932" t="s">
        <v>5469</v>
      </c>
      <c r="O932" t="s">
        <v>5479</v>
      </c>
    </row>
    <row r="933" spans="1:15" x14ac:dyDescent="0.3">
      <c r="A933" t="s">
        <v>922</v>
      </c>
      <c r="B933" t="s">
        <v>2244</v>
      </c>
      <c r="C933" t="s">
        <v>2872</v>
      </c>
      <c r="E933" t="s">
        <v>4554</v>
      </c>
      <c r="F933" t="s">
        <v>4574</v>
      </c>
      <c r="H933" t="s">
        <v>4595</v>
      </c>
      <c r="I933">
        <v>1</v>
      </c>
      <c r="J933">
        <v>43.73</v>
      </c>
      <c r="K933">
        <v>0</v>
      </c>
      <c r="L933">
        <v>9.07</v>
      </c>
      <c r="M933" t="s">
        <v>5462</v>
      </c>
      <c r="N933" t="s">
        <v>5474</v>
      </c>
      <c r="O933" t="s">
        <v>5477</v>
      </c>
    </row>
    <row r="934" spans="1:15" x14ac:dyDescent="0.3">
      <c r="A934" t="s">
        <v>923</v>
      </c>
      <c r="B934" t="s">
        <v>2245</v>
      </c>
      <c r="C934" t="s">
        <v>3043</v>
      </c>
      <c r="D934" t="s">
        <v>4097</v>
      </c>
      <c r="E934" t="s">
        <v>4553</v>
      </c>
      <c r="F934" t="s">
        <v>4577</v>
      </c>
      <c r="G934" t="s">
        <v>4583</v>
      </c>
      <c r="H934" t="s">
        <v>4588</v>
      </c>
      <c r="I934">
        <v>10</v>
      </c>
      <c r="J934">
        <v>41.95</v>
      </c>
      <c r="K934">
        <v>0.1</v>
      </c>
      <c r="L934">
        <v>5.16</v>
      </c>
      <c r="M934" t="s">
        <v>5468</v>
      </c>
      <c r="N934" t="s">
        <v>5470</v>
      </c>
      <c r="O934" t="s">
        <v>5476</v>
      </c>
    </row>
    <row r="935" spans="1:15" x14ac:dyDescent="0.3">
      <c r="A935" t="s">
        <v>924</v>
      </c>
      <c r="B935" t="s">
        <v>2246</v>
      </c>
      <c r="C935" t="s">
        <v>2688</v>
      </c>
      <c r="D935" t="s">
        <v>4098</v>
      </c>
      <c r="E935" t="s">
        <v>4569</v>
      </c>
      <c r="F935" t="s">
        <v>4581</v>
      </c>
      <c r="G935" t="s">
        <v>4583</v>
      </c>
      <c r="H935" t="s">
        <v>4588</v>
      </c>
      <c r="I935">
        <v>3</v>
      </c>
      <c r="J935" t="s">
        <v>5161</v>
      </c>
      <c r="L935">
        <v>8.9</v>
      </c>
      <c r="M935" t="s">
        <v>5464</v>
      </c>
      <c r="N935" t="s">
        <v>5472</v>
      </c>
      <c r="O935" t="s">
        <v>5477</v>
      </c>
    </row>
    <row r="936" spans="1:15" x14ac:dyDescent="0.3">
      <c r="A936" t="s">
        <v>784</v>
      </c>
      <c r="B936" t="s">
        <v>2130</v>
      </c>
      <c r="C936" t="s">
        <v>2769</v>
      </c>
      <c r="D936" t="s">
        <v>3968</v>
      </c>
      <c r="E936" t="s">
        <v>4566</v>
      </c>
      <c r="F936" t="s">
        <v>4577</v>
      </c>
      <c r="G936" t="s">
        <v>4587</v>
      </c>
      <c r="H936" t="s">
        <v>4600</v>
      </c>
      <c r="I936">
        <v>4</v>
      </c>
      <c r="J936" t="s">
        <v>5082</v>
      </c>
      <c r="K936">
        <v>0</v>
      </c>
      <c r="L936">
        <v>8.67</v>
      </c>
      <c r="M936" t="s">
        <v>5467</v>
      </c>
      <c r="N936" t="s">
        <v>5473</v>
      </c>
      <c r="O936" t="s">
        <v>5477</v>
      </c>
    </row>
    <row r="937" spans="1:15" x14ac:dyDescent="0.3">
      <c r="A937" t="s">
        <v>925</v>
      </c>
      <c r="B937" t="s">
        <v>1657</v>
      </c>
      <c r="C937" t="s">
        <v>3130</v>
      </c>
      <c r="D937" t="s">
        <v>4099</v>
      </c>
      <c r="E937" t="s">
        <v>4552</v>
      </c>
      <c r="F937" t="s">
        <v>4576</v>
      </c>
      <c r="G937" t="s">
        <v>4586</v>
      </c>
      <c r="H937" t="s">
        <v>4609</v>
      </c>
      <c r="I937">
        <v>10</v>
      </c>
      <c r="J937" t="s">
        <v>5162</v>
      </c>
      <c r="K937">
        <v>0</v>
      </c>
      <c r="L937">
        <v>10.79</v>
      </c>
      <c r="M937" t="s">
        <v>5467</v>
      </c>
      <c r="O937" t="s">
        <v>5478</v>
      </c>
    </row>
    <row r="938" spans="1:15" x14ac:dyDescent="0.3">
      <c r="A938" t="s">
        <v>926</v>
      </c>
      <c r="B938" t="s">
        <v>1923</v>
      </c>
      <c r="C938" t="s">
        <v>3081</v>
      </c>
      <c r="D938" t="s">
        <v>4100</v>
      </c>
      <c r="E938" t="s">
        <v>4548</v>
      </c>
      <c r="F938" t="s">
        <v>4578</v>
      </c>
      <c r="G938" t="s">
        <v>4585</v>
      </c>
      <c r="H938" t="s">
        <v>4602</v>
      </c>
      <c r="I938">
        <v>1</v>
      </c>
      <c r="J938" t="s">
        <v>5163</v>
      </c>
      <c r="K938" t="s">
        <v>5460</v>
      </c>
      <c r="L938">
        <v>0.92</v>
      </c>
      <c r="M938" t="s">
        <v>5465</v>
      </c>
      <c r="N938" t="s">
        <v>5474</v>
      </c>
      <c r="O938" t="s">
        <v>5480</v>
      </c>
    </row>
    <row r="939" spans="1:15" x14ac:dyDescent="0.3">
      <c r="A939" t="s">
        <v>927</v>
      </c>
      <c r="B939" t="s">
        <v>1601</v>
      </c>
      <c r="C939" t="s">
        <v>3131</v>
      </c>
      <c r="D939" t="s">
        <v>4101</v>
      </c>
      <c r="E939" t="s">
        <v>4552</v>
      </c>
      <c r="F939" t="s">
        <v>4575</v>
      </c>
      <c r="G939" t="s">
        <v>4584</v>
      </c>
      <c r="H939" t="s">
        <v>4595</v>
      </c>
      <c r="I939">
        <v>1</v>
      </c>
      <c r="J939" t="s">
        <v>5164</v>
      </c>
      <c r="K939">
        <v>0.15</v>
      </c>
      <c r="L939">
        <v>8.8699999999999992</v>
      </c>
      <c r="M939" t="s">
        <v>5467</v>
      </c>
      <c r="O939" t="s">
        <v>5477</v>
      </c>
    </row>
    <row r="940" spans="1:15" x14ac:dyDescent="0.3">
      <c r="A940" t="s">
        <v>928</v>
      </c>
      <c r="B940" t="s">
        <v>2198</v>
      </c>
      <c r="C940" t="s">
        <v>2678</v>
      </c>
      <c r="E940" t="s">
        <v>4559</v>
      </c>
      <c r="F940" t="s">
        <v>4582</v>
      </c>
      <c r="G940" t="s">
        <v>4587</v>
      </c>
      <c r="H940" t="s">
        <v>4594</v>
      </c>
      <c r="I940">
        <v>3</v>
      </c>
      <c r="J940">
        <v>59.49</v>
      </c>
      <c r="K940" t="s">
        <v>5461</v>
      </c>
      <c r="L940">
        <v>0</v>
      </c>
      <c r="M940" t="s">
        <v>5465</v>
      </c>
      <c r="O940" t="s">
        <v>5477</v>
      </c>
    </row>
    <row r="941" spans="1:15" x14ac:dyDescent="0.3">
      <c r="A941" t="s">
        <v>929</v>
      </c>
      <c r="B941" t="s">
        <v>1771</v>
      </c>
      <c r="C941" t="s">
        <v>3132</v>
      </c>
      <c r="D941" t="s">
        <v>4102</v>
      </c>
      <c r="E941" t="s">
        <v>4547</v>
      </c>
      <c r="F941" t="s">
        <v>4572</v>
      </c>
      <c r="G941" t="s">
        <v>4583</v>
      </c>
      <c r="H941" t="s">
        <v>4605</v>
      </c>
      <c r="I941">
        <v>4</v>
      </c>
      <c r="J941" t="s">
        <v>5165</v>
      </c>
      <c r="K941">
        <v>0</v>
      </c>
      <c r="L941">
        <v>6.66</v>
      </c>
      <c r="M941" t="s">
        <v>5468</v>
      </c>
      <c r="O941" t="s">
        <v>5478</v>
      </c>
    </row>
    <row r="942" spans="1:15" x14ac:dyDescent="0.3">
      <c r="A942" t="s">
        <v>930</v>
      </c>
      <c r="B942" t="s">
        <v>2247</v>
      </c>
      <c r="C942" t="s">
        <v>2896</v>
      </c>
      <c r="D942" t="s">
        <v>4103</v>
      </c>
      <c r="E942" t="s">
        <v>4559</v>
      </c>
      <c r="F942" t="s">
        <v>4582</v>
      </c>
      <c r="G942" t="s">
        <v>4587</v>
      </c>
      <c r="H942" t="s">
        <v>4596</v>
      </c>
      <c r="I942">
        <v>1</v>
      </c>
      <c r="J942">
        <v>15.21</v>
      </c>
      <c r="K942">
        <v>0</v>
      </c>
      <c r="L942">
        <v>10.61</v>
      </c>
      <c r="M942" t="s">
        <v>5466</v>
      </c>
      <c r="N942" t="s">
        <v>5471</v>
      </c>
      <c r="O942" t="s">
        <v>5477</v>
      </c>
    </row>
    <row r="943" spans="1:15" x14ac:dyDescent="0.3">
      <c r="A943" t="s">
        <v>931</v>
      </c>
      <c r="B943" t="s">
        <v>2248</v>
      </c>
      <c r="C943" t="s">
        <v>2803</v>
      </c>
      <c r="D943" t="s">
        <v>4104</v>
      </c>
      <c r="E943" t="s">
        <v>4553</v>
      </c>
      <c r="F943" t="s">
        <v>4577</v>
      </c>
      <c r="G943" t="s">
        <v>4586</v>
      </c>
      <c r="H943" t="s">
        <v>4593</v>
      </c>
      <c r="I943">
        <v>-1</v>
      </c>
      <c r="J943">
        <v>109.03</v>
      </c>
      <c r="K943">
        <v>0</v>
      </c>
      <c r="L943">
        <v>2.88</v>
      </c>
      <c r="M943" t="s">
        <v>5466</v>
      </c>
      <c r="N943" t="s">
        <v>5470</v>
      </c>
      <c r="O943" t="s">
        <v>5475</v>
      </c>
    </row>
    <row r="944" spans="1:15" x14ac:dyDescent="0.3">
      <c r="A944" t="s">
        <v>932</v>
      </c>
      <c r="B944" t="s">
        <v>2249</v>
      </c>
      <c r="C944" t="s">
        <v>3133</v>
      </c>
      <c r="E944" t="s">
        <v>4552</v>
      </c>
      <c r="F944" t="s">
        <v>4575</v>
      </c>
      <c r="G944" t="s">
        <v>4583</v>
      </c>
      <c r="H944" t="s">
        <v>4588</v>
      </c>
      <c r="I944">
        <v>5</v>
      </c>
      <c r="J944" t="s">
        <v>5166</v>
      </c>
      <c r="K944">
        <v>0</v>
      </c>
      <c r="L944">
        <v>1.99</v>
      </c>
      <c r="M944" t="s">
        <v>5466</v>
      </c>
      <c r="N944" t="s">
        <v>5473</v>
      </c>
      <c r="O944" t="s">
        <v>5475</v>
      </c>
    </row>
    <row r="945" spans="1:15" x14ac:dyDescent="0.3">
      <c r="A945" t="s">
        <v>933</v>
      </c>
      <c r="B945" t="s">
        <v>1649</v>
      </c>
      <c r="C945" t="s">
        <v>3134</v>
      </c>
      <c r="D945" t="s">
        <v>4105</v>
      </c>
      <c r="E945" t="s">
        <v>4549</v>
      </c>
      <c r="F945" t="s">
        <v>4573</v>
      </c>
      <c r="G945" t="s">
        <v>4584</v>
      </c>
      <c r="H945" t="s">
        <v>4601</v>
      </c>
      <c r="I945">
        <v>4</v>
      </c>
      <c r="J945">
        <v>190.91</v>
      </c>
      <c r="L945">
        <v>7.9</v>
      </c>
      <c r="M945" t="s">
        <v>5464</v>
      </c>
      <c r="N945" t="s">
        <v>5469</v>
      </c>
      <c r="O945" t="s">
        <v>5477</v>
      </c>
    </row>
    <row r="946" spans="1:15" x14ac:dyDescent="0.3">
      <c r="A946" t="s">
        <v>934</v>
      </c>
      <c r="B946" t="s">
        <v>1988</v>
      </c>
      <c r="C946" t="s">
        <v>3135</v>
      </c>
      <c r="D946" t="s">
        <v>4106</v>
      </c>
      <c r="E946" t="s">
        <v>4547</v>
      </c>
      <c r="F946" t="s">
        <v>4572</v>
      </c>
      <c r="G946" t="s">
        <v>4583</v>
      </c>
      <c r="H946" t="s">
        <v>4588</v>
      </c>
      <c r="I946">
        <v>1</v>
      </c>
      <c r="J946" t="s">
        <v>5167</v>
      </c>
      <c r="K946">
        <v>0</v>
      </c>
      <c r="L946">
        <v>13.5</v>
      </c>
      <c r="M946" t="s">
        <v>5463</v>
      </c>
      <c r="O946" t="s">
        <v>5478</v>
      </c>
    </row>
    <row r="947" spans="1:15" x14ac:dyDescent="0.3">
      <c r="A947" t="s">
        <v>935</v>
      </c>
      <c r="B947" t="s">
        <v>2225</v>
      </c>
      <c r="C947" t="s">
        <v>2793</v>
      </c>
      <c r="D947" t="s">
        <v>4107</v>
      </c>
      <c r="E947" t="s">
        <v>4570</v>
      </c>
      <c r="F947" t="s">
        <v>4574</v>
      </c>
      <c r="G947" t="s">
        <v>4585</v>
      </c>
      <c r="H947" t="s">
        <v>4592</v>
      </c>
      <c r="I947">
        <v>4</v>
      </c>
      <c r="J947" t="s">
        <v>4889</v>
      </c>
      <c r="K947">
        <v>0</v>
      </c>
      <c r="L947">
        <v>12.18</v>
      </c>
      <c r="M947" t="s">
        <v>5467</v>
      </c>
      <c r="N947" t="s">
        <v>5469</v>
      </c>
      <c r="O947" t="s">
        <v>5480</v>
      </c>
    </row>
    <row r="948" spans="1:15" x14ac:dyDescent="0.3">
      <c r="A948" t="s">
        <v>936</v>
      </c>
      <c r="B948" t="s">
        <v>2250</v>
      </c>
      <c r="C948" t="s">
        <v>3136</v>
      </c>
      <c r="D948" t="s">
        <v>4108</v>
      </c>
      <c r="E948" t="s">
        <v>4561</v>
      </c>
      <c r="F948" t="s">
        <v>4572</v>
      </c>
      <c r="G948" t="s">
        <v>4586</v>
      </c>
      <c r="H948" t="s">
        <v>4609</v>
      </c>
      <c r="I948">
        <v>1</v>
      </c>
      <c r="J948" t="s">
        <v>5168</v>
      </c>
      <c r="K948">
        <v>0.05</v>
      </c>
      <c r="L948">
        <v>0.26</v>
      </c>
      <c r="M948" t="s">
        <v>5466</v>
      </c>
      <c r="N948" t="s">
        <v>5469</v>
      </c>
      <c r="O948" t="s">
        <v>5479</v>
      </c>
    </row>
    <row r="949" spans="1:15" x14ac:dyDescent="0.3">
      <c r="A949" t="s">
        <v>937</v>
      </c>
      <c r="B949" t="s">
        <v>2251</v>
      </c>
      <c r="C949" t="s">
        <v>3002</v>
      </c>
      <c r="D949" t="s">
        <v>4109</v>
      </c>
      <c r="E949" t="s">
        <v>4570</v>
      </c>
      <c r="F949" t="s">
        <v>4573</v>
      </c>
      <c r="G949" t="s">
        <v>4586</v>
      </c>
      <c r="H949" t="s">
        <v>4599</v>
      </c>
      <c r="I949">
        <v>2</v>
      </c>
      <c r="J949">
        <v>250.93</v>
      </c>
      <c r="K949">
        <v>0</v>
      </c>
      <c r="L949">
        <v>8.51</v>
      </c>
      <c r="M949" t="s">
        <v>5467</v>
      </c>
      <c r="N949" t="s">
        <v>5474</v>
      </c>
      <c r="O949" t="s">
        <v>5477</v>
      </c>
    </row>
    <row r="950" spans="1:15" x14ac:dyDescent="0.3">
      <c r="A950" t="s">
        <v>938</v>
      </c>
      <c r="B950" t="s">
        <v>2252</v>
      </c>
      <c r="C950" t="s">
        <v>2939</v>
      </c>
      <c r="D950" t="s">
        <v>4110</v>
      </c>
      <c r="E950" t="s">
        <v>4552</v>
      </c>
      <c r="F950" t="s">
        <v>4576</v>
      </c>
      <c r="H950" t="s">
        <v>4588</v>
      </c>
      <c r="I950">
        <v>2</v>
      </c>
      <c r="J950" t="s">
        <v>5169</v>
      </c>
      <c r="L950">
        <v>2.31</v>
      </c>
      <c r="M950" t="s">
        <v>5462</v>
      </c>
      <c r="N950" t="s">
        <v>5471</v>
      </c>
      <c r="O950" t="s">
        <v>5478</v>
      </c>
    </row>
    <row r="951" spans="1:15" x14ac:dyDescent="0.3">
      <c r="A951" t="s">
        <v>939</v>
      </c>
      <c r="B951" t="s">
        <v>2253</v>
      </c>
      <c r="C951" t="s">
        <v>3137</v>
      </c>
      <c r="D951" t="s">
        <v>4111</v>
      </c>
      <c r="E951" t="s">
        <v>4560</v>
      </c>
      <c r="F951" t="s">
        <v>4573</v>
      </c>
      <c r="G951" t="s">
        <v>4585</v>
      </c>
      <c r="H951" t="s">
        <v>4598</v>
      </c>
      <c r="I951">
        <v>5</v>
      </c>
      <c r="J951" t="s">
        <v>4915</v>
      </c>
      <c r="K951">
        <v>0</v>
      </c>
      <c r="L951">
        <v>6.69</v>
      </c>
      <c r="M951" t="s">
        <v>5468</v>
      </c>
      <c r="N951" t="s">
        <v>5470</v>
      </c>
      <c r="O951" t="s">
        <v>5477</v>
      </c>
    </row>
    <row r="952" spans="1:15" x14ac:dyDescent="0.3">
      <c r="A952" t="s">
        <v>940</v>
      </c>
      <c r="B952" t="s">
        <v>2254</v>
      </c>
      <c r="C952" t="s">
        <v>2768</v>
      </c>
      <c r="D952" t="s">
        <v>4112</v>
      </c>
      <c r="E952" t="s">
        <v>4571</v>
      </c>
      <c r="F952" t="s">
        <v>4578</v>
      </c>
      <c r="G952" t="s">
        <v>4586</v>
      </c>
      <c r="H952" t="s">
        <v>4593</v>
      </c>
      <c r="I952">
        <v>2</v>
      </c>
      <c r="J952" t="s">
        <v>5170</v>
      </c>
      <c r="K952">
        <v>0.15</v>
      </c>
      <c r="L952">
        <v>9.89</v>
      </c>
      <c r="M952" t="s">
        <v>5467</v>
      </c>
      <c r="N952" t="s">
        <v>5470</v>
      </c>
      <c r="O952" t="s">
        <v>5477</v>
      </c>
    </row>
    <row r="953" spans="1:15" x14ac:dyDescent="0.3">
      <c r="A953" t="s">
        <v>941</v>
      </c>
      <c r="B953" t="s">
        <v>2255</v>
      </c>
      <c r="C953" t="s">
        <v>2900</v>
      </c>
      <c r="D953" t="s">
        <v>4113</v>
      </c>
      <c r="E953" t="s">
        <v>4548</v>
      </c>
      <c r="F953" t="s">
        <v>4578</v>
      </c>
      <c r="G953" t="s">
        <v>4586</v>
      </c>
      <c r="H953" t="s">
        <v>4597</v>
      </c>
      <c r="I953">
        <v>2</v>
      </c>
      <c r="J953">
        <v>89.04</v>
      </c>
      <c r="K953">
        <v>0.15</v>
      </c>
      <c r="L953">
        <v>13.47</v>
      </c>
      <c r="M953" t="s">
        <v>5465</v>
      </c>
      <c r="N953" t="s">
        <v>5469</v>
      </c>
      <c r="O953" t="s">
        <v>5478</v>
      </c>
    </row>
    <row r="954" spans="1:15" x14ac:dyDescent="0.3">
      <c r="A954" t="s">
        <v>942</v>
      </c>
      <c r="B954" t="s">
        <v>2256</v>
      </c>
      <c r="C954" t="s">
        <v>2899</v>
      </c>
      <c r="D954" t="s">
        <v>4114</v>
      </c>
      <c r="E954" t="s">
        <v>4571</v>
      </c>
      <c r="F954" t="s">
        <v>4573</v>
      </c>
      <c r="G954" t="s">
        <v>4586</v>
      </c>
      <c r="H954" t="s">
        <v>4599</v>
      </c>
      <c r="I954">
        <v>10</v>
      </c>
      <c r="J954" t="s">
        <v>5171</v>
      </c>
      <c r="K954">
        <v>0</v>
      </c>
      <c r="L954">
        <v>14.85</v>
      </c>
      <c r="N954" t="s">
        <v>5471</v>
      </c>
      <c r="O954" t="s">
        <v>5480</v>
      </c>
    </row>
    <row r="955" spans="1:15" x14ac:dyDescent="0.3">
      <c r="A955" t="s">
        <v>943</v>
      </c>
      <c r="B955" t="s">
        <v>1642</v>
      </c>
      <c r="C955" t="s">
        <v>3138</v>
      </c>
      <c r="D955" t="s">
        <v>4115</v>
      </c>
      <c r="E955" t="s">
        <v>4556</v>
      </c>
      <c r="F955" t="s">
        <v>4576</v>
      </c>
      <c r="G955" t="s">
        <v>4585</v>
      </c>
      <c r="H955" t="s">
        <v>4592</v>
      </c>
      <c r="I955">
        <v>1</v>
      </c>
      <c r="J955" t="s">
        <v>5172</v>
      </c>
      <c r="K955">
        <v>0</v>
      </c>
      <c r="L955">
        <v>11.01</v>
      </c>
      <c r="M955" t="s">
        <v>5465</v>
      </c>
      <c r="O955" t="s">
        <v>5478</v>
      </c>
    </row>
    <row r="956" spans="1:15" x14ac:dyDescent="0.3">
      <c r="A956" t="s">
        <v>944</v>
      </c>
      <c r="B956" t="s">
        <v>2257</v>
      </c>
      <c r="C956" t="s">
        <v>2990</v>
      </c>
      <c r="D956" t="s">
        <v>4116</v>
      </c>
      <c r="E956" t="s">
        <v>4569</v>
      </c>
      <c r="F956" t="s">
        <v>4572</v>
      </c>
      <c r="G956" t="s">
        <v>4586</v>
      </c>
      <c r="H956" t="s">
        <v>4599</v>
      </c>
      <c r="I956">
        <v>-1</v>
      </c>
      <c r="J956" t="s">
        <v>5173</v>
      </c>
      <c r="K956">
        <v>0.05</v>
      </c>
      <c r="L956">
        <v>7.07</v>
      </c>
      <c r="M956" t="s">
        <v>5465</v>
      </c>
      <c r="N956" t="s">
        <v>5473</v>
      </c>
      <c r="O956" t="s">
        <v>5476</v>
      </c>
    </row>
    <row r="957" spans="1:15" x14ac:dyDescent="0.3">
      <c r="A957" t="s">
        <v>945</v>
      </c>
      <c r="B957" t="s">
        <v>2258</v>
      </c>
      <c r="C957" t="s">
        <v>2814</v>
      </c>
      <c r="D957" t="s">
        <v>4117</v>
      </c>
      <c r="E957" t="s">
        <v>4570</v>
      </c>
      <c r="F957" t="s">
        <v>4574</v>
      </c>
      <c r="G957" t="s">
        <v>4587</v>
      </c>
      <c r="H957" t="s">
        <v>4606</v>
      </c>
      <c r="I957">
        <v>1</v>
      </c>
      <c r="J957" t="s">
        <v>5174</v>
      </c>
      <c r="K957" t="s">
        <v>5461</v>
      </c>
      <c r="L957">
        <v>7.05</v>
      </c>
      <c r="M957" t="s">
        <v>5467</v>
      </c>
      <c r="N957" t="s">
        <v>5471</v>
      </c>
      <c r="O957" t="s">
        <v>5477</v>
      </c>
    </row>
    <row r="958" spans="1:15" x14ac:dyDescent="0.3">
      <c r="A958" t="s">
        <v>946</v>
      </c>
      <c r="B958" t="s">
        <v>2259</v>
      </c>
      <c r="C958" t="s">
        <v>3139</v>
      </c>
      <c r="D958" t="s">
        <v>4118</v>
      </c>
      <c r="E958" t="s">
        <v>4554</v>
      </c>
      <c r="F958" t="s">
        <v>4574</v>
      </c>
      <c r="G958" t="s">
        <v>4585</v>
      </c>
      <c r="H958" t="s">
        <v>4602</v>
      </c>
      <c r="I958">
        <v>5</v>
      </c>
      <c r="J958" t="s">
        <v>5175</v>
      </c>
      <c r="K958">
        <v>0</v>
      </c>
      <c r="L958">
        <v>4.28</v>
      </c>
      <c r="M958" t="s">
        <v>5467</v>
      </c>
      <c r="N958" t="s">
        <v>5473</v>
      </c>
      <c r="O958" t="s">
        <v>5479</v>
      </c>
    </row>
    <row r="959" spans="1:15" x14ac:dyDescent="0.3">
      <c r="A959" t="s">
        <v>947</v>
      </c>
      <c r="B959" t="s">
        <v>2260</v>
      </c>
      <c r="C959" t="s">
        <v>3140</v>
      </c>
      <c r="D959" t="s">
        <v>4119</v>
      </c>
      <c r="E959" t="s">
        <v>4557</v>
      </c>
      <c r="F959" t="s">
        <v>4580</v>
      </c>
      <c r="G959" t="s">
        <v>4585</v>
      </c>
      <c r="H959" t="s">
        <v>4590</v>
      </c>
      <c r="I959">
        <v>1</v>
      </c>
      <c r="J959" t="s">
        <v>5176</v>
      </c>
      <c r="K959" t="s">
        <v>5461</v>
      </c>
      <c r="L959">
        <v>11.14</v>
      </c>
      <c r="M959" t="s">
        <v>5466</v>
      </c>
      <c r="O959" t="s">
        <v>5476</v>
      </c>
    </row>
    <row r="960" spans="1:15" x14ac:dyDescent="0.3">
      <c r="A960" t="s">
        <v>948</v>
      </c>
      <c r="B960" t="s">
        <v>1599</v>
      </c>
      <c r="C960" t="s">
        <v>3084</v>
      </c>
      <c r="D960" t="s">
        <v>4120</v>
      </c>
      <c r="E960" t="s">
        <v>4551</v>
      </c>
      <c r="F960" t="s">
        <v>4576</v>
      </c>
      <c r="G960" t="s">
        <v>4583</v>
      </c>
      <c r="H960" t="s">
        <v>4588</v>
      </c>
      <c r="I960">
        <v>1</v>
      </c>
      <c r="J960" t="s">
        <v>5177</v>
      </c>
      <c r="K960" t="s">
        <v>5460</v>
      </c>
      <c r="L960">
        <v>3.63</v>
      </c>
      <c r="M960" t="s">
        <v>5464</v>
      </c>
      <c r="N960" t="s">
        <v>5471</v>
      </c>
      <c r="O960" t="s">
        <v>5476</v>
      </c>
    </row>
    <row r="961" spans="1:15" x14ac:dyDescent="0.3">
      <c r="A961" t="s">
        <v>949</v>
      </c>
      <c r="B961" t="s">
        <v>2261</v>
      </c>
      <c r="C961" t="s">
        <v>2844</v>
      </c>
      <c r="E961" t="s">
        <v>4564</v>
      </c>
      <c r="F961" t="s">
        <v>4578</v>
      </c>
      <c r="G961" t="s">
        <v>4584</v>
      </c>
      <c r="H961" t="s">
        <v>4603</v>
      </c>
      <c r="I961">
        <v>1</v>
      </c>
      <c r="J961" t="s">
        <v>4945</v>
      </c>
      <c r="K961">
        <v>0</v>
      </c>
      <c r="L961">
        <v>14.58</v>
      </c>
      <c r="M961" t="s">
        <v>5463</v>
      </c>
      <c r="N961" t="s">
        <v>5473</v>
      </c>
      <c r="O961" t="s">
        <v>5476</v>
      </c>
    </row>
    <row r="962" spans="1:15" x14ac:dyDescent="0.3">
      <c r="A962" t="s">
        <v>950</v>
      </c>
      <c r="B962" t="s">
        <v>2021</v>
      </c>
      <c r="C962" t="s">
        <v>2869</v>
      </c>
      <c r="D962" t="s">
        <v>4121</v>
      </c>
      <c r="E962" t="s">
        <v>4549</v>
      </c>
      <c r="F962" t="s">
        <v>4573</v>
      </c>
      <c r="G962" t="s">
        <v>4586</v>
      </c>
      <c r="H962" t="s">
        <v>4593</v>
      </c>
      <c r="I962">
        <v>1</v>
      </c>
      <c r="J962" t="s">
        <v>5178</v>
      </c>
      <c r="K962" t="s">
        <v>5461</v>
      </c>
      <c r="L962">
        <v>2.25</v>
      </c>
      <c r="M962" t="s">
        <v>5465</v>
      </c>
      <c r="N962" t="s">
        <v>5474</v>
      </c>
      <c r="O962" t="s">
        <v>5477</v>
      </c>
    </row>
    <row r="963" spans="1:15" x14ac:dyDescent="0.3">
      <c r="A963" t="s">
        <v>951</v>
      </c>
      <c r="B963" t="s">
        <v>2262</v>
      </c>
      <c r="C963" t="s">
        <v>2758</v>
      </c>
      <c r="D963" t="s">
        <v>4122</v>
      </c>
      <c r="E963" t="s">
        <v>4555</v>
      </c>
      <c r="F963" t="s">
        <v>4573</v>
      </c>
      <c r="G963" t="s">
        <v>4587</v>
      </c>
      <c r="H963" t="s">
        <v>4596</v>
      </c>
      <c r="I963">
        <v>2</v>
      </c>
      <c r="J963" t="s">
        <v>5179</v>
      </c>
      <c r="K963">
        <v>0</v>
      </c>
      <c r="L963">
        <v>0</v>
      </c>
      <c r="M963" t="s">
        <v>5466</v>
      </c>
      <c r="O963" t="s">
        <v>5479</v>
      </c>
    </row>
    <row r="964" spans="1:15" x14ac:dyDescent="0.3">
      <c r="A964" t="s">
        <v>952</v>
      </c>
      <c r="B964" t="s">
        <v>2263</v>
      </c>
      <c r="C964" t="s">
        <v>3141</v>
      </c>
      <c r="D964" t="s">
        <v>4123</v>
      </c>
      <c r="E964" t="s">
        <v>4566</v>
      </c>
      <c r="F964" t="s">
        <v>4573</v>
      </c>
      <c r="G964" t="s">
        <v>4587</v>
      </c>
      <c r="H964" t="s">
        <v>4600</v>
      </c>
      <c r="I964">
        <v>2</v>
      </c>
      <c r="J964" t="s">
        <v>5180</v>
      </c>
      <c r="L964">
        <v>5.97</v>
      </c>
      <c r="M964" t="s">
        <v>5467</v>
      </c>
      <c r="N964" t="s">
        <v>5473</v>
      </c>
      <c r="O964" t="s">
        <v>5477</v>
      </c>
    </row>
    <row r="965" spans="1:15" x14ac:dyDescent="0.3">
      <c r="A965" t="s">
        <v>953</v>
      </c>
      <c r="B965" t="s">
        <v>2264</v>
      </c>
      <c r="C965" t="s">
        <v>3142</v>
      </c>
      <c r="D965" t="s">
        <v>4124</v>
      </c>
      <c r="E965" t="s">
        <v>4566</v>
      </c>
      <c r="F965" t="s">
        <v>4573</v>
      </c>
      <c r="G965" t="s">
        <v>4583</v>
      </c>
      <c r="H965" t="s">
        <v>4605</v>
      </c>
      <c r="I965">
        <v>1</v>
      </c>
      <c r="J965" t="s">
        <v>5181</v>
      </c>
      <c r="L965">
        <v>12.35</v>
      </c>
      <c r="M965" t="s">
        <v>5466</v>
      </c>
      <c r="N965" t="s">
        <v>5471</v>
      </c>
      <c r="O965" t="s">
        <v>5476</v>
      </c>
    </row>
    <row r="966" spans="1:15" x14ac:dyDescent="0.3">
      <c r="A966" t="s">
        <v>954</v>
      </c>
      <c r="B966" t="s">
        <v>1504</v>
      </c>
      <c r="C966" t="s">
        <v>2911</v>
      </c>
      <c r="D966" t="s">
        <v>4125</v>
      </c>
      <c r="E966" t="s">
        <v>4554</v>
      </c>
      <c r="F966" t="s">
        <v>4573</v>
      </c>
      <c r="G966" t="s">
        <v>4587</v>
      </c>
      <c r="H966" t="s">
        <v>4606</v>
      </c>
      <c r="I966">
        <v>-1</v>
      </c>
      <c r="J966">
        <v>29.46</v>
      </c>
      <c r="K966" t="s">
        <v>5461</v>
      </c>
      <c r="L966">
        <v>12.23</v>
      </c>
      <c r="M966" t="s">
        <v>5464</v>
      </c>
      <c r="N966" t="s">
        <v>5474</v>
      </c>
      <c r="O966" t="s">
        <v>5478</v>
      </c>
    </row>
    <row r="967" spans="1:15" x14ac:dyDescent="0.3">
      <c r="A967" t="s">
        <v>955</v>
      </c>
      <c r="B967" t="s">
        <v>2265</v>
      </c>
      <c r="C967" t="s">
        <v>2690</v>
      </c>
      <c r="D967" t="s">
        <v>4126</v>
      </c>
      <c r="E967" t="s">
        <v>4549</v>
      </c>
      <c r="F967" t="s">
        <v>4573</v>
      </c>
      <c r="G967" t="s">
        <v>4585</v>
      </c>
      <c r="H967" t="s">
        <v>4598</v>
      </c>
      <c r="I967">
        <v>2</v>
      </c>
      <c r="J967">
        <v>3.18</v>
      </c>
      <c r="K967">
        <v>0</v>
      </c>
      <c r="L967">
        <v>1.0900000000000001</v>
      </c>
      <c r="M967" t="s">
        <v>5463</v>
      </c>
      <c r="N967" t="s">
        <v>5471</v>
      </c>
      <c r="O967" t="s">
        <v>5478</v>
      </c>
    </row>
    <row r="968" spans="1:15" x14ac:dyDescent="0.3">
      <c r="A968" t="s">
        <v>956</v>
      </c>
      <c r="B968" t="s">
        <v>2266</v>
      </c>
      <c r="C968" t="s">
        <v>3047</v>
      </c>
      <c r="D968" t="s">
        <v>4127</v>
      </c>
      <c r="E968" t="s">
        <v>4553</v>
      </c>
      <c r="F968" t="s">
        <v>4577</v>
      </c>
      <c r="G968" t="s">
        <v>4585</v>
      </c>
      <c r="H968" t="s">
        <v>4590</v>
      </c>
      <c r="I968">
        <v>4</v>
      </c>
      <c r="J968" t="s">
        <v>5182</v>
      </c>
      <c r="K968" t="s">
        <v>5460</v>
      </c>
      <c r="L968">
        <v>5.83</v>
      </c>
      <c r="M968" t="s">
        <v>5463</v>
      </c>
      <c r="N968" t="s">
        <v>5474</v>
      </c>
      <c r="O968" t="s">
        <v>5479</v>
      </c>
    </row>
    <row r="969" spans="1:15" x14ac:dyDescent="0.3">
      <c r="A969" t="s">
        <v>957</v>
      </c>
      <c r="B969" t="s">
        <v>1823</v>
      </c>
      <c r="C969" t="s">
        <v>3143</v>
      </c>
      <c r="D969" t="s">
        <v>4128</v>
      </c>
      <c r="E969" t="s">
        <v>4550</v>
      </c>
      <c r="F969" t="s">
        <v>4573</v>
      </c>
      <c r="G969" t="s">
        <v>4584</v>
      </c>
      <c r="H969" t="s">
        <v>4601</v>
      </c>
      <c r="I969">
        <v>5</v>
      </c>
      <c r="J969" t="s">
        <v>5183</v>
      </c>
      <c r="K969">
        <v>0.15</v>
      </c>
      <c r="L969">
        <v>13.04</v>
      </c>
      <c r="M969" t="s">
        <v>5467</v>
      </c>
      <c r="O969" t="s">
        <v>5477</v>
      </c>
    </row>
    <row r="970" spans="1:15" x14ac:dyDescent="0.3">
      <c r="A970" t="s">
        <v>958</v>
      </c>
      <c r="B970" t="s">
        <v>1934</v>
      </c>
      <c r="C970" t="s">
        <v>3144</v>
      </c>
      <c r="D970" t="s">
        <v>4129</v>
      </c>
      <c r="E970" t="s">
        <v>4570</v>
      </c>
      <c r="F970" t="s">
        <v>4573</v>
      </c>
      <c r="G970" t="s">
        <v>4584</v>
      </c>
      <c r="H970" t="s">
        <v>4608</v>
      </c>
      <c r="I970">
        <v>5</v>
      </c>
      <c r="J970">
        <v>18.57</v>
      </c>
      <c r="K970">
        <v>0.05</v>
      </c>
      <c r="L970">
        <v>9.66</v>
      </c>
      <c r="N970" t="s">
        <v>5469</v>
      </c>
      <c r="O970" t="s">
        <v>5476</v>
      </c>
    </row>
    <row r="971" spans="1:15" x14ac:dyDescent="0.3">
      <c r="A971" t="s">
        <v>959</v>
      </c>
      <c r="B971" t="s">
        <v>2267</v>
      </c>
      <c r="C971" t="s">
        <v>2707</v>
      </c>
      <c r="D971" t="s">
        <v>4130</v>
      </c>
      <c r="E971" t="s">
        <v>4563</v>
      </c>
      <c r="F971" t="s">
        <v>4578</v>
      </c>
      <c r="G971" t="s">
        <v>4586</v>
      </c>
      <c r="H971" t="s">
        <v>4597</v>
      </c>
      <c r="I971">
        <v>2</v>
      </c>
      <c r="J971" t="s">
        <v>5184</v>
      </c>
      <c r="K971">
        <v>0.15</v>
      </c>
      <c r="L971">
        <v>6.11</v>
      </c>
      <c r="M971" t="s">
        <v>5467</v>
      </c>
      <c r="N971" t="s">
        <v>5474</v>
      </c>
      <c r="O971" t="s">
        <v>5476</v>
      </c>
    </row>
    <row r="972" spans="1:15" x14ac:dyDescent="0.3">
      <c r="A972" t="s">
        <v>960</v>
      </c>
      <c r="B972" t="s">
        <v>2268</v>
      </c>
      <c r="C972" t="s">
        <v>3145</v>
      </c>
      <c r="D972" t="s">
        <v>4131</v>
      </c>
      <c r="E972" t="s">
        <v>4566</v>
      </c>
      <c r="F972" t="s">
        <v>4573</v>
      </c>
      <c r="G972" t="s">
        <v>4586</v>
      </c>
      <c r="H972" t="s">
        <v>4599</v>
      </c>
      <c r="I972">
        <v>1</v>
      </c>
      <c r="J972">
        <v>240.87</v>
      </c>
      <c r="K972">
        <v>0</v>
      </c>
      <c r="L972">
        <v>14.56</v>
      </c>
      <c r="M972" t="s">
        <v>5465</v>
      </c>
      <c r="N972" t="s">
        <v>5474</v>
      </c>
      <c r="O972" t="s">
        <v>5478</v>
      </c>
    </row>
    <row r="973" spans="1:15" x14ac:dyDescent="0.3">
      <c r="A973" t="s">
        <v>961</v>
      </c>
      <c r="B973" t="s">
        <v>1991</v>
      </c>
      <c r="C973" t="s">
        <v>2696</v>
      </c>
      <c r="D973" t="s">
        <v>4132</v>
      </c>
      <c r="E973" t="s">
        <v>4561</v>
      </c>
      <c r="F973" t="s">
        <v>4572</v>
      </c>
      <c r="G973" t="s">
        <v>4587</v>
      </c>
      <c r="H973" t="s">
        <v>4600</v>
      </c>
      <c r="I973">
        <v>1</v>
      </c>
      <c r="J973">
        <v>13.48</v>
      </c>
      <c r="K973">
        <v>0</v>
      </c>
      <c r="L973">
        <v>0.79</v>
      </c>
      <c r="M973" t="s">
        <v>5464</v>
      </c>
      <c r="N973" t="s">
        <v>5470</v>
      </c>
      <c r="O973" t="s">
        <v>5477</v>
      </c>
    </row>
    <row r="974" spans="1:15" x14ac:dyDescent="0.3">
      <c r="A974" t="s">
        <v>962</v>
      </c>
      <c r="B974" t="s">
        <v>2269</v>
      </c>
      <c r="C974" t="s">
        <v>2924</v>
      </c>
      <c r="D974" t="s">
        <v>4133</v>
      </c>
      <c r="E974" t="s">
        <v>4558</v>
      </c>
      <c r="F974" t="s">
        <v>4580</v>
      </c>
      <c r="G974" t="s">
        <v>4586</v>
      </c>
      <c r="H974" t="s">
        <v>4593</v>
      </c>
      <c r="I974">
        <v>2</v>
      </c>
      <c r="J974" t="s">
        <v>5185</v>
      </c>
      <c r="K974">
        <v>0.1</v>
      </c>
      <c r="L974">
        <v>11.35</v>
      </c>
      <c r="M974" t="s">
        <v>5464</v>
      </c>
      <c r="O974" t="s">
        <v>5478</v>
      </c>
    </row>
    <row r="975" spans="1:15" x14ac:dyDescent="0.3">
      <c r="A975" t="s">
        <v>963</v>
      </c>
      <c r="B975" t="s">
        <v>2270</v>
      </c>
      <c r="C975" t="s">
        <v>3146</v>
      </c>
      <c r="D975" t="s">
        <v>4134</v>
      </c>
      <c r="E975" t="s">
        <v>4563</v>
      </c>
      <c r="F975" t="s">
        <v>4573</v>
      </c>
      <c r="G975" t="s">
        <v>4587</v>
      </c>
      <c r="H975" t="s">
        <v>4606</v>
      </c>
      <c r="I975">
        <v>1</v>
      </c>
      <c r="J975" t="s">
        <v>5186</v>
      </c>
      <c r="K975">
        <v>0</v>
      </c>
      <c r="L975">
        <v>10.48</v>
      </c>
      <c r="M975" t="s">
        <v>5462</v>
      </c>
      <c r="N975" t="s">
        <v>5473</v>
      </c>
      <c r="O975" t="s">
        <v>5476</v>
      </c>
    </row>
    <row r="976" spans="1:15" x14ac:dyDescent="0.3">
      <c r="A976" t="s">
        <v>964</v>
      </c>
      <c r="B976" t="s">
        <v>1554</v>
      </c>
      <c r="C976" t="s">
        <v>2657</v>
      </c>
      <c r="D976" t="s">
        <v>4135</v>
      </c>
      <c r="E976" t="s">
        <v>4557</v>
      </c>
      <c r="F976" t="s">
        <v>4581</v>
      </c>
      <c r="G976" t="s">
        <v>4583</v>
      </c>
      <c r="H976" t="s">
        <v>4604</v>
      </c>
      <c r="I976">
        <v>2</v>
      </c>
      <c r="J976" t="s">
        <v>5187</v>
      </c>
      <c r="K976">
        <v>0</v>
      </c>
      <c r="L976">
        <v>2.34</v>
      </c>
      <c r="M976" t="s">
        <v>5465</v>
      </c>
      <c r="O976" t="s">
        <v>5477</v>
      </c>
    </row>
    <row r="977" spans="1:15" x14ac:dyDescent="0.3">
      <c r="A977" t="s">
        <v>195</v>
      </c>
      <c r="B977" t="s">
        <v>1593</v>
      </c>
      <c r="C977" t="s">
        <v>2775</v>
      </c>
      <c r="D977" t="s">
        <v>3430</v>
      </c>
      <c r="E977" t="s">
        <v>4553</v>
      </c>
      <c r="F977" t="s">
        <v>4573</v>
      </c>
      <c r="G977" t="s">
        <v>4587</v>
      </c>
      <c r="H977" t="s">
        <v>4594</v>
      </c>
      <c r="I977">
        <v>2</v>
      </c>
      <c r="J977">
        <v>61.48</v>
      </c>
      <c r="L977">
        <v>10.28</v>
      </c>
      <c r="M977" t="s">
        <v>5462</v>
      </c>
      <c r="N977" t="s">
        <v>5470</v>
      </c>
      <c r="O977" t="s">
        <v>5476</v>
      </c>
    </row>
    <row r="978" spans="1:15" x14ac:dyDescent="0.3">
      <c r="A978" t="s">
        <v>965</v>
      </c>
      <c r="B978" t="s">
        <v>2271</v>
      </c>
      <c r="C978" t="s">
        <v>3147</v>
      </c>
      <c r="D978" t="s">
        <v>4136</v>
      </c>
      <c r="E978" t="s">
        <v>4566</v>
      </c>
      <c r="F978" t="s">
        <v>4582</v>
      </c>
      <c r="G978" t="s">
        <v>4585</v>
      </c>
      <c r="H978" t="s">
        <v>4592</v>
      </c>
      <c r="I978">
        <v>5</v>
      </c>
      <c r="J978" t="s">
        <v>5188</v>
      </c>
      <c r="K978" t="s">
        <v>5460</v>
      </c>
      <c r="L978">
        <v>5.76</v>
      </c>
      <c r="M978" t="s">
        <v>5467</v>
      </c>
      <c r="O978" t="s">
        <v>5476</v>
      </c>
    </row>
    <row r="979" spans="1:15" x14ac:dyDescent="0.3">
      <c r="A979" t="s">
        <v>966</v>
      </c>
      <c r="B979" t="s">
        <v>1723</v>
      </c>
      <c r="C979" t="s">
        <v>2911</v>
      </c>
      <c r="D979" t="s">
        <v>4137</v>
      </c>
      <c r="E979" t="s">
        <v>4552</v>
      </c>
      <c r="F979" t="s">
        <v>4579</v>
      </c>
      <c r="G979" t="s">
        <v>4583</v>
      </c>
      <c r="H979" t="s">
        <v>4605</v>
      </c>
      <c r="I979">
        <v>3</v>
      </c>
      <c r="J979" t="s">
        <v>5189</v>
      </c>
      <c r="K979" t="s">
        <v>5460</v>
      </c>
      <c r="L979">
        <v>0</v>
      </c>
      <c r="M979" t="s">
        <v>5466</v>
      </c>
      <c r="N979" t="s">
        <v>5471</v>
      </c>
      <c r="O979" t="s">
        <v>5478</v>
      </c>
    </row>
    <row r="980" spans="1:15" x14ac:dyDescent="0.3">
      <c r="A980" t="s">
        <v>967</v>
      </c>
      <c r="B980" t="s">
        <v>2272</v>
      </c>
      <c r="C980" t="s">
        <v>3148</v>
      </c>
      <c r="D980" t="s">
        <v>4138</v>
      </c>
      <c r="E980" t="s">
        <v>4548</v>
      </c>
      <c r="F980" t="s">
        <v>4573</v>
      </c>
      <c r="G980" t="s">
        <v>4586</v>
      </c>
      <c r="H980" t="s">
        <v>4609</v>
      </c>
      <c r="I980">
        <v>5</v>
      </c>
      <c r="J980" t="s">
        <v>5190</v>
      </c>
      <c r="K980">
        <v>0.1</v>
      </c>
      <c r="L980">
        <v>10.73</v>
      </c>
      <c r="M980" t="s">
        <v>5467</v>
      </c>
      <c r="N980" t="s">
        <v>5474</v>
      </c>
      <c r="O980" t="s">
        <v>5477</v>
      </c>
    </row>
    <row r="981" spans="1:15" x14ac:dyDescent="0.3">
      <c r="A981" t="s">
        <v>968</v>
      </c>
      <c r="B981" t="s">
        <v>2273</v>
      </c>
      <c r="C981" t="s">
        <v>3149</v>
      </c>
      <c r="D981" t="s">
        <v>4139</v>
      </c>
      <c r="E981" t="s">
        <v>4552</v>
      </c>
      <c r="F981" t="s">
        <v>4579</v>
      </c>
      <c r="G981" t="s">
        <v>4583</v>
      </c>
      <c r="H981" t="s">
        <v>4604</v>
      </c>
      <c r="I981">
        <v>-1</v>
      </c>
      <c r="J981" t="s">
        <v>5191</v>
      </c>
      <c r="K981">
        <v>0</v>
      </c>
      <c r="L981">
        <v>12.11</v>
      </c>
      <c r="M981" t="s">
        <v>5463</v>
      </c>
      <c r="N981" t="s">
        <v>5469</v>
      </c>
      <c r="O981" t="s">
        <v>5475</v>
      </c>
    </row>
    <row r="982" spans="1:15" x14ac:dyDescent="0.3">
      <c r="A982" t="s">
        <v>969</v>
      </c>
      <c r="B982" t="s">
        <v>2274</v>
      </c>
      <c r="C982" t="s">
        <v>2787</v>
      </c>
      <c r="D982" t="s">
        <v>4140</v>
      </c>
      <c r="E982" t="s">
        <v>4549</v>
      </c>
      <c r="F982" t="s">
        <v>4574</v>
      </c>
      <c r="G982" t="s">
        <v>4586</v>
      </c>
      <c r="H982" t="s">
        <v>4597</v>
      </c>
      <c r="I982">
        <v>3</v>
      </c>
      <c r="J982" t="s">
        <v>5192</v>
      </c>
      <c r="K982">
        <v>0.05</v>
      </c>
      <c r="L982">
        <v>9.7200000000000006</v>
      </c>
      <c r="M982" t="s">
        <v>5468</v>
      </c>
      <c r="O982" t="s">
        <v>5475</v>
      </c>
    </row>
    <row r="983" spans="1:15" x14ac:dyDescent="0.3">
      <c r="A983" t="s">
        <v>970</v>
      </c>
      <c r="B983" t="s">
        <v>2275</v>
      </c>
      <c r="C983" t="s">
        <v>2999</v>
      </c>
      <c r="D983" t="s">
        <v>4141</v>
      </c>
      <c r="E983" t="s">
        <v>4550</v>
      </c>
      <c r="F983" t="s">
        <v>4574</v>
      </c>
      <c r="G983" t="s">
        <v>4583</v>
      </c>
      <c r="H983" t="s">
        <v>4610</v>
      </c>
      <c r="I983">
        <v>4</v>
      </c>
      <c r="J983">
        <v>80.099999999999994</v>
      </c>
      <c r="K983">
        <v>0.15</v>
      </c>
      <c r="L983">
        <v>13.19</v>
      </c>
      <c r="M983" t="s">
        <v>5466</v>
      </c>
      <c r="N983" t="s">
        <v>5473</v>
      </c>
      <c r="O983" t="s">
        <v>5477</v>
      </c>
    </row>
    <row r="984" spans="1:15" x14ac:dyDescent="0.3">
      <c r="A984" t="s">
        <v>971</v>
      </c>
      <c r="B984" t="s">
        <v>2276</v>
      </c>
      <c r="C984" t="s">
        <v>2715</v>
      </c>
      <c r="D984" t="s">
        <v>4142</v>
      </c>
      <c r="E984" t="s">
        <v>4554</v>
      </c>
      <c r="F984" t="s">
        <v>4574</v>
      </c>
      <c r="G984" t="s">
        <v>4587</v>
      </c>
      <c r="H984" t="s">
        <v>4596</v>
      </c>
      <c r="I984">
        <v>1</v>
      </c>
      <c r="J984">
        <v>14.48</v>
      </c>
      <c r="L984">
        <v>4.3899999999999997</v>
      </c>
      <c r="M984" t="s">
        <v>5463</v>
      </c>
      <c r="O984" t="s">
        <v>5477</v>
      </c>
    </row>
    <row r="985" spans="1:15" x14ac:dyDescent="0.3">
      <c r="A985" t="s">
        <v>972</v>
      </c>
      <c r="B985" t="s">
        <v>2277</v>
      </c>
      <c r="C985" t="s">
        <v>2863</v>
      </c>
      <c r="D985" t="s">
        <v>4143</v>
      </c>
      <c r="E985" t="s">
        <v>4549</v>
      </c>
      <c r="F985" t="s">
        <v>4573</v>
      </c>
      <c r="G985" t="s">
        <v>4587</v>
      </c>
      <c r="H985" t="s">
        <v>4600</v>
      </c>
      <c r="I985">
        <v>1</v>
      </c>
      <c r="J985" t="s">
        <v>5060</v>
      </c>
      <c r="L985">
        <v>4.3899999999999997</v>
      </c>
      <c r="M985" t="s">
        <v>5466</v>
      </c>
      <c r="N985" t="s">
        <v>5474</v>
      </c>
      <c r="O985" t="s">
        <v>5477</v>
      </c>
    </row>
    <row r="986" spans="1:15" x14ac:dyDescent="0.3">
      <c r="A986" t="s">
        <v>973</v>
      </c>
      <c r="B986" t="s">
        <v>2278</v>
      </c>
      <c r="C986" t="s">
        <v>3150</v>
      </c>
      <c r="D986" t="s">
        <v>4144</v>
      </c>
      <c r="E986" t="s">
        <v>4550</v>
      </c>
      <c r="F986" t="s">
        <v>4573</v>
      </c>
      <c r="G986" t="s">
        <v>4585</v>
      </c>
      <c r="H986" t="s">
        <v>4602</v>
      </c>
      <c r="I986">
        <v>4</v>
      </c>
      <c r="J986" t="s">
        <v>5193</v>
      </c>
      <c r="L986">
        <v>3.25</v>
      </c>
      <c r="M986" t="s">
        <v>5467</v>
      </c>
      <c r="N986" t="s">
        <v>5472</v>
      </c>
      <c r="O986" t="s">
        <v>5476</v>
      </c>
    </row>
    <row r="987" spans="1:15" x14ac:dyDescent="0.3">
      <c r="A987" t="s">
        <v>974</v>
      </c>
      <c r="B987" t="s">
        <v>2279</v>
      </c>
      <c r="C987" t="s">
        <v>2890</v>
      </c>
      <c r="D987" t="s">
        <v>4145</v>
      </c>
      <c r="E987" t="s">
        <v>4555</v>
      </c>
      <c r="F987" t="s">
        <v>4578</v>
      </c>
      <c r="G987" t="s">
        <v>4586</v>
      </c>
      <c r="H987" t="s">
        <v>4599</v>
      </c>
      <c r="I987">
        <v>5</v>
      </c>
      <c r="J987" t="s">
        <v>5194</v>
      </c>
      <c r="K987" t="s">
        <v>5460</v>
      </c>
      <c r="L987">
        <v>0</v>
      </c>
      <c r="M987" t="s">
        <v>5464</v>
      </c>
      <c r="N987" t="s">
        <v>5472</v>
      </c>
      <c r="O987" t="s">
        <v>5475</v>
      </c>
    </row>
    <row r="988" spans="1:15" x14ac:dyDescent="0.3">
      <c r="A988" t="s">
        <v>975</v>
      </c>
      <c r="B988" t="s">
        <v>2280</v>
      </c>
      <c r="C988" t="s">
        <v>2913</v>
      </c>
      <c r="D988" t="s">
        <v>4146</v>
      </c>
      <c r="E988" t="s">
        <v>4558</v>
      </c>
      <c r="F988" t="s">
        <v>4572</v>
      </c>
      <c r="G988" t="s">
        <v>4584</v>
      </c>
      <c r="H988" t="s">
        <v>4595</v>
      </c>
      <c r="I988">
        <v>1</v>
      </c>
      <c r="J988">
        <v>43.51</v>
      </c>
      <c r="L988">
        <v>0</v>
      </c>
      <c r="M988" t="s">
        <v>5462</v>
      </c>
      <c r="N988" t="s">
        <v>5469</v>
      </c>
      <c r="O988" t="s">
        <v>5477</v>
      </c>
    </row>
    <row r="989" spans="1:15" x14ac:dyDescent="0.3">
      <c r="A989" t="s">
        <v>726</v>
      </c>
      <c r="B989" t="s">
        <v>2083</v>
      </c>
      <c r="C989" t="s">
        <v>3151</v>
      </c>
      <c r="D989" t="s">
        <v>3915</v>
      </c>
      <c r="E989" t="s">
        <v>4555</v>
      </c>
      <c r="F989" t="s">
        <v>4578</v>
      </c>
      <c r="G989" t="s">
        <v>4584</v>
      </c>
      <c r="H989" t="s">
        <v>4601</v>
      </c>
      <c r="I989">
        <v>1</v>
      </c>
      <c r="J989">
        <v>193.78</v>
      </c>
      <c r="K989">
        <v>0.15</v>
      </c>
      <c r="L989">
        <v>0</v>
      </c>
      <c r="M989" t="s">
        <v>5466</v>
      </c>
      <c r="N989" t="s">
        <v>5473</v>
      </c>
      <c r="O989" t="s">
        <v>5479</v>
      </c>
    </row>
    <row r="990" spans="1:15" x14ac:dyDescent="0.3">
      <c r="A990" t="s">
        <v>976</v>
      </c>
      <c r="B990" t="s">
        <v>2008</v>
      </c>
      <c r="C990" t="s">
        <v>3050</v>
      </c>
      <c r="D990" t="s">
        <v>4147</v>
      </c>
      <c r="E990" t="s">
        <v>4559</v>
      </c>
      <c r="F990" t="s">
        <v>4573</v>
      </c>
      <c r="G990" t="s">
        <v>4586</v>
      </c>
      <c r="H990" t="s">
        <v>4599</v>
      </c>
      <c r="I990">
        <v>10</v>
      </c>
      <c r="J990" t="s">
        <v>5195</v>
      </c>
      <c r="K990">
        <v>0.15</v>
      </c>
      <c r="L990">
        <v>7.7</v>
      </c>
      <c r="M990" t="s">
        <v>5468</v>
      </c>
      <c r="N990" t="s">
        <v>5474</v>
      </c>
      <c r="O990" t="s">
        <v>5477</v>
      </c>
    </row>
    <row r="991" spans="1:15" x14ac:dyDescent="0.3">
      <c r="A991" t="s">
        <v>977</v>
      </c>
      <c r="B991" t="s">
        <v>2281</v>
      </c>
      <c r="C991" t="s">
        <v>2916</v>
      </c>
      <c r="D991" t="s">
        <v>4148</v>
      </c>
      <c r="E991" t="s">
        <v>4564</v>
      </c>
      <c r="F991" t="s">
        <v>4578</v>
      </c>
      <c r="G991" t="s">
        <v>4585</v>
      </c>
      <c r="H991" t="s">
        <v>4602</v>
      </c>
      <c r="I991">
        <v>1</v>
      </c>
      <c r="J991" t="s">
        <v>5196</v>
      </c>
      <c r="K991">
        <v>0</v>
      </c>
      <c r="L991">
        <v>7.83</v>
      </c>
      <c r="N991" t="s">
        <v>5471</v>
      </c>
      <c r="O991" t="s">
        <v>5477</v>
      </c>
    </row>
    <row r="992" spans="1:15" x14ac:dyDescent="0.3">
      <c r="A992" t="s">
        <v>978</v>
      </c>
      <c r="B992" t="s">
        <v>2282</v>
      </c>
      <c r="C992" t="s">
        <v>2957</v>
      </c>
      <c r="D992" t="s">
        <v>4149</v>
      </c>
      <c r="E992" t="s">
        <v>4570</v>
      </c>
      <c r="F992" t="s">
        <v>4573</v>
      </c>
      <c r="G992" t="s">
        <v>4584</v>
      </c>
      <c r="H992" t="s">
        <v>4608</v>
      </c>
      <c r="I992">
        <v>3</v>
      </c>
      <c r="J992" t="s">
        <v>5197</v>
      </c>
      <c r="K992" t="s">
        <v>5461</v>
      </c>
      <c r="L992">
        <v>6.82</v>
      </c>
      <c r="M992" t="s">
        <v>5462</v>
      </c>
      <c r="N992" t="s">
        <v>5469</v>
      </c>
      <c r="O992" t="s">
        <v>5477</v>
      </c>
    </row>
    <row r="993" spans="1:15" x14ac:dyDescent="0.3">
      <c r="A993" t="s">
        <v>979</v>
      </c>
      <c r="B993" t="s">
        <v>1453</v>
      </c>
      <c r="C993" t="s">
        <v>2755</v>
      </c>
      <c r="D993" t="s">
        <v>4150</v>
      </c>
      <c r="E993" t="s">
        <v>4559</v>
      </c>
      <c r="F993" t="s">
        <v>4577</v>
      </c>
      <c r="G993" t="s">
        <v>4587</v>
      </c>
      <c r="H993" t="s">
        <v>4600</v>
      </c>
      <c r="I993">
        <v>-1</v>
      </c>
      <c r="J993" t="s">
        <v>4814</v>
      </c>
      <c r="L993">
        <v>3.99</v>
      </c>
      <c r="M993" t="s">
        <v>5463</v>
      </c>
      <c r="O993" t="s">
        <v>5477</v>
      </c>
    </row>
    <row r="994" spans="1:15" x14ac:dyDescent="0.3">
      <c r="A994" t="s">
        <v>980</v>
      </c>
      <c r="B994" t="s">
        <v>2283</v>
      </c>
      <c r="C994" t="s">
        <v>2998</v>
      </c>
      <c r="D994" t="s">
        <v>4151</v>
      </c>
      <c r="E994" t="s">
        <v>4550</v>
      </c>
      <c r="F994" t="s">
        <v>4573</v>
      </c>
      <c r="G994" t="s">
        <v>4587</v>
      </c>
      <c r="H994" t="s">
        <v>4606</v>
      </c>
      <c r="I994">
        <v>2</v>
      </c>
      <c r="J994">
        <v>31.09</v>
      </c>
      <c r="K994">
        <v>0.05</v>
      </c>
      <c r="L994">
        <v>6.43</v>
      </c>
      <c r="M994" t="s">
        <v>5468</v>
      </c>
      <c r="N994" t="s">
        <v>5474</v>
      </c>
      <c r="O994" t="s">
        <v>5478</v>
      </c>
    </row>
    <row r="995" spans="1:15" x14ac:dyDescent="0.3">
      <c r="A995" t="s">
        <v>981</v>
      </c>
      <c r="B995" t="s">
        <v>2284</v>
      </c>
      <c r="C995" t="s">
        <v>2959</v>
      </c>
      <c r="D995" t="s">
        <v>4152</v>
      </c>
      <c r="E995" t="s">
        <v>4549</v>
      </c>
      <c r="F995" t="s">
        <v>4574</v>
      </c>
      <c r="G995" t="s">
        <v>4587</v>
      </c>
      <c r="H995" t="s">
        <v>4594</v>
      </c>
      <c r="I995">
        <v>-1</v>
      </c>
      <c r="J995" t="s">
        <v>5198</v>
      </c>
      <c r="K995">
        <v>0</v>
      </c>
      <c r="L995">
        <v>0</v>
      </c>
      <c r="M995" t="s">
        <v>5468</v>
      </c>
      <c r="O995" t="s">
        <v>5480</v>
      </c>
    </row>
    <row r="996" spans="1:15" x14ac:dyDescent="0.3">
      <c r="A996" t="s">
        <v>982</v>
      </c>
      <c r="B996" t="s">
        <v>2285</v>
      </c>
      <c r="C996" t="s">
        <v>3152</v>
      </c>
      <c r="D996" t="s">
        <v>4153</v>
      </c>
      <c r="E996" t="s">
        <v>4551</v>
      </c>
      <c r="F996" t="s">
        <v>4576</v>
      </c>
      <c r="G996" t="s">
        <v>4587</v>
      </c>
      <c r="H996" t="s">
        <v>4594</v>
      </c>
      <c r="I996">
        <v>3</v>
      </c>
      <c r="J996">
        <v>59.05</v>
      </c>
      <c r="K996">
        <v>0.05</v>
      </c>
      <c r="L996">
        <v>10.5</v>
      </c>
      <c r="M996" t="s">
        <v>5468</v>
      </c>
      <c r="N996" t="s">
        <v>5472</v>
      </c>
      <c r="O996" t="s">
        <v>5477</v>
      </c>
    </row>
    <row r="997" spans="1:15" x14ac:dyDescent="0.3">
      <c r="A997" t="s">
        <v>983</v>
      </c>
      <c r="B997" t="s">
        <v>2286</v>
      </c>
      <c r="C997" t="s">
        <v>2769</v>
      </c>
      <c r="D997" t="s">
        <v>4154</v>
      </c>
      <c r="E997" t="s">
        <v>4564</v>
      </c>
      <c r="F997" t="s">
        <v>4578</v>
      </c>
      <c r="G997" t="s">
        <v>4584</v>
      </c>
      <c r="H997" t="s">
        <v>4601</v>
      </c>
      <c r="I997">
        <v>4</v>
      </c>
      <c r="J997">
        <v>181.14</v>
      </c>
      <c r="K997">
        <v>0</v>
      </c>
      <c r="L997">
        <v>0.99</v>
      </c>
      <c r="N997" t="s">
        <v>5473</v>
      </c>
      <c r="O997" t="s">
        <v>5476</v>
      </c>
    </row>
    <row r="998" spans="1:15" x14ac:dyDescent="0.3">
      <c r="A998" t="s">
        <v>984</v>
      </c>
      <c r="B998" t="s">
        <v>2287</v>
      </c>
      <c r="C998" t="s">
        <v>2827</v>
      </c>
      <c r="D998" t="s">
        <v>4155</v>
      </c>
      <c r="E998" t="s">
        <v>4547</v>
      </c>
      <c r="F998" t="s">
        <v>4580</v>
      </c>
      <c r="G998" t="s">
        <v>4587</v>
      </c>
      <c r="H998" t="s">
        <v>4600</v>
      </c>
      <c r="I998">
        <v>1</v>
      </c>
      <c r="J998" t="s">
        <v>5199</v>
      </c>
      <c r="K998">
        <v>0.05</v>
      </c>
      <c r="L998">
        <v>0</v>
      </c>
      <c r="M998" t="s">
        <v>5468</v>
      </c>
      <c r="N998" t="s">
        <v>5471</v>
      </c>
      <c r="O998" t="s">
        <v>5477</v>
      </c>
    </row>
    <row r="999" spans="1:15" x14ac:dyDescent="0.3">
      <c r="A999" t="s">
        <v>985</v>
      </c>
      <c r="B999" t="s">
        <v>2288</v>
      </c>
      <c r="C999" t="s">
        <v>2630</v>
      </c>
      <c r="D999" t="s">
        <v>4156</v>
      </c>
      <c r="E999" t="s">
        <v>4550</v>
      </c>
      <c r="F999" t="s">
        <v>4573</v>
      </c>
      <c r="G999" t="s">
        <v>4585</v>
      </c>
      <c r="H999" t="s">
        <v>4590</v>
      </c>
      <c r="I999">
        <v>1</v>
      </c>
      <c r="J999" t="s">
        <v>4695</v>
      </c>
      <c r="L999">
        <v>4.42</v>
      </c>
      <c r="M999" t="s">
        <v>5467</v>
      </c>
      <c r="N999" t="s">
        <v>5471</v>
      </c>
      <c r="O999" t="s">
        <v>5480</v>
      </c>
    </row>
    <row r="1000" spans="1:15" x14ac:dyDescent="0.3">
      <c r="A1000" t="s">
        <v>986</v>
      </c>
      <c r="B1000" t="s">
        <v>2289</v>
      </c>
      <c r="C1000" t="s">
        <v>2744</v>
      </c>
      <c r="D1000" t="s">
        <v>4157</v>
      </c>
      <c r="E1000" t="s">
        <v>4570</v>
      </c>
      <c r="F1000" t="s">
        <v>4573</v>
      </c>
      <c r="G1000" t="s">
        <v>4584</v>
      </c>
      <c r="H1000" t="s">
        <v>4601</v>
      </c>
      <c r="I1000">
        <v>1</v>
      </c>
      <c r="J1000" t="s">
        <v>5200</v>
      </c>
      <c r="K1000">
        <v>0.15</v>
      </c>
      <c r="L1000">
        <v>6.54</v>
      </c>
      <c r="M1000" t="s">
        <v>5466</v>
      </c>
      <c r="N1000" t="s">
        <v>5473</v>
      </c>
      <c r="O1000" t="s">
        <v>5478</v>
      </c>
    </row>
    <row r="1001" spans="1:15" x14ac:dyDescent="0.3">
      <c r="A1001" t="s">
        <v>987</v>
      </c>
      <c r="B1001" t="s">
        <v>2290</v>
      </c>
      <c r="C1001" t="s">
        <v>3088</v>
      </c>
      <c r="D1001" t="s">
        <v>4158</v>
      </c>
      <c r="E1001" t="s">
        <v>4555</v>
      </c>
      <c r="F1001" t="s">
        <v>4578</v>
      </c>
      <c r="G1001" t="s">
        <v>4583</v>
      </c>
      <c r="H1001" t="s">
        <v>4605</v>
      </c>
      <c r="I1001">
        <v>5</v>
      </c>
      <c r="J1001" t="s">
        <v>5201</v>
      </c>
      <c r="K1001" t="s">
        <v>5460</v>
      </c>
      <c r="L1001">
        <v>3.27</v>
      </c>
      <c r="M1001" t="s">
        <v>5463</v>
      </c>
      <c r="N1001" t="s">
        <v>5470</v>
      </c>
      <c r="O1001" t="s">
        <v>5479</v>
      </c>
    </row>
    <row r="1002" spans="1:15" x14ac:dyDescent="0.3">
      <c r="A1002" t="s">
        <v>988</v>
      </c>
      <c r="B1002" t="s">
        <v>2291</v>
      </c>
      <c r="C1002" t="s">
        <v>2725</v>
      </c>
      <c r="D1002" t="s">
        <v>4159</v>
      </c>
      <c r="E1002" t="s">
        <v>4563</v>
      </c>
      <c r="F1002" t="s">
        <v>4573</v>
      </c>
      <c r="G1002" t="s">
        <v>4586</v>
      </c>
      <c r="H1002" t="s">
        <v>4609</v>
      </c>
      <c r="I1002">
        <v>4</v>
      </c>
      <c r="J1002" t="s">
        <v>5202</v>
      </c>
      <c r="K1002">
        <v>0</v>
      </c>
      <c r="L1002">
        <v>13.22</v>
      </c>
      <c r="M1002" t="s">
        <v>5462</v>
      </c>
      <c r="N1002" t="s">
        <v>5471</v>
      </c>
      <c r="O1002" t="s">
        <v>5475</v>
      </c>
    </row>
    <row r="1003" spans="1:15" x14ac:dyDescent="0.3">
      <c r="A1003" t="s">
        <v>989</v>
      </c>
      <c r="B1003" t="s">
        <v>2292</v>
      </c>
      <c r="C1003" t="s">
        <v>2625</v>
      </c>
      <c r="D1003" t="s">
        <v>4160</v>
      </c>
      <c r="E1003" t="s">
        <v>4547</v>
      </c>
      <c r="F1003" t="s">
        <v>4581</v>
      </c>
      <c r="G1003" t="s">
        <v>4586</v>
      </c>
      <c r="H1003" t="s">
        <v>4593</v>
      </c>
      <c r="I1003">
        <v>-1</v>
      </c>
      <c r="J1003">
        <v>112.27</v>
      </c>
      <c r="K1003">
        <v>0</v>
      </c>
      <c r="L1003">
        <v>12.45</v>
      </c>
      <c r="M1003" t="s">
        <v>5465</v>
      </c>
      <c r="N1003" t="s">
        <v>5470</v>
      </c>
      <c r="O1003" t="s">
        <v>5475</v>
      </c>
    </row>
    <row r="1004" spans="1:15" x14ac:dyDescent="0.3">
      <c r="A1004" t="s">
        <v>990</v>
      </c>
      <c r="B1004" t="s">
        <v>1696</v>
      </c>
      <c r="C1004" t="s">
        <v>3140</v>
      </c>
      <c r="D1004" t="s">
        <v>4161</v>
      </c>
      <c r="E1004" t="s">
        <v>4569</v>
      </c>
      <c r="F1004" t="s">
        <v>4572</v>
      </c>
      <c r="G1004" t="s">
        <v>4584</v>
      </c>
      <c r="H1004" t="s">
        <v>4589</v>
      </c>
      <c r="I1004">
        <v>5</v>
      </c>
      <c r="J1004" t="s">
        <v>4989</v>
      </c>
      <c r="L1004">
        <v>0.05</v>
      </c>
      <c r="M1004" t="s">
        <v>5463</v>
      </c>
      <c r="N1004" t="s">
        <v>5470</v>
      </c>
      <c r="O1004" t="s">
        <v>5477</v>
      </c>
    </row>
    <row r="1005" spans="1:15" x14ac:dyDescent="0.3">
      <c r="A1005" t="s">
        <v>991</v>
      </c>
      <c r="B1005" t="s">
        <v>2293</v>
      </c>
      <c r="C1005" t="s">
        <v>2863</v>
      </c>
      <c r="D1005" t="s">
        <v>4162</v>
      </c>
      <c r="E1005" t="s">
        <v>4550</v>
      </c>
      <c r="F1005" t="s">
        <v>4573</v>
      </c>
      <c r="G1005" t="s">
        <v>4584</v>
      </c>
      <c r="H1005" t="s">
        <v>4603</v>
      </c>
      <c r="I1005">
        <v>1</v>
      </c>
      <c r="J1005">
        <v>9.66</v>
      </c>
      <c r="K1005">
        <v>0</v>
      </c>
      <c r="L1005">
        <v>8.51</v>
      </c>
      <c r="M1005" t="s">
        <v>5464</v>
      </c>
      <c r="O1005" t="s">
        <v>5475</v>
      </c>
    </row>
    <row r="1006" spans="1:15" x14ac:dyDescent="0.3">
      <c r="A1006" t="s">
        <v>992</v>
      </c>
      <c r="B1006" t="s">
        <v>2294</v>
      </c>
      <c r="C1006" t="s">
        <v>3050</v>
      </c>
      <c r="D1006" t="s">
        <v>4163</v>
      </c>
      <c r="E1006" t="s">
        <v>4550</v>
      </c>
      <c r="F1006" t="s">
        <v>4573</v>
      </c>
      <c r="G1006" t="s">
        <v>4584</v>
      </c>
      <c r="H1006" t="s">
        <v>4608</v>
      </c>
      <c r="I1006">
        <v>5</v>
      </c>
      <c r="J1006" t="s">
        <v>5203</v>
      </c>
      <c r="K1006" t="s">
        <v>5461</v>
      </c>
      <c r="L1006">
        <v>2.2799999999999998</v>
      </c>
      <c r="M1006" t="s">
        <v>5468</v>
      </c>
      <c r="N1006" t="s">
        <v>5471</v>
      </c>
      <c r="O1006" t="s">
        <v>5477</v>
      </c>
    </row>
    <row r="1007" spans="1:15" x14ac:dyDescent="0.3">
      <c r="A1007" t="s">
        <v>993</v>
      </c>
      <c r="B1007" t="s">
        <v>2295</v>
      </c>
      <c r="C1007" t="s">
        <v>2994</v>
      </c>
      <c r="D1007" t="s">
        <v>4164</v>
      </c>
      <c r="E1007" t="s">
        <v>4556</v>
      </c>
      <c r="F1007" t="s">
        <v>4579</v>
      </c>
      <c r="G1007" t="s">
        <v>4584</v>
      </c>
      <c r="H1007" t="s">
        <v>4595</v>
      </c>
      <c r="I1007">
        <v>5</v>
      </c>
      <c r="J1007" t="s">
        <v>5204</v>
      </c>
      <c r="L1007">
        <v>0</v>
      </c>
      <c r="M1007" t="s">
        <v>5466</v>
      </c>
      <c r="N1007" t="s">
        <v>5473</v>
      </c>
      <c r="O1007" t="s">
        <v>5477</v>
      </c>
    </row>
    <row r="1008" spans="1:15" x14ac:dyDescent="0.3">
      <c r="A1008" t="s">
        <v>994</v>
      </c>
      <c r="B1008" t="s">
        <v>2296</v>
      </c>
      <c r="C1008" t="s">
        <v>2916</v>
      </c>
      <c r="D1008" t="s">
        <v>4165</v>
      </c>
      <c r="E1008" t="s">
        <v>4557</v>
      </c>
      <c r="F1008" t="s">
        <v>4580</v>
      </c>
      <c r="G1008" t="s">
        <v>4585</v>
      </c>
      <c r="H1008" t="s">
        <v>4592</v>
      </c>
      <c r="I1008">
        <v>1</v>
      </c>
      <c r="J1008" t="s">
        <v>5205</v>
      </c>
      <c r="L1008">
        <v>8.8000000000000007</v>
      </c>
      <c r="N1008" t="s">
        <v>5474</v>
      </c>
      <c r="O1008" t="s">
        <v>5478</v>
      </c>
    </row>
    <row r="1009" spans="1:15" x14ac:dyDescent="0.3">
      <c r="A1009" t="s">
        <v>995</v>
      </c>
      <c r="B1009" t="s">
        <v>2297</v>
      </c>
      <c r="C1009" t="s">
        <v>2789</v>
      </c>
      <c r="D1009" t="s">
        <v>4166</v>
      </c>
      <c r="E1009" t="s">
        <v>4558</v>
      </c>
      <c r="F1009" t="s">
        <v>4580</v>
      </c>
      <c r="G1009" t="s">
        <v>4586</v>
      </c>
      <c r="H1009" t="s">
        <v>4593</v>
      </c>
      <c r="I1009">
        <v>5</v>
      </c>
      <c r="J1009" t="s">
        <v>5206</v>
      </c>
      <c r="K1009">
        <v>0.1</v>
      </c>
      <c r="L1009">
        <v>12.72</v>
      </c>
      <c r="M1009" t="s">
        <v>5463</v>
      </c>
      <c r="N1009" t="s">
        <v>5470</v>
      </c>
      <c r="O1009" t="s">
        <v>5477</v>
      </c>
    </row>
    <row r="1010" spans="1:15" x14ac:dyDescent="0.3">
      <c r="A1010" t="s">
        <v>996</v>
      </c>
      <c r="B1010" t="s">
        <v>2298</v>
      </c>
      <c r="C1010" t="s">
        <v>2911</v>
      </c>
      <c r="D1010" t="s">
        <v>4167</v>
      </c>
      <c r="E1010" t="s">
        <v>4557</v>
      </c>
      <c r="F1010" t="s">
        <v>4580</v>
      </c>
      <c r="H1010" t="s">
        <v>4593</v>
      </c>
      <c r="I1010">
        <v>2</v>
      </c>
      <c r="J1010">
        <v>106.69</v>
      </c>
      <c r="K1010" t="s">
        <v>5461</v>
      </c>
      <c r="L1010">
        <v>0</v>
      </c>
      <c r="M1010" t="s">
        <v>5463</v>
      </c>
      <c r="N1010" t="s">
        <v>5473</v>
      </c>
      <c r="O1010" t="s">
        <v>5479</v>
      </c>
    </row>
    <row r="1011" spans="1:15" x14ac:dyDescent="0.3">
      <c r="A1011" t="s">
        <v>997</v>
      </c>
      <c r="B1011" t="s">
        <v>2299</v>
      </c>
      <c r="C1011" t="s">
        <v>3072</v>
      </c>
      <c r="D1011" t="s">
        <v>4168</v>
      </c>
      <c r="E1011" t="s">
        <v>4549</v>
      </c>
      <c r="F1011" t="s">
        <v>4574</v>
      </c>
      <c r="G1011" t="s">
        <v>4583</v>
      </c>
      <c r="H1011" t="s">
        <v>4604</v>
      </c>
      <c r="I1011">
        <v>10</v>
      </c>
      <c r="J1011" t="s">
        <v>5207</v>
      </c>
      <c r="K1011" t="s">
        <v>5461</v>
      </c>
      <c r="L1011">
        <v>2.5</v>
      </c>
      <c r="M1011" t="s">
        <v>5467</v>
      </c>
      <c r="N1011" t="s">
        <v>5470</v>
      </c>
      <c r="O1011" t="s">
        <v>5476</v>
      </c>
    </row>
    <row r="1012" spans="1:15" x14ac:dyDescent="0.3">
      <c r="A1012" t="s">
        <v>998</v>
      </c>
      <c r="B1012" t="s">
        <v>1690</v>
      </c>
      <c r="C1012" t="s">
        <v>3012</v>
      </c>
      <c r="E1012" t="s">
        <v>4547</v>
      </c>
      <c r="F1012" t="s">
        <v>4572</v>
      </c>
      <c r="G1012" t="s">
        <v>4587</v>
      </c>
      <c r="H1012" t="s">
        <v>4594</v>
      </c>
      <c r="I1012">
        <v>-1</v>
      </c>
      <c r="J1012" t="s">
        <v>5208</v>
      </c>
      <c r="K1012">
        <v>0</v>
      </c>
      <c r="L1012">
        <v>14.99</v>
      </c>
      <c r="M1012" t="s">
        <v>5463</v>
      </c>
      <c r="N1012" t="s">
        <v>5470</v>
      </c>
      <c r="O1012" t="s">
        <v>5480</v>
      </c>
    </row>
    <row r="1013" spans="1:15" x14ac:dyDescent="0.3">
      <c r="A1013" t="s">
        <v>999</v>
      </c>
      <c r="B1013" t="s">
        <v>2300</v>
      </c>
      <c r="C1013" t="s">
        <v>2951</v>
      </c>
      <c r="D1013" t="s">
        <v>4169</v>
      </c>
      <c r="E1013" t="s">
        <v>4565</v>
      </c>
      <c r="F1013" t="s">
        <v>4575</v>
      </c>
      <c r="G1013" t="s">
        <v>4584</v>
      </c>
      <c r="H1013" t="s">
        <v>4595</v>
      </c>
      <c r="I1013">
        <v>-1</v>
      </c>
      <c r="J1013" t="s">
        <v>5209</v>
      </c>
      <c r="L1013">
        <v>0</v>
      </c>
      <c r="M1013" t="s">
        <v>5468</v>
      </c>
      <c r="N1013" t="s">
        <v>5471</v>
      </c>
      <c r="O1013" t="s">
        <v>5480</v>
      </c>
    </row>
    <row r="1014" spans="1:15" x14ac:dyDescent="0.3">
      <c r="A1014" t="s">
        <v>1000</v>
      </c>
      <c r="B1014" t="s">
        <v>2301</v>
      </c>
      <c r="C1014" t="s">
        <v>3041</v>
      </c>
      <c r="D1014" t="s">
        <v>4170</v>
      </c>
      <c r="E1014" t="s">
        <v>4554</v>
      </c>
      <c r="F1014" t="s">
        <v>4574</v>
      </c>
      <c r="G1014" t="s">
        <v>4585</v>
      </c>
      <c r="H1014" t="s">
        <v>4602</v>
      </c>
      <c r="I1014">
        <v>-1</v>
      </c>
      <c r="J1014" t="s">
        <v>4627</v>
      </c>
      <c r="K1014" t="s">
        <v>5461</v>
      </c>
      <c r="L1014">
        <v>1.17</v>
      </c>
      <c r="M1014" t="s">
        <v>5465</v>
      </c>
      <c r="N1014" t="s">
        <v>5472</v>
      </c>
      <c r="O1014" t="s">
        <v>5477</v>
      </c>
    </row>
    <row r="1015" spans="1:15" x14ac:dyDescent="0.3">
      <c r="A1015" t="s">
        <v>1001</v>
      </c>
      <c r="B1015" t="s">
        <v>2302</v>
      </c>
      <c r="C1015" t="s">
        <v>2965</v>
      </c>
      <c r="D1015" t="s">
        <v>4171</v>
      </c>
      <c r="E1015" t="s">
        <v>4560</v>
      </c>
      <c r="F1015" t="s">
        <v>4573</v>
      </c>
      <c r="G1015" t="s">
        <v>4585</v>
      </c>
      <c r="H1015" t="s">
        <v>4591</v>
      </c>
      <c r="I1015">
        <v>1</v>
      </c>
      <c r="J1015">
        <v>8.02</v>
      </c>
      <c r="K1015">
        <v>0.05</v>
      </c>
      <c r="L1015">
        <v>0.08</v>
      </c>
      <c r="M1015" t="s">
        <v>5466</v>
      </c>
      <c r="O1015" t="s">
        <v>5477</v>
      </c>
    </row>
    <row r="1016" spans="1:15" x14ac:dyDescent="0.3">
      <c r="A1016" t="s">
        <v>1002</v>
      </c>
      <c r="B1016" t="s">
        <v>2303</v>
      </c>
      <c r="C1016" t="s">
        <v>2964</v>
      </c>
      <c r="D1016" t="s">
        <v>4172</v>
      </c>
      <c r="E1016" t="s">
        <v>4553</v>
      </c>
      <c r="F1016" t="s">
        <v>4582</v>
      </c>
      <c r="G1016" t="s">
        <v>4587</v>
      </c>
      <c r="H1016" t="s">
        <v>4606</v>
      </c>
      <c r="I1016">
        <v>1</v>
      </c>
      <c r="J1016" t="s">
        <v>5210</v>
      </c>
      <c r="K1016">
        <v>0</v>
      </c>
      <c r="L1016">
        <v>12.15</v>
      </c>
      <c r="M1016" t="s">
        <v>5466</v>
      </c>
      <c r="N1016" t="s">
        <v>5473</v>
      </c>
      <c r="O1016" t="s">
        <v>5478</v>
      </c>
    </row>
    <row r="1017" spans="1:15" x14ac:dyDescent="0.3">
      <c r="A1017" t="s">
        <v>1003</v>
      </c>
      <c r="B1017" t="s">
        <v>2304</v>
      </c>
      <c r="C1017" t="s">
        <v>3026</v>
      </c>
      <c r="D1017" t="s">
        <v>4173</v>
      </c>
      <c r="E1017" t="s">
        <v>4567</v>
      </c>
      <c r="F1017" t="s">
        <v>4582</v>
      </c>
      <c r="G1017" t="s">
        <v>4586</v>
      </c>
      <c r="H1017" t="s">
        <v>4599</v>
      </c>
      <c r="I1017">
        <v>4</v>
      </c>
      <c r="J1017" t="s">
        <v>5211</v>
      </c>
      <c r="L1017">
        <v>6.6</v>
      </c>
      <c r="M1017" t="s">
        <v>5468</v>
      </c>
      <c r="N1017" t="s">
        <v>5469</v>
      </c>
      <c r="O1017" t="s">
        <v>5478</v>
      </c>
    </row>
    <row r="1018" spans="1:15" x14ac:dyDescent="0.3">
      <c r="A1018" t="s">
        <v>1004</v>
      </c>
      <c r="B1018" t="s">
        <v>2099</v>
      </c>
      <c r="C1018" t="s">
        <v>3046</v>
      </c>
      <c r="D1018" t="s">
        <v>4174</v>
      </c>
      <c r="E1018" t="s">
        <v>4548</v>
      </c>
      <c r="F1018" t="s">
        <v>4573</v>
      </c>
      <c r="G1018" t="s">
        <v>4585</v>
      </c>
      <c r="H1018" t="s">
        <v>4602</v>
      </c>
      <c r="I1018">
        <v>3</v>
      </c>
      <c r="J1018" t="s">
        <v>5212</v>
      </c>
      <c r="K1018">
        <v>0.15</v>
      </c>
      <c r="L1018">
        <v>4.92</v>
      </c>
      <c r="M1018" t="s">
        <v>5467</v>
      </c>
      <c r="N1018" t="s">
        <v>5471</v>
      </c>
      <c r="O1018" t="s">
        <v>5479</v>
      </c>
    </row>
    <row r="1019" spans="1:15" x14ac:dyDescent="0.3">
      <c r="A1019" t="s">
        <v>1005</v>
      </c>
      <c r="B1019" t="s">
        <v>1446</v>
      </c>
      <c r="C1019" t="s">
        <v>3153</v>
      </c>
      <c r="D1019" t="s">
        <v>4175</v>
      </c>
      <c r="E1019" t="s">
        <v>4561</v>
      </c>
      <c r="F1019" t="s">
        <v>4580</v>
      </c>
      <c r="G1019" t="s">
        <v>4585</v>
      </c>
      <c r="H1019" t="s">
        <v>4590</v>
      </c>
      <c r="I1019">
        <v>2</v>
      </c>
      <c r="J1019" t="s">
        <v>5213</v>
      </c>
      <c r="K1019">
        <v>0</v>
      </c>
      <c r="L1019">
        <v>0.76</v>
      </c>
      <c r="O1019" t="s">
        <v>5480</v>
      </c>
    </row>
    <row r="1020" spans="1:15" x14ac:dyDescent="0.3">
      <c r="A1020" t="s">
        <v>1006</v>
      </c>
      <c r="B1020" t="s">
        <v>2305</v>
      </c>
      <c r="C1020" t="s">
        <v>2997</v>
      </c>
      <c r="D1020" t="s">
        <v>4176</v>
      </c>
      <c r="E1020" t="s">
        <v>4565</v>
      </c>
      <c r="F1020" t="s">
        <v>4576</v>
      </c>
      <c r="G1020" t="s">
        <v>4585</v>
      </c>
      <c r="H1020" t="s">
        <v>4592</v>
      </c>
      <c r="I1020">
        <v>2</v>
      </c>
      <c r="J1020" t="s">
        <v>5214</v>
      </c>
      <c r="K1020" t="s">
        <v>5460</v>
      </c>
      <c r="L1020">
        <v>12.59</v>
      </c>
      <c r="M1020" t="s">
        <v>5464</v>
      </c>
      <c r="N1020" t="s">
        <v>5473</v>
      </c>
      <c r="O1020" t="s">
        <v>5475</v>
      </c>
    </row>
    <row r="1021" spans="1:15" x14ac:dyDescent="0.3">
      <c r="A1021" t="s">
        <v>1007</v>
      </c>
      <c r="B1021" t="s">
        <v>2306</v>
      </c>
      <c r="C1021" t="s">
        <v>2954</v>
      </c>
      <c r="D1021" t="s">
        <v>4177</v>
      </c>
      <c r="E1021" t="s">
        <v>4552</v>
      </c>
      <c r="F1021" t="s">
        <v>4576</v>
      </c>
      <c r="G1021" t="s">
        <v>4587</v>
      </c>
      <c r="H1021" t="s">
        <v>4594</v>
      </c>
      <c r="I1021">
        <v>3</v>
      </c>
      <c r="J1021" t="s">
        <v>5215</v>
      </c>
      <c r="K1021">
        <v>0</v>
      </c>
      <c r="L1021">
        <v>0.63</v>
      </c>
      <c r="M1021" t="s">
        <v>5463</v>
      </c>
      <c r="N1021" t="s">
        <v>5472</v>
      </c>
      <c r="O1021" t="s">
        <v>5476</v>
      </c>
    </row>
    <row r="1022" spans="1:15" x14ac:dyDescent="0.3">
      <c r="A1022" t="s">
        <v>1008</v>
      </c>
      <c r="B1022" t="s">
        <v>2307</v>
      </c>
      <c r="C1022" t="s">
        <v>2665</v>
      </c>
      <c r="D1022" t="s">
        <v>4178</v>
      </c>
      <c r="E1022" t="s">
        <v>4558</v>
      </c>
      <c r="F1022" t="s">
        <v>4580</v>
      </c>
      <c r="G1022" t="s">
        <v>4585</v>
      </c>
      <c r="H1022" t="s">
        <v>4602</v>
      </c>
      <c r="I1022">
        <v>1</v>
      </c>
      <c r="J1022" t="s">
        <v>5216</v>
      </c>
      <c r="K1022">
        <v>0.05</v>
      </c>
      <c r="L1022">
        <v>3.66</v>
      </c>
      <c r="M1022" t="s">
        <v>5464</v>
      </c>
      <c r="N1022" t="s">
        <v>5470</v>
      </c>
      <c r="O1022" t="s">
        <v>5477</v>
      </c>
    </row>
    <row r="1023" spans="1:15" x14ac:dyDescent="0.3">
      <c r="A1023" t="s">
        <v>1009</v>
      </c>
      <c r="B1023" t="s">
        <v>2308</v>
      </c>
      <c r="C1023" t="s">
        <v>2795</v>
      </c>
      <c r="D1023" t="s">
        <v>4179</v>
      </c>
      <c r="E1023" t="s">
        <v>4548</v>
      </c>
      <c r="F1023" t="s">
        <v>4578</v>
      </c>
      <c r="G1023" t="s">
        <v>4584</v>
      </c>
      <c r="H1023" t="s">
        <v>4601</v>
      </c>
      <c r="I1023">
        <v>2</v>
      </c>
      <c r="J1023" t="s">
        <v>5217</v>
      </c>
      <c r="K1023" t="s">
        <v>5461</v>
      </c>
      <c r="L1023">
        <v>10.87</v>
      </c>
      <c r="M1023" t="s">
        <v>5466</v>
      </c>
      <c r="N1023" t="s">
        <v>5474</v>
      </c>
      <c r="O1023" t="s">
        <v>5477</v>
      </c>
    </row>
    <row r="1024" spans="1:15" x14ac:dyDescent="0.3">
      <c r="A1024" t="s">
        <v>1010</v>
      </c>
      <c r="B1024" t="s">
        <v>2088</v>
      </c>
      <c r="C1024" t="s">
        <v>2975</v>
      </c>
      <c r="D1024" t="s">
        <v>4180</v>
      </c>
      <c r="E1024" t="s">
        <v>4567</v>
      </c>
      <c r="F1024" t="s">
        <v>4573</v>
      </c>
      <c r="H1024" t="s">
        <v>4602</v>
      </c>
      <c r="I1024">
        <v>10</v>
      </c>
      <c r="J1024">
        <v>4.22</v>
      </c>
      <c r="K1024">
        <v>0.15</v>
      </c>
      <c r="L1024">
        <v>11.82</v>
      </c>
      <c r="M1024" t="s">
        <v>5466</v>
      </c>
      <c r="O1024" t="s">
        <v>5480</v>
      </c>
    </row>
    <row r="1025" spans="1:15" x14ac:dyDescent="0.3">
      <c r="A1025" t="s">
        <v>1011</v>
      </c>
      <c r="B1025" t="s">
        <v>1614</v>
      </c>
      <c r="C1025" t="s">
        <v>2979</v>
      </c>
      <c r="E1025" t="s">
        <v>4557</v>
      </c>
      <c r="F1025" t="s">
        <v>4572</v>
      </c>
      <c r="H1025" t="s">
        <v>4603</v>
      </c>
      <c r="I1025">
        <v>1</v>
      </c>
      <c r="J1025">
        <v>9.56</v>
      </c>
      <c r="K1025" t="s">
        <v>5461</v>
      </c>
      <c r="L1025">
        <v>4.5</v>
      </c>
      <c r="M1025" t="s">
        <v>5465</v>
      </c>
      <c r="N1025" t="s">
        <v>5469</v>
      </c>
      <c r="O1025" t="s">
        <v>5477</v>
      </c>
    </row>
    <row r="1026" spans="1:15" x14ac:dyDescent="0.3">
      <c r="A1026" t="s">
        <v>1012</v>
      </c>
      <c r="B1026" t="s">
        <v>2309</v>
      </c>
      <c r="C1026" t="s">
        <v>2923</v>
      </c>
      <c r="D1026" t="s">
        <v>4181</v>
      </c>
      <c r="E1026" t="s">
        <v>4565</v>
      </c>
      <c r="F1026" t="s">
        <v>4576</v>
      </c>
      <c r="G1026" t="s">
        <v>4586</v>
      </c>
      <c r="H1026" t="s">
        <v>4599</v>
      </c>
      <c r="I1026">
        <v>3</v>
      </c>
      <c r="J1026" t="s">
        <v>5218</v>
      </c>
      <c r="K1026">
        <v>0.15</v>
      </c>
      <c r="L1026">
        <v>4.45</v>
      </c>
      <c r="M1026" t="s">
        <v>5464</v>
      </c>
      <c r="O1026" t="s">
        <v>5477</v>
      </c>
    </row>
    <row r="1027" spans="1:15" x14ac:dyDescent="0.3">
      <c r="A1027" t="s">
        <v>878</v>
      </c>
      <c r="B1027" t="s">
        <v>2206</v>
      </c>
      <c r="C1027" t="s">
        <v>3154</v>
      </c>
      <c r="D1027" t="s">
        <v>4056</v>
      </c>
      <c r="E1027" t="s">
        <v>4552</v>
      </c>
      <c r="F1027" t="s">
        <v>4575</v>
      </c>
      <c r="G1027" t="s">
        <v>4586</v>
      </c>
      <c r="H1027" t="s">
        <v>4593</v>
      </c>
      <c r="I1027">
        <v>2</v>
      </c>
      <c r="J1027" t="s">
        <v>5136</v>
      </c>
      <c r="K1027">
        <v>0</v>
      </c>
      <c r="L1027">
        <v>6.9</v>
      </c>
      <c r="M1027" t="s">
        <v>5468</v>
      </c>
      <c r="N1027" t="s">
        <v>5474</v>
      </c>
      <c r="O1027" t="s">
        <v>5479</v>
      </c>
    </row>
    <row r="1028" spans="1:15" x14ac:dyDescent="0.3">
      <c r="A1028" t="s">
        <v>1013</v>
      </c>
      <c r="B1028" t="s">
        <v>2310</v>
      </c>
      <c r="C1028" t="s">
        <v>3155</v>
      </c>
      <c r="D1028" t="s">
        <v>4182</v>
      </c>
      <c r="E1028" t="s">
        <v>4550</v>
      </c>
      <c r="F1028" t="s">
        <v>4574</v>
      </c>
      <c r="G1028" t="s">
        <v>4584</v>
      </c>
      <c r="H1028" t="s">
        <v>4607</v>
      </c>
      <c r="I1028">
        <v>2</v>
      </c>
      <c r="J1028" t="s">
        <v>5219</v>
      </c>
      <c r="K1028">
        <v>0</v>
      </c>
      <c r="L1028">
        <v>3.06</v>
      </c>
      <c r="M1028" t="s">
        <v>5467</v>
      </c>
      <c r="N1028" t="s">
        <v>5470</v>
      </c>
      <c r="O1028" t="s">
        <v>5475</v>
      </c>
    </row>
    <row r="1030" spans="1:15" x14ac:dyDescent="0.3">
      <c r="A1030" t="s">
        <v>1014</v>
      </c>
      <c r="B1030" t="s">
        <v>2311</v>
      </c>
      <c r="C1030" t="s">
        <v>3156</v>
      </c>
      <c r="E1030" t="s">
        <v>4566</v>
      </c>
      <c r="G1030" t="s">
        <v>4584</v>
      </c>
      <c r="H1030" t="s">
        <v>4608</v>
      </c>
      <c r="I1030">
        <v>1</v>
      </c>
      <c r="J1030" t="s">
        <v>5220</v>
      </c>
      <c r="K1030" t="s">
        <v>5460</v>
      </c>
      <c r="L1030">
        <v>8.35</v>
      </c>
      <c r="M1030" t="s">
        <v>5465</v>
      </c>
      <c r="N1030" t="s">
        <v>5474</v>
      </c>
      <c r="O1030" t="s">
        <v>5477</v>
      </c>
    </row>
    <row r="1031" spans="1:15" x14ac:dyDescent="0.3">
      <c r="A1031" t="s">
        <v>281</v>
      </c>
      <c r="B1031" t="s">
        <v>1675</v>
      </c>
      <c r="C1031" t="s">
        <v>3157</v>
      </c>
      <c r="D1031" t="s">
        <v>3511</v>
      </c>
      <c r="E1031" t="s">
        <v>4558</v>
      </c>
      <c r="F1031" t="s">
        <v>4580</v>
      </c>
      <c r="G1031" t="s">
        <v>4583</v>
      </c>
      <c r="H1031" t="s">
        <v>4610</v>
      </c>
      <c r="I1031">
        <v>5</v>
      </c>
      <c r="J1031" t="s">
        <v>4787</v>
      </c>
      <c r="K1031">
        <v>0</v>
      </c>
      <c r="L1031">
        <v>14.07</v>
      </c>
      <c r="M1031" t="s">
        <v>5467</v>
      </c>
      <c r="N1031" t="s">
        <v>5469</v>
      </c>
      <c r="O1031" t="s">
        <v>5476</v>
      </c>
    </row>
    <row r="1032" spans="1:15" x14ac:dyDescent="0.3">
      <c r="A1032" t="s">
        <v>1015</v>
      </c>
      <c r="B1032" t="s">
        <v>2312</v>
      </c>
      <c r="C1032" t="s">
        <v>3158</v>
      </c>
      <c r="D1032" t="s">
        <v>4183</v>
      </c>
      <c r="E1032" t="s">
        <v>4554</v>
      </c>
      <c r="F1032" t="s">
        <v>4573</v>
      </c>
      <c r="G1032" t="s">
        <v>4585</v>
      </c>
      <c r="H1032" t="s">
        <v>4598</v>
      </c>
      <c r="I1032">
        <v>-1</v>
      </c>
      <c r="J1032">
        <v>2.95</v>
      </c>
      <c r="K1032">
        <v>0.1</v>
      </c>
      <c r="L1032">
        <v>0</v>
      </c>
      <c r="M1032" t="s">
        <v>5468</v>
      </c>
      <c r="O1032" t="s">
        <v>5479</v>
      </c>
    </row>
    <row r="1033" spans="1:15" x14ac:dyDescent="0.3">
      <c r="A1033" t="s">
        <v>1016</v>
      </c>
      <c r="B1033" t="s">
        <v>1697</v>
      </c>
      <c r="C1033" t="s">
        <v>2698</v>
      </c>
      <c r="D1033" t="s">
        <v>4184</v>
      </c>
      <c r="E1033" t="s">
        <v>4547</v>
      </c>
      <c r="F1033" t="s">
        <v>4581</v>
      </c>
      <c r="G1033" t="s">
        <v>4585</v>
      </c>
      <c r="H1033" t="s">
        <v>4592</v>
      </c>
      <c r="I1033">
        <v>2</v>
      </c>
      <c r="J1033">
        <v>6.19</v>
      </c>
      <c r="K1033">
        <v>0</v>
      </c>
      <c r="M1033" t="s">
        <v>5468</v>
      </c>
      <c r="N1033" t="s">
        <v>5472</v>
      </c>
      <c r="O1033" t="s">
        <v>5477</v>
      </c>
    </row>
    <row r="1034" spans="1:15" x14ac:dyDescent="0.3">
      <c r="A1034" t="s">
        <v>678</v>
      </c>
      <c r="B1034" t="s">
        <v>2039</v>
      </c>
      <c r="C1034" t="s">
        <v>3045</v>
      </c>
      <c r="D1034" t="s">
        <v>3872</v>
      </c>
      <c r="E1034" t="s">
        <v>4561</v>
      </c>
      <c r="F1034" t="s">
        <v>4572</v>
      </c>
      <c r="G1034" t="s">
        <v>4583</v>
      </c>
      <c r="H1034" t="s">
        <v>4604</v>
      </c>
      <c r="I1034">
        <v>2</v>
      </c>
      <c r="J1034" t="s">
        <v>5027</v>
      </c>
      <c r="K1034">
        <v>0</v>
      </c>
      <c r="L1034">
        <v>12.45</v>
      </c>
      <c r="N1034" t="s">
        <v>5471</v>
      </c>
      <c r="O1034" t="s">
        <v>5477</v>
      </c>
    </row>
    <row r="1035" spans="1:15" x14ac:dyDescent="0.3">
      <c r="A1035" t="s">
        <v>1017</v>
      </c>
      <c r="B1035" t="s">
        <v>2313</v>
      </c>
      <c r="C1035" t="s">
        <v>2929</v>
      </c>
      <c r="D1035" t="s">
        <v>4185</v>
      </c>
      <c r="E1035" t="s">
        <v>4569</v>
      </c>
      <c r="F1035" t="s">
        <v>4572</v>
      </c>
      <c r="G1035" t="s">
        <v>4586</v>
      </c>
      <c r="H1035" t="s">
        <v>4597</v>
      </c>
      <c r="I1035">
        <v>3</v>
      </c>
      <c r="J1035" t="s">
        <v>5221</v>
      </c>
      <c r="K1035">
        <v>0.05</v>
      </c>
      <c r="M1035" t="s">
        <v>5463</v>
      </c>
      <c r="N1035" t="s">
        <v>5471</v>
      </c>
      <c r="O1035" t="s">
        <v>5478</v>
      </c>
    </row>
    <row r="1036" spans="1:15" x14ac:dyDescent="0.3">
      <c r="A1036" t="s">
        <v>1018</v>
      </c>
      <c r="B1036" t="s">
        <v>1788</v>
      </c>
      <c r="C1036" t="s">
        <v>3159</v>
      </c>
      <c r="D1036" t="s">
        <v>4186</v>
      </c>
      <c r="E1036" t="s">
        <v>4557</v>
      </c>
      <c r="F1036" t="s">
        <v>4572</v>
      </c>
      <c r="G1036" t="s">
        <v>4583</v>
      </c>
      <c r="H1036" t="s">
        <v>4604</v>
      </c>
      <c r="I1036">
        <v>2</v>
      </c>
      <c r="J1036" t="s">
        <v>5187</v>
      </c>
      <c r="K1036" t="s">
        <v>5460</v>
      </c>
      <c r="L1036">
        <v>14.83</v>
      </c>
      <c r="M1036" t="s">
        <v>5467</v>
      </c>
      <c r="O1036" t="s">
        <v>5478</v>
      </c>
    </row>
    <row r="1037" spans="1:15" x14ac:dyDescent="0.3">
      <c r="A1037" t="s">
        <v>1019</v>
      </c>
      <c r="B1037" t="s">
        <v>2314</v>
      </c>
      <c r="C1037" t="s">
        <v>2998</v>
      </c>
      <c r="D1037" t="s">
        <v>4187</v>
      </c>
      <c r="E1037" t="s">
        <v>4552</v>
      </c>
      <c r="F1037" t="s">
        <v>4576</v>
      </c>
      <c r="G1037" t="s">
        <v>4584</v>
      </c>
      <c r="H1037" t="s">
        <v>4601</v>
      </c>
      <c r="I1037">
        <v>2</v>
      </c>
      <c r="J1037" t="s">
        <v>5222</v>
      </c>
      <c r="K1037">
        <v>0.1</v>
      </c>
      <c r="L1037">
        <v>6.97</v>
      </c>
      <c r="M1037" t="s">
        <v>5465</v>
      </c>
      <c r="N1037" t="s">
        <v>5470</v>
      </c>
      <c r="O1037" t="s">
        <v>5477</v>
      </c>
    </row>
    <row r="1038" spans="1:15" x14ac:dyDescent="0.3">
      <c r="A1038" t="s">
        <v>1020</v>
      </c>
      <c r="B1038" t="s">
        <v>1860</v>
      </c>
      <c r="C1038" t="s">
        <v>3160</v>
      </c>
      <c r="D1038" t="s">
        <v>4188</v>
      </c>
      <c r="E1038" t="s">
        <v>4563</v>
      </c>
      <c r="F1038" t="s">
        <v>4578</v>
      </c>
      <c r="G1038" t="s">
        <v>4586</v>
      </c>
      <c r="H1038" t="s">
        <v>4599</v>
      </c>
      <c r="I1038">
        <v>2</v>
      </c>
      <c r="J1038">
        <v>245.09</v>
      </c>
      <c r="K1038">
        <v>0.05</v>
      </c>
      <c r="L1038">
        <v>0</v>
      </c>
      <c r="M1038" t="s">
        <v>5463</v>
      </c>
      <c r="O1038" t="s">
        <v>5477</v>
      </c>
    </row>
    <row r="1039" spans="1:15" x14ac:dyDescent="0.3">
      <c r="A1039" t="s">
        <v>1021</v>
      </c>
      <c r="B1039" t="s">
        <v>2315</v>
      </c>
      <c r="C1039" t="s">
        <v>2881</v>
      </c>
      <c r="D1039" t="s">
        <v>4189</v>
      </c>
      <c r="E1039" t="s">
        <v>4549</v>
      </c>
      <c r="F1039" t="s">
        <v>4574</v>
      </c>
      <c r="G1039" t="s">
        <v>4587</v>
      </c>
      <c r="H1039" t="s">
        <v>4606</v>
      </c>
      <c r="I1039">
        <v>1</v>
      </c>
      <c r="J1039" t="s">
        <v>5223</v>
      </c>
      <c r="K1039">
        <v>0.1</v>
      </c>
      <c r="M1039" t="s">
        <v>5467</v>
      </c>
      <c r="N1039" t="s">
        <v>5471</v>
      </c>
      <c r="O1039" t="s">
        <v>5477</v>
      </c>
    </row>
    <row r="1040" spans="1:15" x14ac:dyDescent="0.3">
      <c r="A1040" t="s">
        <v>1022</v>
      </c>
      <c r="B1040" t="s">
        <v>1556</v>
      </c>
      <c r="C1040" t="s">
        <v>3161</v>
      </c>
      <c r="D1040" t="s">
        <v>4190</v>
      </c>
      <c r="E1040" t="s">
        <v>4558</v>
      </c>
      <c r="F1040" t="s">
        <v>4581</v>
      </c>
      <c r="G1040" t="s">
        <v>4587</v>
      </c>
      <c r="H1040" t="s">
        <v>4594</v>
      </c>
      <c r="I1040">
        <v>1</v>
      </c>
      <c r="J1040">
        <v>58.9</v>
      </c>
      <c r="K1040">
        <v>0.15</v>
      </c>
      <c r="L1040">
        <v>2.0099999999999998</v>
      </c>
      <c r="M1040" t="s">
        <v>5465</v>
      </c>
      <c r="N1040" t="s">
        <v>5470</v>
      </c>
      <c r="O1040" t="s">
        <v>5477</v>
      </c>
    </row>
    <row r="1041" spans="1:15" x14ac:dyDescent="0.3">
      <c r="A1041" t="s">
        <v>1023</v>
      </c>
      <c r="B1041" t="s">
        <v>2316</v>
      </c>
      <c r="C1041" t="s">
        <v>2706</v>
      </c>
      <c r="D1041" t="s">
        <v>4191</v>
      </c>
      <c r="E1041" t="s">
        <v>4563</v>
      </c>
      <c r="F1041" t="s">
        <v>4578</v>
      </c>
      <c r="G1041" t="s">
        <v>4583</v>
      </c>
      <c r="H1041" t="s">
        <v>4588</v>
      </c>
      <c r="I1041">
        <v>4</v>
      </c>
      <c r="J1041">
        <v>38.28</v>
      </c>
      <c r="L1041">
        <v>0.6</v>
      </c>
      <c r="M1041" t="s">
        <v>5463</v>
      </c>
      <c r="N1041" t="s">
        <v>5473</v>
      </c>
      <c r="O1041" t="s">
        <v>5475</v>
      </c>
    </row>
    <row r="1042" spans="1:15" x14ac:dyDescent="0.3">
      <c r="A1042" t="s">
        <v>1024</v>
      </c>
      <c r="B1042" t="s">
        <v>1932</v>
      </c>
      <c r="C1042" t="s">
        <v>2931</v>
      </c>
      <c r="D1042" t="s">
        <v>4192</v>
      </c>
      <c r="E1042" t="s">
        <v>4566</v>
      </c>
      <c r="F1042" t="s">
        <v>4582</v>
      </c>
      <c r="G1042" t="s">
        <v>4583</v>
      </c>
      <c r="H1042" t="s">
        <v>4605</v>
      </c>
      <c r="I1042">
        <v>1</v>
      </c>
      <c r="J1042" t="s">
        <v>5224</v>
      </c>
      <c r="K1042">
        <v>0</v>
      </c>
      <c r="N1042" t="s">
        <v>5472</v>
      </c>
      <c r="O1042" t="s">
        <v>5476</v>
      </c>
    </row>
    <row r="1043" spans="1:15" x14ac:dyDescent="0.3">
      <c r="A1043" t="s">
        <v>1025</v>
      </c>
      <c r="B1043" t="s">
        <v>2317</v>
      </c>
      <c r="C1043" t="s">
        <v>2692</v>
      </c>
      <c r="D1043" t="s">
        <v>4193</v>
      </c>
      <c r="E1043" t="s">
        <v>4556</v>
      </c>
      <c r="F1043" t="s">
        <v>4579</v>
      </c>
      <c r="G1043" t="s">
        <v>4586</v>
      </c>
      <c r="H1043" t="s">
        <v>4593</v>
      </c>
      <c r="I1043">
        <v>1</v>
      </c>
      <c r="J1043" t="s">
        <v>5225</v>
      </c>
      <c r="K1043">
        <v>0.15</v>
      </c>
      <c r="L1043">
        <v>0.88</v>
      </c>
      <c r="N1043" t="s">
        <v>5472</v>
      </c>
      <c r="O1043" t="s">
        <v>5477</v>
      </c>
    </row>
    <row r="1044" spans="1:15" x14ac:dyDescent="0.3">
      <c r="A1044" t="s">
        <v>1026</v>
      </c>
      <c r="B1044" t="s">
        <v>2318</v>
      </c>
      <c r="C1044" t="s">
        <v>3162</v>
      </c>
      <c r="E1044" t="s">
        <v>4551</v>
      </c>
      <c r="F1044" t="s">
        <v>4575</v>
      </c>
      <c r="G1044" t="s">
        <v>4585</v>
      </c>
      <c r="H1044" t="s">
        <v>4591</v>
      </c>
      <c r="I1044">
        <v>10</v>
      </c>
      <c r="J1044" t="s">
        <v>5226</v>
      </c>
      <c r="K1044">
        <v>0.1</v>
      </c>
      <c r="L1044">
        <v>0</v>
      </c>
      <c r="M1044" t="s">
        <v>5467</v>
      </c>
      <c r="N1044" t="s">
        <v>5470</v>
      </c>
      <c r="O1044" t="s">
        <v>5479</v>
      </c>
    </row>
    <row r="1045" spans="1:15" x14ac:dyDescent="0.3">
      <c r="A1045" t="s">
        <v>1027</v>
      </c>
      <c r="B1045" t="s">
        <v>2319</v>
      </c>
      <c r="C1045" t="s">
        <v>2718</v>
      </c>
      <c r="D1045" t="s">
        <v>4194</v>
      </c>
      <c r="E1045" t="s">
        <v>4564</v>
      </c>
      <c r="F1045" t="s">
        <v>4578</v>
      </c>
      <c r="G1045" t="s">
        <v>4584</v>
      </c>
      <c r="H1045" t="s">
        <v>4603</v>
      </c>
      <c r="I1045">
        <v>4</v>
      </c>
      <c r="J1045" t="s">
        <v>5227</v>
      </c>
      <c r="K1045">
        <v>0.1</v>
      </c>
      <c r="L1045">
        <v>0</v>
      </c>
      <c r="M1045" t="s">
        <v>5465</v>
      </c>
      <c r="O1045" t="s">
        <v>5477</v>
      </c>
    </row>
    <row r="1046" spans="1:15" x14ac:dyDescent="0.3">
      <c r="A1046" t="s">
        <v>1028</v>
      </c>
      <c r="B1046" t="s">
        <v>2320</v>
      </c>
      <c r="C1046" t="s">
        <v>3163</v>
      </c>
      <c r="D1046" t="s">
        <v>4195</v>
      </c>
      <c r="E1046" t="s">
        <v>4557</v>
      </c>
      <c r="F1046" t="s">
        <v>4572</v>
      </c>
      <c r="G1046" t="s">
        <v>4583</v>
      </c>
      <c r="H1046" t="s">
        <v>4604</v>
      </c>
      <c r="I1046">
        <v>3</v>
      </c>
      <c r="J1046">
        <v>22.45</v>
      </c>
      <c r="K1046">
        <v>0</v>
      </c>
      <c r="L1046">
        <v>0.21</v>
      </c>
      <c r="M1046" t="s">
        <v>5466</v>
      </c>
      <c r="N1046" t="s">
        <v>5472</v>
      </c>
      <c r="O1046" t="s">
        <v>5477</v>
      </c>
    </row>
    <row r="1047" spans="1:15" x14ac:dyDescent="0.3">
      <c r="A1047" t="s">
        <v>1029</v>
      </c>
      <c r="B1047" t="s">
        <v>1816</v>
      </c>
      <c r="C1047" t="s">
        <v>2680</v>
      </c>
      <c r="D1047" t="s">
        <v>4196</v>
      </c>
      <c r="E1047" t="s">
        <v>4550</v>
      </c>
      <c r="F1047" t="s">
        <v>4573</v>
      </c>
      <c r="G1047" t="s">
        <v>4583</v>
      </c>
      <c r="H1047" t="s">
        <v>4605</v>
      </c>
      <c r="I1047">
        <v>5</v>
      </c>
      <c r="J1047">
        <v>46.63</v>
      </c>
      <c r="K1047" t="s">
        <v>5461</v>
      </c>
      <c r="L1047">
        <v>5.01</v>
      </c>
      <c r="M1047" t="s">
        <v>5466</v>
      </c>
      <c r="N1047" t="s">
        <v>5470</v>
      </c>
      <c r="O1047" t="s">
        <v>5480</v>
      </c>
    </row>
    <row r="1048" spans="1:15" x14ac:dyDescent="0.3">
      <c r="A1048" t="s">
        <v>1030</v>
      </c>
      <c r="B1048" t="s">
        <v>2321</v>
      </c>
      <c r="C1048" t="s">
        <v>3164</v>
      </c>
      <c r="D1048" t="s">
        <v>4197</v>
      </c>
      <c r="E1048" t="s">
        <v>4552</v>
      </c>
      <c r="F1048" t="s">
        <v>4575</v>
      </c>
      <c r="G1048" t="s">
        <v>4585</v>
      </c>
      <c r="H1048" t="s">
        <v>4598</v>
      </c>
      <c r="I1048">
        <v>4</v>
      </c>
      <c r="J1048" t="s">
        <v>5228</v>
      </c>
      <c r="K1048">
        <v>0</v>
      </c>
      <c r="L1048">
        <v>6.77</v>
      </c>
      <c r="M1048" t="s">
        <v>5466</v>
      </c>
      <c r="N1048" t="s">
        <v>5474</v>
      </c>
      <c r="O1048" t="s">
        <v>5475</v>
      </c>
    </row>
    <row r="1049" spans="1:15" x14ac:dyDescent="0.3">
      <c r="A1049" t="s">
        <v>1031</v>
      </c>
      <c r="B1049" t="s">
        <v>1492</v>
      </c>
      <c r="C1049" t="s">
        <v>3165</v>
      </c>
      <c r="D1049" t="s">
        <v>4198</v>
      </c>
      <c r="E1049" t="s">
        <v>4559</v>
      </c>
      <c r="F1049" t="s">
        <v>4573</v>
      </c>
      <c r="G1049" t="s">
        <v>4586</v>
      </c>
      <c r="H1049" t="s">
        <v>4597</v>
      </c>
      <c r="I1049">
        <v>2</v>
      </c>
      <c r="J1049" t="s">
        <v>5229</v>
      </c>
      <c r="K1049">
        <v>0.15</v>
      </c>
      <c r="L1049">
        <v>3.97</v>
      </c>
      <c r="N1049" t="s">
        <v>5472</v>
      </c>
      <c r="O1049" t="s">
        <v>5475</v>
      </c>
    </row>
    <row r="1050" spans="1:15" x14ac:dyDescent="0.3">
      <c r="A1050" t="s">
        <v>1032</v>
      </c>
      <c r="B1050" t="s">
        <v>2322</v>
      </c>
      <c r="C1050" t="s">
        <v>3166</v>
      </c>
      <c r="D1050" t="s">
        <v>4199</v>
      </c>
      <c r="E1050" t="s">
        <v>4567</v>
      </c>
      <c r="F1050" t="s">
        <v>4577</v>
      </c>
      <c r="G1050" t="s">
        <v>4585</v>
      </c>
      <c r="H1050" t="s">
        <v>4592</v>
      </c>
      <c r="I1050">
        <v>10</v>
      </c>
      <c r="J1050" t="s">
        <v>5230</v>
      </c>
      <c r="K1050">
        <v>0.05</v>
      </c>
      <c r="L1050">
        <v>2.95</v>
      </c>
      <c r="M1050" t="s">
        <v>5468</v>
      </c>
      <c r="N1050" t="s">
        <v>5470</v>
      </c>
      <c r="O1050" t="s">
        <v>5479</v>
      </c>
    </row>
    <row r="1051" spans="1:15" x14ac:dyDescent="0.3">
      <c r="A1051" t="s">
        <v>1033</v>
      </c>
      <c r="B1051" t="s">
        <v>2234</v>
      </c>
      <c r="C1051" t="s">
        <v>3167</v>
      </c>
      <c r="D1051" t="s">
        <v>4200</v>
      </c>
      <c r="E1051" t="s">
        <v>4549</v>
      </c>
      <c r="F1051" t="s">
        <v>4573</v>
      </c>
      <c r="G1051" t="s">
        <v>4586</v>
      </c>
      <c r="H1051" t="s">
        <v>4597</v>
      </c>
      <c r="I1051">
        <v>3</v>
      </c>
      <c r="J1051" t="s">
        <v>5231</v>
      </c>
      <c r="K1051">
        <v>0.1</v>
      </c>
      <c r="L1051">
        <v>6.96</v>
      </c>
      <c r="M1051" t="s">
        <v>5465</v>
      </c>
      <c r="N1051" t="s">
        <v>5473</v>
      </c>
      <c r="O1051" t="s">
        <v>5479</v>
      </c>
    </row>
    <row r="1052" spans="1:15" x14ac:dyDescent="0.3">
      <c r="A1052" t="s">
        <v>1034</v>
      </c>
      <c r="B1052" t="s">
        <v>2323</v>
      </c>
      <c r="C1052" t="s">
        <v>2850</v>
      </c>
      <c r="D1052" t="s">
        <v>4201</v>
      </c>
      <c r="E1052" t="s">
        <v>4568</v>
      </c>
      <c r="F1052" t="s">
        <v>4573</v>
      </c>
      <c r="G1052" t="s">
        <v>4583</v>
      </c>
      <c r="H1052" t="s">
        <v>4610</v>
      </c>
      <c r="I1052">
        <v>10</v>
      </c>
      <c r="J1052" t="s">
        <v>5232</v>
      </c>
      <c r="K1052" t="s">
        <v>5461</v>
      </c>
      <c r="L1052">
        <v>9.15</v>
      </c>
      <c r="M1052" t="s">
        <v>5463</v>
      </c>
      <c r="N1052" t="s">
        <v>5474</v>
      </c>
      <c r="O1052" t="s">
        <v>5479</v>
      </c>
    </row>
    <row r="1053" spans="1:15" x14ac:dyDescent="0.3">
      <c r="A1053" t="s">
        <v>1035</v>
      </c>
      <c r="B1053" t="s">
        <v>2324</v>
      </c>
      <c r="C1053" t="s">
        <v>3058</v>
      </c>
      <c r="D1053" t="s">
        <v>4202</v>
      </c>
      <c r="E1053" t="s">
        <v>4548</v>
      </c>
      <c r="F1053" t="s">
        <v>4573</v>
      </c>
      <c r="G1053" t="s">
        <v>4586</v>
      </c>
      <c r="H1053" t="s">
        <v>4609</v>
      </c>
      <c r="I1053">
        <v>4</v>
      </c>
      <c r="J1053">
        <v>126.09</v>
      </c>
      <c r="K1053">
        <v>0.15</v>
      </c>
      <c r="L1053">
        <v>0.77</v>
      </c>
      <c r="M1053" t="s">
        <v>5465</v>
      </c>
      <c r="N1053" t="s">
        <v>5473</v>
      </c>
      <c r="O1053" t="s">
        <v>5477</v>
      </c>
    </row>
    <row r="1054" spans="1:15" x14ac:dyDescent="0.3">
      <c r="A1054" t="s">
        <v>1036</v>
      </c>
      <c r="B1054" t="s">
        <v>2325</v>
      </c>
      <c r="C1054" t="s">
        <v>3014</v>
      </c>
      <c r="D1054" t="s">
        <v>4203</v>
      </c>
      <c r="E1054" t="s">
        <v>4552</v>
      </c>
      <c r="F1054" t="s">
        <v>4575</v>
      </c>
      <c r="G1054" t="s">
        <v>4583</v>
      </c>
      <c r="H1054" t="s">
        <v>4605</v>
      </c>
      <c r="I1054">
        <v>2</v>
      </c>
      <c r="J1054" t="s">
        <v>5233</v>
      </c>
      <c r="K1054">
        <v>0</v>
      </c>
      <c r="L1054">
        <v>1.95</v>
      </c>
      <c r="M1054" t="s">
        <v>5464</v>
      </c>
      <c r="N1054" t="s">
        <v>5474</v>
      </c>
      <c r="O1054" t="s">
        <v>5477</v>
      </c>
    </row>
    <row r="1055" spans="1:15" x14ac:dyDescent="0.3">
      <c r="A1055" t="s">
        <v>1037</v>
      </c>
      <c r="B1055" t="s">
        <v>2326</v>
      </c>
      <c r="C1055" t="s">
        <v>3168</v>
      </c>
      <c r="D1055" t="s">
        <v>4204</v>
      </c>
      <c r="E1055" t="s">
        <v>4558</v>
      </c>
      <c r="F1055" t="s">
        <v>4572</v>
      </c>
      <c r="G1055" t="s">
        <v>4583</v>
      </c>
      <c r="H1055" t="s">
        <v>4588</v>
      </c>
      <c r="I1055">
        <v>1</v>
      </c>
      <c r="J1055" t="s">
        <v>5234</v>
      </c>
      <c r="K1055">
        <v>0.05</v>
      </c>
      <c r="L1055">
        <v>1.98</v>
      </c>
      <c r="M1055" t="s">
        <v>5468</v>
      </c>
      <c r="N1055" t="s">
        <v>5472</v>
      </c>
      <c r="O1055" t="s">
        <v>5480</v>
      </c>
    </row>
    <row r="1056" spans="1:15" x14ac:dyDescent="0.3">
      <c r="A1056" t="s">
        <v>1038</v>
      </c>
      <c r="B1056" t="s">
        <v>2327</v>
      </c>
      <c r="C1056" t="s">
        <v>2991</v>
      </c>
      <c r="D1056" t="s">
        <v>4205</v>
      </c>
      <c r="E1056" t="s">
        <v>4561</v>
      </c>
      <c r="F1056" t="s">
        <v>4581</v>
      </c>
      <c r="G1056" t="s">
        <v>4584</v>
      </c>
      <c r="H1056" t="s">
        <v>4601</v>
      </c>
      <c r="I1056">
        <v>3</v>
      </c>
      <c r="J1056" t="s">
        <v>5235</v>
      </c>
      <c r="L1056">
        <v>9.69</v>
      </c>
      <c r="M1056" t="s">
        <v>5462</v>
      </c>
      <c r="N1056" t="s">
        <v>5474</v>
      </c>
      <c r="O1056" t="s">
        <v>5475</v>
      </c>
    </row>
    <row r="1057" spans="1:15" x14ac:dyDescent="0.3">
      <c r="A1057" t="s">
        <v>1039</v>
      </c>
      <c r="B1057" t="s">
        <v>2328</v>
      </c>
      <c r="C1057" t="s">
        <v>2809</v>
      </c>
      <c r="D1057" t="s">
        <v>4206</v>
      </c>
      <c r="E1057" t="s">
        <v>4554</v>
      </c>
      <c r="F1057" t="s">
        <v>4574</v>
      </c>
      <c r="G1057" t="s">
        <v>4586</v>
      </c>
      <c r="H1057" t="s">
        <v>4599</v>
      </c>
      <c r="I1057">
        <v>4</v>
      </c>
      <c r="J1057">
        <v>238.18</v>
      </c>
      <c r="K1057">
        <v>0</v>
      </c>
      <c r="L1057">
        <v>1.1399999999999999</v>
      </c>
      <c r="M1057" t="s">
        <v>5463</v>
      </c>
      <c r="N1057" t="s">
        <v>5469</v>
      </c>
      <c r="O1057" t="s">
        <v>5478</v>
      </c>
    </row>
    <row r="1058" spans="1:15" x14ac:dyDescent="0.3">
      <c r="A1058" t="s">
        <v>1040</v>
      </c>
      <c r="B1058" t="s">
        <v>2329</v>
      </c>
      <c r="C1058" t="s">
        <v>3145</v>
      </c>
      <c r="D1058" t="s">
        <v>4207</v>
      </c>
      <c r="E1058" t="s">
        <v>4570</v>
      </c>
      <c r="F1058" t="s">
        <v>4573</v>
      </c>
      <c r="G1058" t="s">
        <v>4587</v>
      </c>
      <c r="H1058" t="s">
        <v>4594</v>
      </c>
      <c r="I1058">
        <v>1</v>
      </c>
      <c r="J1058" t="s">
        <v>5236</v>
      </c>
      <c r="K1058">
        <v>0</v>
      </c>
      <c r="L1058">
        <v>0</v>
      </c>
      <c r="M1058" t="s">
        <v>5464</v>
      </c>
      <c r="N1058" t="s">
        <v>5474</v>
      </c>
      <c r="O1058" t="s">
        <v>5477</v>
      </c>
    </row>
    <row r="1059" spans="1:15" x14ac:dyDescent="0.3">
      <c r="A1059" t="s">
        <v>1041</v>
      </c>
      <c r="B1059" t="s">
        <v>2330</v>
      </c>
      <c r="C1059" t="s">
        <v>3169</v>
      </c>
      <c r="D1059" t="s">
        <v>4208</v>
      </c>
      <c r="E1059" t="s">
        <v>4554</v>
      </c>
      <c r="F1059" t="s">
        <v>4573</v>
      </c>
      <c r="G1059" t="s">
        <v>4587</v>
      </c>
      <c r="H1059" t="s">
        <v>4600</v>
      </c>
      <c r="I1059">
        <v>-1</v>
      </c>
      <c r="J1059" t="s">
        <v>5237</v>
      </c>
      <c r="K1059" t="s">
        <v>5461</v>
      </c>
      <c r="L1059">
        <v>11.47</v>
      </c>
      <c r="M1059" t="s">
        <v>5465</v>
      </c>
      <c r="N1059" t="s">
        <v>5474</v>
      </c>
      <c r="O1059" t="s">
        <v>5479</v>
      </c>
    </row>
    <row r="1060" spans="1:15" x14ac:dyDescent="0.3">
      <c r="A1060" t="s">
        <v>1042</v>
      </c>
      <c r="B1060" t="s">
        <v>2331</v>
      </c>
      <c r="C1060" t="s">
        <v>2970</v>
      </c>
      <c r="D1060" t="s">
        <v>4209</v>
      </c>
      <c r="E1060" t="s">
        <v>4550</v>
      </c>
      <c r="F1060" t="s">
        <v>4574</v>
      </c>
      <c r="G1060" t="s">
        <v>4586</v>
      </c>
      <c r="H1060" t="s">
        <v>4609</v>
      </c>
      <c r="I1060">
        <v>1</v>
      </c>
      <c r="J1060">
        <v>125.97</v>
      </c>
      <c r="K1060" t="s">
        <v>5460</v>
      </c>
      <c r="L1060">
        <v>11.5</v>
      </c>
      <c r="M1060" t="s">
        <v>5463</v>
      </c>
      <c r="N1060" t="s">
        <v>5469</v>
      </c>
      <c r="O1060" t="s">
        <v>5477</v>
      </c>
    </row>
    <row r="1061" spans="1:15" x14ac:dyDescent="0.3">
      <c r="A1061" t="s">
        <v>1043</v>
      </c>
      <c r="B1061" t="s">
        <v>2332</v>
      </c>
      <c r="C1061" t="s">
        <v>2844</v>
      </c>
      <c r="D1061" t="s">
        <v>4210</v>
      </c>
      <c r="E1061" t="s">
        <v>4560</v>
      </c>
      <c r="F1061" t="s">
        <v>4573</v>
      </c>
      <c r="G1061" t="s">
        <v>4585</v>
      </c>
      <c r="H1061" t="s">
        <v>4602</v>
      </c>
      <c r="I1061">
        <v>1</v>
      </c>
      <c r="J1061">
        <v>4.21</v>
      </c>
      <c r="L1061">
        <v>4.71</v>
      </c>
      <c r="M1061" t="s">
        <v>5463</v>
      </c>
      <c r="O1061" t="s">
        <v>5477</v>
      </c>
    </row>
    <row r="1062" spans="1:15" x14ac:dyDescent="0.3">
      <c r="A1062" t="s">
        <v>1044</v>
      </c>
      <c r="B1062" t="s">
        <v>2333</v>
      </c>
      <c r="C1062" t="s">
        <v>2634</v>
      </c>
      <c r="D1062" t="s">
        <v>4211</v>
      </c>
      <c r="E1062" t="s">
        <v>4558</v>
      </c>
      <c r="F1062" t="s">
        <v>4581</v>
      </c>
      <c r="G1062" t="s">
        <v>4587</v>
      </c>
      <c r="H1062" t="s">
        <v>4606</v>
      </c>
      <c r="I1062">
        <v>4</v>
      </c>
      <c r="J1062">
        <v>31.19</v>
      </c>
      <c r="K1062" t="s">
        <v>5461</v>
      </c>
      <c r="L1062">
        <v>12.65</v>
      </c>
      <c r="M1062" t="s">
        <v>5462</v>
      </c>
      <c r="N1062" t="s">
        <v>5470</v>
      </c>
      <c r="O1062" t="s">
        <v>5477</v>
      </c>
    </row>
    <row r="1063" spans="1:15" x14ac:dyDescent="0.3">
      <c r="A1063" t="s">
        <v>1045</v>
      </c>
      <c r="B1063" t="s">
        <v>2334</v>
      </c>
      <c r="C1063" t="s">
        <v>3081</v>
      </c>
      <c r="D1063" t="s">
        <v>4212</v>
      </c>
      <c r="E1063" t="s">
        <v>4557</v>
      </c>
      <c r="F1063" t="s">
        <v>4572</v>
      </c>
      <c r="G1063" t="s">
        <v>4585</v>
      </c>
      <c r="H1063" t="s">
        <v>4590</v>
      </c>
      <c r="I1063">
        <v>10</v>
      </c>
      <c r="J1063" t="s">
        <v>5238</v>
      </c>
      <c r="K1063">
        <v>0</v>
      </c>
      <c r="L1063">
        <v>2.59</v>
      </c>
      <c r="M1063" t="s">
        <v>5467</v>
      </c>
      <c r="N1063" t="s">
        <v>5472</v>
      </c>
      <c r="O1063" t="s">
        <v>5477</v>
      </c>
    </row>
    <row r="1064" spans="1:15" x14ac:dyDescent="0.3">
      <c r="A1064" t="s">
        <v>1046</v>
      </c>
      <c r="B1064" t="s">
        <v>1544</v>
      </c>
      <c r="C1064" t="s">
        <v>3004</v>
      </c>
      <c r="D1064" t="s">
        <v>4213</v>
      </c>
      <c r="E1064" t="s">
        <v>4547</v>
      </c>
      <c r="F1064" t="s">
        <v>4581</v>
      </c>
      <c r="G1064" t="s">
        <v>4585</v>
      </c>
      <c r="H1064" t="s">
        <v>4591</v>
      </c>
      <c r="I1064">
        <v>1</v>
      </c>
      <c r="J1064">
        <v>7.87</v>
      </c>
      <c r="K1064">
        <v>0.05</v>
      </c>
      <c r="L1064">
        <v>9.02</v>
      </c>
      <c r="M1064" t="s">
        <v>5467</v>
      </c>
      <c r="N1064" t="s">
        <v>5469</v>
      </c>
      <c r="O1064" t="s">
        <v>5479</v>
      </c>
    </row>
    <row r="1065" spans="1:15" x14ac:dyDescent="0.3">
      <c r="A1065" t="s">
        <v>1047</v>
      </c>
      <c r="B1065" t="s">
        <v>2335</v>
      </c>
      <c r="C1065" t="s">
        <v>3170</v>
      </c>
      <c r="D1065" t="s">
        <v>4214</v>
      </c>
      <c r="E1065" t="s">
        <v>4562</v>
      </c>
      <c r="F1065" t="s">
        <v>4579</v>
      </c>
      <c r="G1065" t="s">
        <v>4587</v>
      </c>
      <c r="H1065" t="s">
        <v>4594</v>
      </c>
      <c r="I1065">
        <v>1</v>
      </c>
      <c r="J1065" t="s">
        <v>5239</v>
      </c>
      <c r="K1065">
        <v>0.05</v>
      </c>
      <c r="L1065">
        <v>7.48</v>
      </c>
      <c r="M1065" t="s">
        <v>5463</v>
      </c>
      <c r="O1065" t="s">
        <v>5477</v>
      </c>
    </row>
    <row r="1066" spans="1:15" x14ac:dyDescent="0.3">
      <c r="A1066" t="s">
        <v>1048</v>
      </c>
      <c r="B1066" t="s">
        <v>2336</v>
      </c>
      <c r="C1066" t="s">
        <v>3145</v>
      </c>
      <c r="D1066" t="s">
        <v>4215</v>
      </c>
      <c r="E1066" t="s">
        <v>4551</v>
      </c>
      <c r="F1066" t="s">
        <v>4579</v>
      </c>
      <c r="G1066" t="s">
        <v>4587</v>
      </c>
      <c r="H1066" t="s">
        <v>4600</v>
      </c>
      <c r="I1066">
        <v>1</v>
      </c>
      <c r="J1066">
        <v>13.2</v>
      </c>
      <c r="K1066">
        <v>0.15</v>
      </c>
      <c r="L1066">
        <v>8.57</v>
      </c>
      <c r="M1066" t="s">
        <v>5467</v>
      </c>
      <c r="N1066" t="s">
        <v>5472</v>
      </c>
      <c r="O1066" t="s">
        <v>5477</v>
      </c>
    </row>
    <row r="1067" spans="1:15" x14ac:dyDescent="0.3">
      <c r="A1067" t="s">
        <v>1049</v>
      </c>
      <c r="B1067" t="s">
        <v>2337</v>
      </c>
      <c r="C1067" t="s">
        <v>3171</v>
      </c>
      <c r="D1067" t="s">
        <v>4216</v>
      </c>
      <c r="E1067" t="s">
        <v>4558</v>
      </c>
      <c r="F1067" t="s">
        <v>4581</v>
      </c>
      <c r="G1067" t="s">
        <v>4583</v>
      </c>
      <c r="H1067" t="s">
        <v>4588</v>
      </c>
      <c r="I1067">
        <v>1</v>
      </c>
      <c r="J1067">
        <v>41.82</v>
      </c>
      <c r="K1067">
        <v>0</v>
      </c>
      <c r="L1067">
        <v>10.08</v>
      </c>
      <c r="M1067" t="s">
        <v>5468</v>
      </c>
      <c r="N1067" t="s">
        <v>5469</v>
      </c>
      <c r="O1067" t="s">
        <v>5477</v>
      </c>
    </row>
    <row r="1068" spans="1:15" x14ac:dyDescent="0.3">
      <c r="A1068" t="s">
        <v>1050</v>
      </c>
      <c r="B1068" t="s">
        <v>2338</v>
      </c>
      <c r="C1068" t="s">
        <v>2726</v>
      </c>
      <c r="D1068" t="s">
        <v>4217</v>
      </c>
      <c r="E1068" t="s">
        <v>4557</v>
      </c>
      <c r="F1068" t="s">
        <v>4572</v>
      </c>
      <c r="G1068" t="s">
        <v>4586</v>
      </c>
      <c r="H1068" t="s">
        <v>4593</v>
      </c>
      <c r="I1068">
        <v>1</v>
      </c>
      <c r="J1068">
        <v>112.62</v>
      </c>
      <c r="K1068">
        <v>0</v>
      </c>
      <c r="L1068">
        <v>1.71</v>
      </c>
      <c r="M1068" t="s">
        <v>5468</v>
      </c>
      <c r="N1068" t="s">
        <v>5473</v>
      </c>
      <c r="O1068" t="s">
        <v>5479</v>
      </c>
    </row>
    <row r="1069" spans="1:15" x14ac:dyDescent="0.3">
      <c r="A1069" t="s">
        <v>1051</v>
      </c>
      <c r="B1069" t="s">
        <v>2339</v>
      </c>
      <c r="C1069" t="s">
        <v>2984</v>
      </c>
      <c r="D1069" t="s">
        <v>4218</v>
      </c>
      <c r="E1069" t="s">
        <v>4552</v>
      </c>
      <c r="F1069" t="s">
        <v>4575</v>
      </c>
      <c r="G1069" t="s">
        <v>4587</v>
      </c>
      <c r="H1069" t="s">
        <v>4600</v>
      </c>
      <c r="I1069">
        <v>1</v>
      </c>
      <c r="J1069" t="s">
        <v>5240</v>
      </c>
      <c r="K1069" t="s">
        <v>5460</v>
      </c>
      <c r="L1069">
        <v>5.43</v>
      </c>
      <c r="M1069" t="s">
        <v>5463</v>
      </c>
      <c r="N1069" t="s">
        <v>5470</v>
      </c>
      <c r="O1069" t="s">
        <v>5477</v>
      </c>
    </row>
    <row r="1070" spans="1:15" x14ac:dyDescent="0.3">
      <c r="A1070" t="s">
        <v>1052</v>
      </c>
      <c r="B1070" t="s">
        <v>2340</v>
      </c>
      <c r="C1070" t="s">
        <v>3172</v>
      </c>
      <c r="D1070" t="s">
        <v>4219</v>
      </c>
      <c r="E1070" t="s">
        <v>4566</v>
      </c>
      <c r="F1070" t="s">
        <v>4582</v>
      </c>
      <c r="G1070" t="s">
        <v>4587</v>
      </c>
      <c r="H1070" t="s">
        <v>4594</v>
      </c>
      <c r="I1070">
        <v>2</v>
      </c>
      <c r="J1070" t="s">
        <v>5241</v>
      </c>
      <c r="K1070">
        <v>0</v>
      </c>
      <c r="L1070">
        <v>3.46</v>
      </c>
      <c r="M1070" t="s">
        <v>5463</v>
      </c>
      <c r="N1070" t="s">
        <v>5474</v>
      </c>
      <c r="O1070" t="s">
        <v>5477</v>
      </c>
    </row>
    <row r="1071" spans="1:15" x14ac:dyDescent="0.3">
      <c r="A1071" t="s">
        <v>1053</v>
      </c>
      <c r="B1071" t="s">
        <v>1704</v>
      </c>
      <c r="C1071" t="s">
        <v>3173</v>
      </c>
      <c r="D1071" t="s">
        <v>4220</v>
      </c>
      <c r="E1071" t="s">
        <v>4548</v>
      </c>
      <c r="F1071" t="s">
        <v>4578</v>
      </c>
      <c r="G1071" t="s">
        <v>4586</v>
      </c>
      <c r="H1071" t="s">
        <v>4599</v>
      </c>
      <c r="I1071">
        <v>1</v>
      </c>
      <c r="J1071">
        <v>251.58</v>
      </c>
      <c r="K1071">
        <v>0.15</v>
      </c>
      <c r="L1071">
        <v>12.65</v>
      </c>
      <c r="M1071" t="s">
        <v>5462</v>
      </c>
      <c r="O1071" t="s">
        <v>5478</v>
      </c>
    </row>
    <row r="1072" spans="1:15" x14ac:dyDescent="0.3">
      <c r="A1072" t="s">
        <v>1054</v>
      </c>
      <c r="B1072" t="s">
        <v>2341</v>
      </c>
      <c r="C1072" t="s">
        <v>2705</v>
      </c>
      <c r="D1072" t="s">
        <v>4221</v>
      </c>
      <c r="E1072" t="s">
        <v>4560</v>
      </c>
      <c r="F1072" t="s">
        <v>4574</v>
      </c>
      <c r="G1072" t="s">
        <v>4585</v>
      </c>
      <c r="H1072" t="s">
        <v>4602</v>
      </c>
      <c r="I1072">
        <v>1</v>
      </c>
      <c r="J1072" t="s">
        <v>5242</v>
      </c>
      <c r="K1072">
        <v>0</v>
      </c>
      <c r="L1072">
        <v>2.06</v>
      </c>
      <c r="M1072" t="s">
        <v>5463</v>
      </c>
      <c r="N1072" t="s">
        <v>5471</v>
      </c>
      <c r="O1072" t="s">
        <v>5480</v>
      </c>
    </row>
    <row r="1073" spans="1:15" x14ac:dyDescent="0.3">
      <c r="A1073" t="s">
        <v>1055</v>
      </c>
      <c r="B1073" t="s">
        <v>2342</v>
      </c>
      <c r="C1073" t="s">
        <v>3002</v>
      </c>
      <c r="D1073" t="s">
        <v>4222</v>
      </c>
      <c r="E1073" t="s">
        <v>4562</v>
      </c>
      <c r="F1073" t="s">
        <v>4575</v>
      </c>
      <c r="G1073" t="s">
        <v>4586</v>
      </c>
      <c r="H1073" t="s">
        <v>4597</v>
      </c>
      <c r="I1073">
        <v>5</v>
      </c>
      <c r="J1073" t="s">
        <v>5243</v>
      </c>
      <c r="K1073">
        <v>0.15</v>
      </c>
      <c r="L1073">
        <v>5.92</v>
      </c>
      <c r="M1073" t="s">
        <v>5465</v>
      </c>
      <c r="O1073" t="s">
        <v>5477</v>
      </c>
    </row>
    <row r="1074" spans="1:15" x14ac:dyDescent="0.3">
      <c r="A1074" t="s">
        <v>694</v>
      </c>
      <c r="B1074" t="s">
        <v>2054</v>
      </c>
      <c r="C1074" t="s">
        <v>2912</v>
      </c>
      <c r="D1074" t="s">
        <v>3886</v>
      </c>
      <c r="E1074" t="s">
        <v>4566</v>
      </c>
      <c r="F1074" t="s">
        <v>4577</v>
      </c>
      <c r="G1074" t="s">
        <v>4585</v>
      </c>
      <c r="H1074" t="s">
        <v>4602</v>
      </c>
      <c r="I1074">
        <v>3</v>
      </c>
      <c r="J1074" t="s">
        <v>4782</v>
      </c>
      <c r="L1074">
        <v>4.51</v>
      </c>
      <c r="M1074" t="s">
        <v>5468</v>
      </c>
      <c r="N1074" t="s">
        <v>5469</v>
      </c>
      <c r="O1074" t="s">
        <v>5475</v>
      </c>
    </row>
    <row r="1075" spans="1:15" x14ac:dyDescent="0.3">
      <c r="A1075" t="s">
        <v>1056</v>
      </c>
      <c r="B1075" t="s">
        <v>2033</v>
      </c>
      <c r="C1075" t="s">
        <v>3106</v>
      </c>
      <c r="D1075" t="s">
        <v>4223</v>
      </c>
      <c r="E1075" t="s">
        <v>4563</v>
      </c>
      <c r="F1075" t="s">
        <v>4573</v>
      </c>
      <c r="G1075" t="s">
        <v>4587</v>
      </c>
      <c r="H1075" t="s">
        <v>4600</v>
      </c>
      <c r="I1075">
        <v>1</v>
      </c>
      <c r="J1075">
        <v>13.52</v>
      </c>
      <c r="K1075">
        <v>0.1</v>
      </c>
      <c r="L1075">
        <v>0</v>
      </c>
      <c r="M1075" t="s">
        <v>5464</v>
      </c>
      <c r="O1075" t="s">
        <v>5479</v>
      </c>
    </row>
    <row r="1076" spans="1:15" x14ac:dyDescent="0.3">
      <c r="A1076" t="s">
        <v>1057</v>
      </c>
      <c r="B1076" t="s">
        <v>2343</v>
      </c>
      <c r="C1076" t="s">
        <v>3174</v>
      </c>
      <c r="D1076" t="s">
        <v>4224</v>
      </c>
      <c r="E1076" t="s">
        <v>4565</v>
      </c>
      <c r="F1076" t="s">
        <v>4575</v>
      </c>
      <c r="G1076" t="s">
        <v>4587</v>
      </c>
      <c r="H1076" t="s">
        <v>4606</v>
      </c>
      <c r="I1076">
        <v>4</v>
      </c>
      <c r="J1076">
        <v>31.29</v>
      </c>
      <c r="K1076" t="s">
        <v>5460</v>
      </c>
      <c r="L1076">
        <v>7.41</v>
      </c>
      <c r="M1076" t="s">
        <v>5464</v>
      </c>
      <c r="O1076" t="s">
        <v>5480</v>
      </c>
    </row>
    <row r="1077" spans="1:15" x14ac:dyDescent="0.3">
      <c r="A1077" t="s">
        <v>1058</v>
      </c>
      <c r="B1077" t="s">
        <v>1907</v>
      </c>
      <c r="C1077" t="s">
        <v>3175</v>
      </c>
      <c r="D1077" t="s">
        <v>4225</v>
      </c>
      <c r="E1077" t="s">
        <v>4562</v>
      </c>
      <c r="F1077" t="s">
        <v>4579</v>
      </c>
      <c r="G1077" t="s">
        <v>4583</v>
      </c>
      <c r="H1077" t="s">
        <v>4588</v>
      </c>
      <c r="I1077">
        <v>5</v>
      </c>
      <c r="J1077" t="s">
        <v>5244</v>
      </c>
      <c r="K1077" t="s">
        <v>5461</v>
      </c>
      <c r="L1077">
        <v>5.0199999999999996</v>
      </c>
      <c r="M1077" t="s">
        <v>5466</v>
      </c>
      <c r="N1077" t="s">
        <v>5471</v>
      </c>
      <c r="O1077" t="s">
        <v>5477</v>
      </c>
    </row>
    <row r="1078" spans="1:15" x14ac:dyDescent="0.3">
      <c r="A1078" t="s">
        <v>1059</v>
      </c>
      <c r="B1078" t="s">
        <v>2344</v>
      </c>
      <c r="C1078" t="s">
        <v>3176</v>
      </c>
      <c r="D1078" t="s">
        <v>4226</v>
      </c>
      <c r="E1078" t="s">
        <v>4551</v>
      </c>
      <c r="F1078" t="s">
        <v>4575</v>
      </c>
      <c r="G1078" t="s">
        <v>4587</v>
      </c>
      <c r="H1078" t="s">
        <v>4606</v>
      </c>
      <c r="I1078">
        <v>-1</v>
      </c>
      <c r="J1078" t="s">
        <v>4690</v>
      </c>
      <c r="K1078">
        <v>0</v>
      </c>
      <c r="L1078">
        <v>0</v>
      </c>
      <c r="M1078" t="s">
        <v>5465</v>
      </c>
      <c r="N1078" t="s">
        <v>5471</v>
      </c>
      <c r="O1078" t="s">
        <v>5480</v>
      </c>
    </row>
    <row r="1079" spans="1:15" x14ac:dyDescent="0.3">
      <c r="A1079" t="s">
        <v>1060</v>
      </c>
      <c r="B1079" t="s">
        <v>2345</v>
      </c>
      <c r="C1079" t="s">
        <v>2990</v>
      </c>
      <c r="D1079" t="s">
        <v>4227</v>
      </c>
      <c r="E1079" t="s">
        <v>4563</v>
      </c>
      <c r="F1079" t="s">
        <v>4573</v>
      </c>
      <c r="G1079" t="s">
        <v>4587</v>
      </c>
      <c r="H1079" t="s">
        <v>4606</v>
      </c>
      <c r="I1079">
        <v>2</v>
      </c>
      <c r="J1079" t="s">
        <v>5245</v>
      </c>
      <c r="K1079">
        <v>0.05</v>
      </c>
      <c r="L1079">
        <v>3.11</v>
      </c>
      <c r="M1079" t="s">
        <v>5466</v>
      </c>
      <c r="N1079" t="s">
        <v>5469</v>
      </c>
      <c r="O1079" t="s">
        <v>5479</v>
      </c>
    </row>
    <row r="1080" spans="1:15" x14ac:dyDescent="0.3">
      <c r="A1080" t="s">
        <v>1061</v>
      </c>
      <c r="B1080" t="s">
        <v>2346</v>
      </c>
      <c r="C1080" t="s">
        <v>2875</v>
      </c>
      <c r="D1080" t="s">
        <v>4228</v>
      </c>
      <c r="E1080" t="s">
        <v>4565</v>
      </c>
      <c r="F1080" t="s">
        <v>4576</v>
      </c>
      <c r="G1080" t="s">
        <v>4585</v>
      </c>
      <c r="H1080" t="s">
        <v>4592</v>
      </c>
      <c r="I1080">
        <v>5</v>
      </c>
      <c r="J1080" t="s">
        <v>5246</v>
      </c>
      <c r="K1080" t="s">
        <v>5460</v>
      </c>
      <c r="L1080">
        <v>8.3699999999999992</v>
      </c>
      <c r="M1080" t="s">
        <v>5465</v>
      </c>
      <c r="N1080" t="s">
        <v>5469</v>
      </c>
      <c r="O1080" t="s">
        <v>5475</v>
      </c>
    </row>
    <row r="1081" spans="1:15" x14ac:dyDescent="0.3">
      <c r="A1081" t="s">
        <v>1062</v>
      </c>
      <c r="B1081" t="s">
        <v>2347</v>
      </c>
      <c r="C1081" t="s">
        <v>2766</v>
      </c>
      <c r="D1081" t="s">
        <v>4229</v>
      </c>
      <c r="E1081" t="s">
        <v>4569</v>
      </c>
      <c r="F1081" t="s">
        <v>4572</v>
      </c>
      <c r="G1081" t="s">
        <v>4586</v>
      </c>
      <c r="H1081" t="s">
        <v>4593</v>
      </c>
      <c r="I1081">
        <v>10</v>
      </c>
      <c r="J1081">
        <v>114.29</v>
      </c>
      <c r="K1081">
        <v>0.1</v>
      </c>
      <c r="L1081">
        <v>10.3</v>
      </c>
      <c r="M1081" t="s">
        <v>5468</v>
      </c>
      <c r="N1081" t="s">
        <v>5474</v>
      </c>
      <c r="O1081" t="s">
        <v>5477</v>
      </c>
    </row>
    <row r="1082" spans="1:15" x14ac:dyDescent="0.3">
      <c r="A1082" t="s">
        <v>1063</v>
      </c>
      <c r="B1082" t="s">
        <v>1735</v>
      </c>
      <c r="C1082" t="s">
        <v>3008</v>
      </c>
      <c r="D1082" t="s">
        <v>4230</v>
      </c>
      <c r="E1082" t="s">
        <v>4557</v>
      </c>
      <c r="F1082" t="s">
        <v>4572</v>
      </c>
      <c r="G1082" t="s">
        <v>4586</v>
      </c>
      <c r="H1082" t="s">
        <v>4599</v>
      </c>
      <c r="I1082">
        <v>2</v>
      </c>
      <c r="J1082">
        <v>250.21</v>
      </c>
      <c r="K1082" t="s">
        <v>5460</v>
      </c>
      <c r="L1082">
        <v>6.76</v>
      </c>
      <c r="M1082" t="s">
        <v>5464</v>
      </c>
      <c r="N1082" t="s">
        <v>5470</v>
      </c>
      <c r="O1082" t="s">
        <v>5477</v>
      </c>
    </row>
    <row r="1083" spans="1:15" x14ac:dyDescent="0.3">
      <c r="A1083" t="s">
        <v>1064</v>
      </c>
      <c r="B1083" t="s">
        <v>2348</v>
      </c>
      <c r="C1083" t="s">
        <v>3103</v>
      </c>
      <c r="D1083" t="s">
        <v>4231</v>
      </c>
      <c r="E1083" t="s">
        <v>4559</v>
      </c>
      <c r="F1083" t="s">
        <v>4582</v>
      </c>
      <c r="G1083" t="s">
        <v>4584</v>
      </c>
      <c r="H1083" t="s">
        <v>4607</v>
      </c>
      <c r="I1083">
        <v>4</v>
      </c>
      <c r="J1083" t="s">
        <v>5247</v>
      </c>
      <c r="K1083">
        <v>0.15</v>
      </c>
      <c r="L1083">
        <v>7.66</v>
      </c>
      <c r="M1083" t="s">
        <v>5462</v>
      </c>
      <c r="O1083" t="s">
        <v>5479</v>
      </c>
    </row>
    <row r="1084" spans="1:15" x14ac:dyDescent="0.3">
      <c r="A1084" t="s">
        <v>1065</v>
      </c>
      <c r="B1084" t="s">
        <v>2349</v>
      </c>
      <c r="C1084" t="s">
        <v>2885</v>
      </c>
      <c r="D1084" t="s">
        <v>4232</v>
      </c>
      <c r="E1084" t="s">
        <v>4552</v>
      </c>
      <c r="F1084" t="s">
        <v>4579</v>
      </c>
      <c r="G1084" t="s">
        <v>4584</v>
      </c>
      <c r="H1084" t="s">
        <v>4589</v>
      </c>
      <c r="I1084">
        <v>1</v>
      </c>
      <c r="J1084">
        <v>35.32</v>
      </c>
      <c r="K1084">
        <v>0</v>
      </c>
      <c r="L1084">
        <v>2.8</v>
      </c>
      <c r="M1084" t="s">
        <v>5467</v>
      </c>
      <c r="N1084" t="s">
        <v>5472</v>
      </c>
      <c r="O1084" t="s">
        <v>5477</v>
      </c>
    </row>
    <row r="1085" spans="1:15" x14ac:dyDescent="0.3">
      <c r="A1085" t="s">
        <v>1066</v>
      </c>
      <c r="B1085" t="s">
        <v>2350</v>
      </c>
      <c r="C1085" t="s">
        <v>2750</v>
      </c>
      <c r="D1085" t="s">
        <v>4233</v>
      </c>
      <c r="E1085" t="s">
        <v>4567</v>
      </c>
      <c r="F1085" t="s">
        <v>4577</v>
      </c>
      <c r="G1085" t="s">
        <v>4583</v>
      </c>
      <c r="H1085" t="s">
        <v>4588</v>
      </c>
      <c r="I1085">
        <v>3</v>
      </c>
      <c r="J1085">
        <v>39.67</v>
      </c>
      <c r="K1085" t="s">
        <v>5461</v>
      </c>
      <c r="L1085">
        <v>0</v>
      </c>
      <c r="M1085" t="s">
        <v>5466</v>
      </c>
      <c r="N1085" t="s">
        <v>5472</v>
      </c>
      <c r="O1085" t="s">
        <v>5475</v>
      </c>
    </row>
    <row r="1086" spans="1:15" x14ac:dyDescent="0.3">
      <c r="A1086" t="s">
        <v>1067</v>
      </c>
      <c r="B1086" t="s">
        <v>2351</v>
      </c>
      <c r="C1086" t="s">
        <v>3145</v>
      </c>
      <c r="E1086" t="s">
        <v>4563</v>
      </c>
      <c r="F1086" t="s">
        <v>4573</v>
      </c>
      <c r="G1086" t="s">
        <v>4584</v>
      </c>
      <c r="H1086" t="s">
        <v>4595</v>
      </c>
      <c r="I1086">
        <v>3</v>
      </c>
      <c r="J1086" t="s">
        <v>5248</v>
      </c>
      <c r="K1086">
        <v>0</v>
      </c>
      <c r="L1086">
        <v>0.77</v>
      </c>
      <c r="M1086" t="s">
        <v>5463</v>
      </c>
      <c r="N1086" t="s">
        <v>5471</v>
      </c>
      <c r="O1086" t="s">
        <v>5476</v>
      </c>
    </row>
    <row r="1087" spans="1:15" x14ac:dyDescent="0.3">
      <c r="A1087" t="s">
        <v>1068</v>
      </c>
      <c r="B1087" t="s">
        <v>1871</v>
      </c>
      <c r="C1087" t="s">
        <v>2647</v>
      </c>
      <c r="D1087" t="s">
        <v>4234</v>
      </c>
      <c r="E1087" t="s">
        <v>4558</v>
      </c>
      <c r="F1087" t="s">
        <v>4581</v>
      </c>
      <c r="G1087" t="s">
        <v>4584</v>
      </c>
      <c r="H1087" t="s">
        <v>4589</v>
      </c>
      <c r="I1087">
        <v>2</v>
      </c>
      <c r="J1087">
        <v>34</v>
      </c>
      <c r="K1087" t="s">
        <v>5461</v>
      </c>
      <c r="L1087">
        <v>7.13</v>
      </c>
      <c r="M1087" t="s">
        <v>5464</v>
      </c>
      <c r="N1087" t="s">
        <v>5472</v>
      </c>
      <c r="O1087" t="s">
        <v>5477</v>
      </c>
    </row>
    <row r="1088" spans="1:15" x14ac:dyDescent="0.3">
      <c r="A1088" t="s">
        <v>1069</v>
      </c>
      <c r="B1088" t="s">
        <v>2352</v>
      </c>
      <c r="C1088" t="s">
        <v>2974</v>
      </c>
      <c r="D1088" t="s">
        <v>4235</v>
      </c>
      <c r="E1088" t="s">
        <v>4555</v>
      </c>
      <c r="F1088" t="s">
        <v>4578</v>
      </c>
      <c r="G1088" t="s">
        <v>4587</v>
      </c>
      <c r="H1088" t="s">
        <v>4594</v>
      </c>
      <c r="I1088">
        <v>1</v>
      </c>
      <c r="J1088" t="s">
        <v>5249</v>
      </c>
      <c r="K1088">
        <v>0.15</v>
      </c>
      <c r="L1088">
        <v>9.7200000000000006</v>
      </c>
      <c r="N1088" t="s">
        <v>5470</v>
      </c>
      <c r="O1088" t="s">
        <v>5477</v>
      </c>
    </row>
    <row r="1089" spans="1:15" x14ac:dyDescent="0.3">
      <c r="A1089" t="s">
        <v>1070</v>
      </c>
      <c r="B1089" t="s">
        <v>2353</v>
      </c>
      <c r="C1089" t="s">
        <v>2917</v>
      </c>
      <c r="D1089" t="s">
        <v>4236</v>
      </c>
      <c r="E1089" t="s">
        <v>4564</v>
      </c>
      <c r="F1089" t="s">
        <v>4578</v>
      </c>
      <c r="G1089" t="s">
        <v>4585</v>
      </c>
      <c r="H1089" t="s">
        <v>4602</v>
      </c>
      <c r="I1089">
        <v>10</v>
      </c>
      <c r="J1089">
        <v>4.0999999999999996</v>
      </c>
      <c r="K1089">
        <v>0</v>
      </c>
      <c r="M1089" t="s">
        <v>5468</v>
      </c>
      <c r="N1089" t="s">
        <v>5474</v>
      </c>
      <c r="O1089" t="s">
        <v>5478</v>
      </c>
    </row>
    <row r="1090" spans="1:15" x14ac:dyDescent="0.3">
      <c r="A1090" t="s">
        <v>1071</v>
      </c>
      <c r="B1090" t="s">
        <v>2354</v>
      </c>
      <c r="C1090" t="s">
        <v>3177</v>
      </c>
      <c r="D1090" t="s">
        <v>4237</v>
      </c>
      <c r="E1090" t="s">
        <v>4559</v>
      </c>
      <c r="F1090" t="s">
        <v>4577</v>
      </c>
      <c r="G1090" t="s">
        <v>4584</v>
      </c>
      <c r="H1090" t="s">
        <v>4608</v>
      </c>
      <c r="I1090">
        <v>2</v>
      </c>
      <c r="J1090">
        <v>19.690000000000001</v>
      </c>
      <c r="K1090">
        <v>0</v>
      </c>
      <c r="L1090">
        <v>7.01</v>
      </c>
      <c r="M1090" t="s">
        <v>5464</v>
      </c>
      <c r="N1090" t="s">
        <v>5471</v>
      </c>
      <c r="O1090" t="s">
        <v>5477</v>
      </c>
    </row>
    <row r="1091" spans="1:15" x14ac:dyDescent="0.3">
      <c r="A1091" t="s">
        <v>1072</v>
      </c>
      <c r="B1091" t="s">
        <v>2355</v>
      </c>
      <c r="C1091" t="s">
        <v>3027</v>
      </c>
      <c r="D1091" t="s">
        <v>4238</v>
      </c>
      <c r="E1091" t="s">
        <v>4562</v>
      </c>
      <c r="F1091" t="s">
        <v>4575</v>
      </c>
      <c r="G1091" t="s">
        <v>4585</v>
      </c>
      <c r="H1091" t="s">
        <v>4591</v>
      </c>
      <c r="I1091">
        <v>5</v>
      </c>
      <c r="J1091" t="s">
        <v>5250</v>
      </c>
      <c r="K1091">
        <v>0.1</v>
      </c>
      <c r="L1091">
        <v>0</v>
      </c>
      <c r="M1091" t="s">
        <v>5462</v>
      </c>
      <c r="N1091" t="s">
        <v>5473</v>
      </c>
      <c r="O1091" t="s">
        <v>5478</v>
      </c>
    </row>
    <row r="1092" spans="1:15" x14ac:dyDescent="0.3">
      <c r="A1092" t="s">
        <v>1073</v>
      </c>
      <c r="B1092" t="s">
        <v>2356</v>
      </c>
      <c r="C1092" t="s">
        <v>3043</v>
      </c>
      <c r="D1092" t="s">
        <v>4239</v>
      </c>
      <c r="E1092" t="s">
        <v>4557</v>
      </c>
      <c r="F1092" t="s">
        <v>4580</v>
      </c>
      <c r="G1092" t="s">
        <v>4586</v>
      </c>
      <c r="H1092" t="s">
        <v>4609</v>
      </c>
      <c r="I1092">
        <v>1</v>
      </c>
      <c r="J1092" t="s">
        <v>5251</v>
      </c>
      <c r="K1092">
        <v>0</v>
      </c>
      <c r="L1092">
        <v>11.51</v>
      </c>
      <c r="M1092" t="s">
        <v>5467</v>
      </c>
      <c r="N1092" t="s">
        <v>5473</v>
      </c>
      <c r="O1092" t="s">
        <v>5477</v>
      </c>
    </row>
    <row r="1093" spans="1:15" x14ac:dyDescent="0.3">
      <c r="A1093" t="s">
        <v>1074</v>
      </c>
      <c r="B1093" t="s">
        <v>2357</v>
      </c>
      <c r="C1093" t="s">
        <v>3128</v>
      </c>
      <c r="D1093" t="s">
        <v>4240</v>
      </c>
      <c r="E1093" t="s">
        <v>4561</v>
      </c>
      <c r="F1093" t="s">
        <v>4580</v>
      </c>
      <c r="G1093" t="s">
        <v>4584</v>
      </c>
      <c r="H1093" t="s">
        <v>4603</v>
      </c>
      <c r="I1093">
        <v>2</v>
      </c>
      <c r="J1093" t="s">
        <v>4959</v>
      </c>
      <c r="K1093" t="s">
        <v>5460</v>
      </c>
      <c r="L1093">
        <v>14.23</v>
      </c>
      <c r="M1093" t="s">
        <v>5465</v>
      </c>
      <c r="O1093" t="s">
        <v>5476</v>
      </c>
    </row>
    <row r="1094" spans="1:15" x14ac:dyDescent="0.3">
      <c r="A1094" t="s">
        <v>1075</v>
      </c>
      <c r="B1094" t="s">
        <v>2358</v>
      </c>
      <c r="C1094" t="s">
        <v>2636</v>
      </c>
      <c r="D1094" t="s">
        <v>4241</v>
      </c>
      <c r="E1094" t="s">
        <v>4566</v>
      </c>
      <c r="F1094" t="s">
        <v>4582</v>
      </c>
      <c r="G1094" t="s">
        <v>4587</v>
      </c>
      <c r="H1094" t="s">
        <v>4600</v>
      </c>
      <c r="I1094">
        <v>5</v>
      </c>
      <c r="J1094" t="s">
        <v>5252</v>
      </c>
      <c r="K1094" t="s">
        <v>5461</v>
      </c>
      <c r="L1094">
        <v>12.03</v>
      </c>
      <c r="M1094" t="s">
        <v>5467</v>
      </c>
      <c r="N1094" t="s">
        <v>5471</v>
      </c>
      <c r="O1094" t="s">
        <v>5479</v>
      </c>
    </row>
    <row r="1095" spans="1:15" x14ac:dyDescent="0.3">
      <c r="A1095" t="s">
        <v>1076</v>
      </c>
      <c r="B1095" t="s">
        <v>2066</v>
      </c>
      <c r="C1095" t="s">
        <v>2812</v>
      </c>
      <c r="D1095" t="s">
        <v>4242</v>
      </c>
      <c r="E1095" t="s">
        <v>4561</v>
      </c>
      <c r="F1095" t="s">
        <v>4581</v>
      </c>
      <c r="G1095" t="s">
        <v>4585</v>
      </c>
      <c r="H1095" t="s">
        <v>4602</v>
      </c>
      <c r="I1095">
        <v>5</v>
      </c>
      <c r="J1095" t="s">
        <v>5253</v>
      </c>
      <c r="L1095">
        <v>9.73</v>
      </c>
      <c r="M1095" t="s">
        <v>5467</v>
      </c>
      <c r="N1095" t="s">
        <v>5472</v>
      </c>
      <c r="O1095" t="s">
        <v>5480</v>
      </c>
    </row>
    <row r="1096" spans="1:15" x14ac:dyDescent="0.3">
      <c r="A1096" t="s">
        <v>1077</v>
      </c>
      <c r="B1096" t="s">
        <v>2359</v>
      </c>
      <c r="C1096" t="s">
        <v>2802</v>
      </c>
      <c r="D1096" t="s">
        <v>4243</v>
      </c>
      <c r="E1096" t="s">
        <v>4562</v>
      </c>
      <c r="F1096" t="s">
        <v>4576</v>
      </c>
      <c r="G1096" t="s">
        <v>4584</v>
      </c>
      <c r="H1096" t="s">
        <v>4595</v>
      </c>
      <c r="I1096">
        <v>-1</v>
      </c>
      <c r="J1096" t="s">
        <v>5254</v>
      </c>
      <c r="K1096">
        <v>0</v>
      </c>
      <c r="L1096">
        <v>2.0499999999999998</v>
      </c>
      <c r="M1096" t="s">
        <v>5465</v>
      </c>
      <c r="O1096" t="s">
        <v>5477</v>
      </c>
    </row>
    <row r="1097" spans="1:15" x14ac:dyDescent="0.3">
      <c r="A1097" t="s">
        <v>1078</v>
      </c>
      <c r="B1097" t="s">
        <v>2360</v>
      </c>
      <c r="C1097" t="s">
        <v>2740</v>
      </c>
      <c r="D1097" t="s">
        <v>4244</v>
      </c>
      <c r="E1097" t="s">
        <v>4563</v>
      </c>
      <c r="F1097" t="s">
        <v>4573</v>
      </c>
      <c r="G1097" t="s">
        <v>4583</v>
      </c>
      <c r="H1097" t="s">
        <v>4605</v>
      </c>
      <c r="I1097">
        <v>2</v>
      </c>
      <c r="J1097" t="s">
        <v>5255</v>
      </c>
      <c r="K1097">
        <v>0</v>
      </c>
      <c r="L1097">
        <v>13.93</v>
      </c>
      <c r="M1097" t="s">
        <v>5468</v>
      </c>
      <c r="O1097" t="s">
        <v>5478</v>
      </c>
    </row>
    <row r="1098" spans="1:15" x14ac:dyDescent="0.3">
      <c r="A1098" t="s">
        <v>582</v>
      </c>
      <c r="B1098" t="s">
        <v>1953</v>
      </c>
      <c r="C1098" t="s">
        <v>2739</v>
      </c>
      <c r="D1098" t="s">
        <v>3783</v>
      </c>
      <c r="E1098" t="s">
        <v>4564</v>
      </c>
      <c r="F1098" t="s">
        <v>4578</v>
      </c>
      <c r="G1098" t="s">
        <v>4584</v>
      </c>
      <c r="H1098" t="s">
        <v>4601</v>
      </c>
      <c r="I1098">
        <v>10</v>
      </c>
      <c r="J1098" t="s">
        <v>4973</v>
      </c>
      <c r="K1098">
        <v>0</v>
      </c>
      <c r="L1098">
        <v>5.13</v>
      </c>
      <c r="M1098" t="s">
        <v>5464</v>
      </c>
      <c r="N1098" t="s">
        <v>5474</v>
      </c>
      <c r="O1098" t="s">
        <v>5477</v>
      </c>
    </row>
    <row r="1099" spans="1:15" x14ac:dyDescent="0.3">
      <c r="A1099" t="s">
        <v>1079</v>
      </c>
      <c r="B1099" t="s">
        <v>2361</v>
      </c>
      <c r="C1099" t="s">
        <v>2719</v>
      </c>
      <c r="E1099" t="s">
        <v>4569</v>
      </c>
      <c r="F1099" t="s">
        <v>4581</v>
      </c>
      <c r="G1099" t="s">
        <v>4584</v>
      </c>
      <c r="H1099" t="s">
        <v>4603</v>
      </c>
      <c r="I1099">
        <v>3</v>
      </c>
      <c r="J1099" t="s">
        <v>5256</v>
      </c>
      <c r="K1099">
        <v>0.05</v>
      </c>
      <c r="L1099">
        <v>14.2</v>
      </c>
      <c r="M1099" t="s">
        <v>5466</v>
      </c>
      <c r="N1099" t="s">
        <v>5471</v>
      </c>
      <c r="O1099" t="s">
        <v>5478</v>
      </c>
    </row>
    <row r="1100" spans="1:15" x14ac:dyDescent="0.3">
      <c r="A1100" t="s">
        <v>1080</v>
      </c>
      <c r="B1100" t="s">
        <v>2362</v>
      </c>
      <c r="C1100" t="s">
        <v>2949</v>
      </c>
      <c r="D1100" t="s">
        <v>4245</v>
      </c>
      <c r="E1100" t="s">
        <v>4562</v>
      </c>
      <c r="F1100" t="s">
        <v>4575</v>
      </c>
      <c r="G1100" t="s">
        <v>4585</v>
      </c>
      <c r="H1100" t="s">
        <v>4590</v>
      </c>
      <c r="I1100">
        <v>1</v>
      </c>
      <c r="J1100">
        <v>13.7</v>
      </c>
      <c r="K1100">
        <v>0.05</v>
      </c>
      <c r="L1100">
        <v>10.74</v>
      </c>
      <c r="M1100" t="s">
        <v>5465</v>
      </c>
      <c r="N1100" t="s">
        <v>5474</v>
      </c>
      <c r="O1100" t="s">
        <v>5478</v>
      </c>
    </row>
    <row r="1101" spans="1:15" x14ac:dyDescent="0.3">
      <c r="A1101" t="s">
        <v>1081</v>
      </c>
      <c r="B1101" t="s">
        <v>2363</v>
      </c>
      <c r="C1101" t="s">
        <v>2937</v>
      </c>
      <c r="D1101" t="s">
        <v>4246</v>
      </c>
      <c r="E1101" t="s">
        <v>4569</v>
      </c>
      <c r="F1101" t="s">
        <v>4581</v>
      </c>
      <c r="G1101" t="s">
        <v>4587</v>
      </c>
      <c r="H1101" t="s">
        <v>4606</v>
      </c>
      <c r="I1101">
        <v>1</v>
      </c>
      <c r="J1101" t="s">
        <v>5257</v>
      </c>
      <c r="K1101">
        <v>0</v>
      </c>
      <c r="L1101">
        <v>3.24</v>
      </c>
      <c r="M1101" t="s">
        <v>5462</v>
      </c>
      <c r="N1101" t="s">
        <v>5474</v>
      </c>
      <c r="O1101" t="s">
        <v>5477</v>
      </c>
    </row>
    <row r="1102" spans="1:15" x14ac:dyDescent="0.3">
      <c r="A1102" t="s">
        <v>1082</v>
      </c>
      <c r="B1102" t="s">
        <v>2364</v>
      </c>
      <c r="C1102" t="s">
        <v>3178</v>
      </c>
      <c r="D1102" t="s">
        <v>4247</v>
      </c>
      <c r="E1102" t="s">
        <v>4554</v>
      </c>
      <c r="F1102" t="s">
        <v>4573</v>
      </c>
      <c r="G1102" t="s">
        <v>4583</v>
      </c>
      <c r="H1102" t="s">
        <v>4610</v>
      </c>
      <c r="I1102">
        <v>2</v>
      </c>
      <c r="J1102">
        <v>82.86</v>
      </c>
      <c r="K1102" t="s">
        <v>5460</v>
      </c>
      <c r="L1102">
        <v>11.58</v>
      </c>
      <c r="M1102" t="s">
        <v>5464</v>
      </c>
      <c r="O1102" t="s">
        <v>5478</v>
      </c>
    </row>
    <row r="1103" spans="1:15" x14ac:dyDescent="0.3">
      <c r="A1103" t="s">
        <v>1083</v>
      </c>
      <c r="B1103" t="s">
        <v>2365</v>
      </c>
      <c r="C1103" t="s">
        <v>2938</v>
      </c>
      <c r="D1103" t="s">
        <v>4248</v>
      </c>
      <c r="E1103" t="s">
        <v>4554</v>
      </c>
      <c r="F1103" t="s">
        <v>4573</v>
      </c>
      <c r="G1103" t="s">
        <v>4584</v>
      </c>
      <c r="H1103" t="s">
        <v>4607</v>
      </c>
      <c r="I1103">
        <v>2</v>
      </c>
      <c r="J1103">
        <v>26.17</v>
      </c>
      <c r="L1103">
        <v>14.81</v>
      </c>
      <c r="N1103" t="s">
        <v>5470</v>
      </c>
      <c r="O1103" t="s">
        <v>5477</v>
      </c>
    </row>
    <row r="1104" spans="1:15" x14ac:dyDescent="0.3">
      <c r="A1104" t="s">
        <v>1084</v>
      </c>
      <c r="B1104" t="s">
        <v>2366</v>
      </c>
      <c r="C1104" t="s">
        <v>2746</v>
      </c>
      <c r="D1104" t="s">
        <v>4249</v>
      </c>
      <c r="E1104" t="s">
        <v>4557</v>
      </c>
      <c r="F1104" t="s">
        <v>4581</v>
      </c>
      <c r="G1104" t="s">
        <v>4587</v>
      </c>
      <c r="H1104" t="s">
        <v>4594</v>
      </c>
      <c r="I1104">
        <v>2</v>
      </c>
      <c r="J1104">
        <v>56.99</v>
      </c>
      <c r="K1104">
        <v>0</v>
      </c>
      <c r="L1104">
        <v>10.35</v>
      </c>
      <c r="M1104" t="s">
        <v>5462</v>
      </c>
      <c r="N1104" t="s">
        <v>5470</v>
      </c>
      <c r="O1104" t="s">
        <v>5480</v>
      </c>
    </row>
    <row r="1105" spans="1:15" x14ac:dyDescent="0.3">
      <c r="A1105" t="s">
        <v>1085</v>
      </c>
      <c r="B1105" t="s">
        <v>2367</v>
      </c>
      <c r="C1105" t="s">
        <v>2658</v>
      </c>
      <c r="D1105" t="s">
        <v>4250</v>
      </c>
      <c r="E1105" t="s">
        <v>4569</v>
      </c>
      <c r="F1105" t="s">
        <v>4572</v>
      </c>
      <c r="G1105" t="s">
        <v>4585</v>
      </c>
      <c r="H1105" t="s">
        <v>4602</v>
      </c>
      <c r="I1105">
        <v>-1</v>
      </c>
      <c r="J1105" t="s">
        <v>5258</v>
      </c>
      <c r="K1105">
        <v>0</v>
      </c>
      <c r="M1105" t="s">
        <v>5464</v>
      </c>
      <c r="N1105" t="s">
        <v>5469</v>
      </c>
      <c r="O1105" t="s">
        <v>5477</v>
      </c>
    </row>
    <row r="1106" spans="1:15" x14ac:dyDescent="0.3">
      <c r="A1106" t="s">
        <v>1086</v>
      </c>
      <c r="B1106" t="s">
        <v>2368</v>
      </c>
      <c r="C1106" t="s">
        <v>3137</v>
      </c>
      <c r="D1106" t="s">
        <v>4251</v>
      </c>
      <c r="E1106" t="s">
        <v>4567</v>
      </c>
      <c r="F1106" t="s">
        <v>4577</v>
      </c>
      <c r="G1106" t="s">
        <v>4586</v>
      </c>
      <c r="H1106" t="s">
        <v>4593</v>
      </c>
      <c r="I1106">
        <v>1</v>
      </c>
      <c r="J1106" t="s">
        <v>5259</v>
      </c>
      <c r="K1106">
        <v>0.1</v>
      </c>
      <c r="L1106">
        <v>4.1100000000000003</v>
      </c>
      <c r="N1106" t="s">
        <v>5474</v>
      </c>
      <c r="O1106" t="s">
        <v>5477</v>
      </c>
    </row>
    <row r="1107" spans="1:15" x14ac:dyDescent="0.3">
      <c r="A1107" t="s">
        <v>1087</v>
      </c>
      <c r="B1107" t="s">
        <v>2369</v>
      </c>
      <c r="C1107" t="s">
        <v>2685</v>
      </c>
      <c r="E1107" t="s">
        <v>4548</v>
      </c>
      <c r="F1107" t="s">
        <v>4573</v>
      </c>
      <c r="G1107" t="s">
        <v>4586</v>
      </c>
      <c r="H1107" t="s">
        <v>4599</v>
      </c>
      <c r="I1107">
        <v>4</v>
      </c>
      <c r="J1107" t="s">
        <v>5260</v>
      </c>
      <c r="K1107" t="s">
        <v>5460</v>
      </c>
      <c r="L1107">
        <v>10.64</v>
      </c>
      <c r="M1107" t="s">
        <v>5466</v>
      </c>
      <c r="N1107" t="s">
        <v>5469</v>
      </c>
      <c r="O1107" t="s">
        <v>5475</v>
      </c>
    </row>
    <row r="1108" spans="1:15" x14ac:dyDescent="0.3">
      <c r="A1108" t="s">
        <v>1088</v>
      </c>
      <c r="B1108" t="s">
        <v>2370</v>
      </c>
      <c r="C1108" t="s">
        <v>2746</v>
      </c>
      <c r="D1108" t="s">
        <v>4252</v>
      </c>
      <c r="E1108" t="s">
        <v>4557</v>
      </c>
      <c r="G1108" t="s">
        <v>4585</v>
      </c>
      <c r="H1108" t="s">
        <v>4592</v>
      </c>
      <c r="I1108">
        <v>3</v>
      </c>
      <c r="J1108">
        <v>6.43</v>
      </c>
      <c r="L1108">
        <v>10.5</v>
      </c>
      <c r="M1108" t="s">
        <v>5466</v>
      </c>
      <c r="N1108" t="s">
        <v>5470</v>
      </c>
      <c r="O1108" t="s">
        <v>5477</v>
      </c>
    </row>
    <row r="1109" spans="1:15" x14ac:dyDescent="0.3">
      <c r="A1109" t="s">
        <v>1089</v>
      </c>
      <c r="B1109" t="s">
        <v>2371</v>
      </c>
      <c r="C1109" t="s">
        <v>2670</v>
      </c>
      <c r="D1109" t="s">
        <v>4253</v>
      </c>
      <c r="E1109" t="s">
        <v>4550</v>
      </c>
      <c r="F1109" t="s">
        <v>4574</v>
      </c>
      <c r="G1109" t="s">
        <v>4586</v>
      </c>
      <c r="H1109" t="s">
        <v>4609</v>
      </c>
      <c r="I1109">
        <v>-1</v>
      </c>
      <c r="J1109" t="s">
        <v>5261</v>
      </c>
      <c r="K1109">
        <v>0</v>
      </c>
      <c r="L1109">
        <v>3.51</v>
      </c>
      <c r="M1109" t="s">
        <v>5465</v>
      </c>
      <c r="N1109" t="s">
        <v>5474</v>
      </c>
      <c r="O1109" t="s">
        <v>5477</v>
      </c>
    </row>
    <row r="1110" spans="1:15" x14ac:dyDescent="0.3">
      <c r="A1110" t="s">
        <v>1090</v>
      </c>
      <c r="B1110" t="s">
        <v>2372</v>
      </c>
      <c r="C1110" t="s">
        <v>2673</v>
      </c>
      <c r="D1110" t="s">
        <v>4254</v>
      </c>
      <c r="E1110" t="s">
        <v>4550</v>
      </c>
      <c r="F1110" t="s">
        <v>4574</v>
      </c>
      <c r="G1110" t="s">
        <v>4584</v>
      </c>
      <c r="H1110" t="s">
        <v>4607</v>
      </c>
      <c r="I1110">
        <v>3</v>
      </c>
      <c r="J1110" t="s">
        <v>5262</v>
      </c>
      <c r="K1110">
        <v>0</v>
      </c>
      <c r="L1110">
        <v>11.02</v>
      </c>
      <c r="M1110" t="s">
        <v>5466</v>
      </c>
      <c r="N1110" t="s">
        <v>5470</v>
      </c>
      <c r="O1110" t="s">
        <v>5477</v>
      </c>
    </row>
    <row r="1111" spans="1:15" x14ac:dyDescent="0.3">
      <c r="A1111" t="s">
        <v>1091</v>
      </c>
      <c r="B1111" t="s">
        <v>1477</v>
      </c>
      <c r="C1111" t="s">
        <v>3179</v>
      </c>
      <c r="D1111" t="s">
        <v>4255</v>
      </c>
      <c r="E1111" t="s">
        <v>4557</v>
      </c>
      <c r="F1111" t="s">
        <v>4572</v>
      </c>
      <c r="G1111" t="s">
        <v>4584</v>
      </c>
      <c r="H1111" t="s">
        <v>4607</v>
      </c>
      <c r="I1111">
        <v>5</v>
      </c>
      <c r="J1111" t="s">
        <v>5263</v>
      </c>
      <c r="K1111">
        <v>0</v>
      </c>
      <c r="L1111">
        <v>10.050000000000001</v>
      </c>
      <c r="M1111" t="s">
        <v>5462</v>
      </c>
      <c r="N1111" t="s">
        <v>5472</v>
      </c>
      <c r="O1111" t="s">
        <v>5477</v>
      </c>
    </row>
    <row r="1112" spans="1:15" x14ac:dyDescent="0.3">
      <c r="A1112" t="s">
        <v>638</v>
      </c>
      <c r="B1112" t="s">
        <v>2004</v>
      </c>
      <c r="C1112" t="s">
        <v>3031</v>
      </c>
      <c r="D1112" t="s">
        <v>3835</v>
      </c>
      <c r="E1112" t="s">
        <v>4549</v>
      </c>
      <c r="F1112" t="s">
        <v>4574</v>
      </c>
      <c r="G1112" t="s">
        <v>4584</v>
      </c>
      <c r="H1112" t="s">
        <v>4607</v>
      </c>
      <c r="I1112">
        <v>2</v>
      </c>
      <c r="J1112" t="s">
        <v>5004</v>
      </c>
      <c r="K1112">
        <v>0.1</v>
      </c>
      <c r="L1112">
        <v>2.1</v>
      </c>
      <c r="M1112" t="s">
        <v>5463</v>
      </c>
      <c r="N1112" t="s">
        <v>5470</v>
      </c>
      <c r="O1112" t="s">
        <v>5479</v>
      </c>
    </row>
    <row r="1113" spans="1:15" x14ac:dyDescent="0.3">
      <c r="A1113" t="s">
        <v>1092</v>
      </c>
      <c r="B1113" t="s">
        <v>2373</v>
      </c>
      <c r="C1113" t="s">
        <v>2817</v>
      </c>
      <c r="D1113" t="s">
        <v>4256</v>
      </c>
      <c r="E1113" t="s">
        <v>4560</v>
      </c>
      <c r="F1113" t="s">
        <v>4574</v>
      </c>
      <c r="G1113" t="s">
        <v>4587</v>
      </c>
      <c r="H1113" t="s">
        <v>4600</v>
      </c>
      <c r="I1113">
        <v>4</v>
      </c>
      <c r="J1113">
        <v>13.46</v>
      </c>
      <c r="K1113">
        <v>0.15</v>
      </c>
      <c r="L1113">
        <v>11.04</v>
      </c>
      <c r="M1113" t="s">
        <v>5467</v>
      </c>
      <c r="N1113" t="s">
        <v>5470</v>
      </c>
      <c r="O1113" t="s">
        <v>5475</v>
      </c>
    </row>
    <row r="1114" spans="1:15" x14ac:dyDescent="0.3">
      <c r="A1114" t="s">
        <v>1093</v>
      </c>
      <c r="B1114" t="s">
        <v>2374</v>
      </c>
      <c r="C1114" t="s">
        <v>2845</v>
      </c>
      <c r="D1114" t="s">
        <v>4257</v>
      </c>
      <c r="E1114" t="s">
        <v>4567</v>
      </c>
      <c r="F1114" t="s">
        <v>4582</v>
      </c>
      <c r="G1114" t="s">
        <v>4585</v>
      </c>
      <c r="H1114" t="s">
        <v>4592</v>
      </c>
      <c r="I1114">
        <v>1</v>
      </c>
      <c r="J1114" t="s">
        <v>5264</v>
      </c>
      <c r="K1114">
        <v>0</v>
      </c>
      <c r="L1114">
        <v>11.28</v>
      </c>
      <c r="M1114" t="s">
        <v>5463</v>
      </c>
      <c r="N1114" t="s">
        <v>5473</v>
      </c>
      <c r="O1114" t="s">
        <v>5480</v>
      </c>
    </row>
    <row r="1115" spans="1:15" x14ac:dyDescent="0.3">
      <c r="A1115" t="s">
        <v>1094</v>
      </c>
      <c r="B1115" t="s">
        <v>2375</v>
      </c>
      <c r="C1115" t="s">
        <v>2648</v>
      </c>
      <c r="D1115" t="s">
        <v>3704</v>
      </c>
      <c r="E1115" t="s">
        <v>4555</v>
      </c>
      <c r="F1115" t="s">
        <v>4578</v>
      </c>
      <c r="H1115" t="s">
        <v>4604</v>
      </c>
      <c r="I1115">
        <v>5</v>
      </c>
      <c r="J1115" t="s">
        <v>5265</v>
      </c>
      <c r="K1115">
        <v>0.15</v>
      </c>
      <c r="L1115">
        <v>0</v>
      </c>
      <c r="M1115" t="s">
        <v>5462</v>
      </c>
      <c r="N1115" t="s">
        <v>5470</v>
      </c>
      <c r="O1115" t="s">
        <v>5480</v>
      </c>
    </row>
    <row r="1116" spans="1:15" x14ac:dyDescent="0.3">
      <c r="A1116" t="s">
        <v>1095</v>
      </c>
      <c r="B1116" t="s">
        <v>2376</v>
      </c>
      <c r="C1116" t="s">
        <v>3180</v>
      </c>
      <c r="E1116" t="s">
        <v>4568</v>
      </c>
      <c r="F1116" t="s">
        <v>4577</v>
      </c>
      <c r="G1116" t="s">
        <v>4586</v>
      </c>
      <c r="H1116" t="s">
        <v>4599</v>
      </c>
      <c r="I1116">
        <v>1</v>
      </c>
      <c r="J1116" t="s">
        <v>5266</v>
      </c>
      <c r="K1116">
        <v>0.1</v>
      </c>
      <c r="L1116">
        <v>11.64</v>
      </c>
      <c r="M1116" t="s">
        <v>5464</v>
      </c>
      <c r="N1116" t="s">
        <v>5473</v>
      </c>
      <c r="O1116" t="s">
        <v>5476</v>
      </c>
    </row>
    <row r="1117" spans="1:15" x14ac:dyDescent="0.3">
      <c r="A1117" t="s">
        <v>1096</v>
      </c>
      <c r="B1117" t="s">
        <v>1716</v>
      </c>
      <c r="C1117" t="s">
        <v>2978</v>
      </c>
      <c r="D1117" t="s">
        <v>4258</v>
      </c>
      <c r="E1117" t="s">
        <v>4562</v>
      </c>
      <c r="F1117" t="s">
        <v>4575</v>
      </c>
      <c r="G1117" t="s">
        <v>4587</v>
      </c>
      <c r="H1117" t="s">
        <v>4594</v>
      </c>
      <c r="I1117">
        <v>2</v>
      </c>
      <c r="J1117" t="s">
        <v>4777</v>
      </c>
      <c r="K1117">
        <v>0.1</v>
      </c>
      <c r="L1117">
        <v>4.5</v>
      </c>
      <c r="M1117" t="s">
        <v>5467</v>
      </c>
      <c r="N1117" t="s">
        <v>5469</v>
      </c>
      <c r="O1117" t="s">
        <v>5477</v>
      </c>
    </row>
    <row r="1118" spans="1:15" x14ac:dyDescent="0.3">
      <c r="A1118" t="s">
        <v>1097</v>
      </c>
      <c r="B1118" t="s">
        <v>2377</v>
      </c>
      <c r="C1118" t="s">
        <v>2752</v>
      </c>
      <c r="D1118" t="s">
        <v>4259</v>
      </c>
      <c r="E1118" t="s">
        <v>4569</v>
      </c>
      <c r="F1118" t="s">
        <v>4580</v>
      </c>
      <c r="G1118" t="s">
        <v>4586</v>
      </c>
      <c r="H1118" t="s">
        <v>4609</v>
      </c>
      <c r="I1118">
        <v>10</v>
      </c>
      <c r="J1118" t="s">
        <v>5267</v>
      </c>
      <c r="K1118">
        <v>0</v>
      </c>
      <c r="L1118">
        <v>12.69</v>
      </c>
      <c r="M1118" t="s">
        <v>5466</v>
      </c>
      <c r="N1118" t="s">
        <v>5471</v>
      </c>
      <c r="O1118" t="s">
        <v>5476</v>
      </c>
    </row>
    <row r="1119" spans="1:15" x14ac:dyDescent="0.3">
      <c r="A1119" t="s">
        <v>1098</v>
      </c>
      <c r="B1119" t="s">
        <v>2378</v>
      </c>
      <c r="C1119" t="s">
        <v>2914</v>
      </c>
      <c r="E1119" t="s">
        <v>4554</v>
      </c>
      <c r="F1119" t="s">
        <v>4573</v>
      </c>
      <c r="G1119" t="s">
        <v>4583</v>
      </c>
      <c r="H1119" t="s">
        <v>4610</v>
      </c>
      <c r="I1119">
        <v>2</v>
      </c>
      <c r="J1119" t="s">
        <v>5268</v>
      </c>
      <c r="K1119">
        <v>0.1</v>
      </c>
      <c r="L1119">
        <v>9.25</v>
      </c>
      <c r="M1119" t="s">
        <v>5462</v>
      </c>
      <c r="N1119" t="s">
        <v>5474</v>
      </c>
      <c r="O1119" t="s">
        <v>5477</v>
      </c>
    </row>
    <row r="1120" spans="1:15" x14ac:dyDescent="0.3">
      <c r="A1120" t="s">
        <v>1099</v>
      </c>
      <c r="B1120" t="s">
        <v>2379</v>
      </c>
      <c r="C1120" t="s">
        <v>2696</v>
      </c>
      <c r="D1120" t="s">
        <v>4260</v>
      </c>
      <c r="E1120" t="s">
        <v>4550</v>
      </c>
      <c r="F1120" t="s">
        <v>4574</v>
      </c>
      <c r="G1120" t="s">
        <v>4584</v>
      </c>
      <c r="H1120" t="s">
        <v>4607</v>
      </c>
      <c r="I1120">
        <v>2</v>
      </c>
      <c r="J1120" t="s">
        <v>5269</v>
      </c>
      <c r="K1120">
        <v>0.15</v>
      </c>
      <c r="L1120">
        <v>7.06</v>
      </c>
      <c r="M1120" t="s">
        <v>5462</v>
      </c>
      <c r="N1120" t="s">
        <v>5471</v>
      </c>
      <c r="O1120" t="s">
        <v>5480</v>
      </c>
    </row>
    <row r="1121" spans="1:15" x14ac:dyDescent="0.3">
      <c r="A1121" t="s">
        <v>1100</v>
      </c>
      <c r="B1121" t="s">
        <v>2380</v>
      </c>
      <c r="C1121" t="s">
        <v>3181</v>
      </c>
      <c r="D1121" t="s">
        <v>4261</v>
      </c>
      <c r="E1121" t="s">
        <v>4571</v>
      </c>
      <c r="F1121" t="s">
        <v>4578</v>
      </c>
      <c r="G1121" t="s">
        <v>4583</v>
      </c>
      <c r="H1121" t="s">
        <v>4610</v>
      </c>
      <c r="I1121">
        <v>-1</v>
      </c>
      <c r="J1121" t="s">
        <v>5270</v>
      </c>
      <c r="K1121">
        <v>0</v>
      </c>
      <c r="L1121">
        <v>6.46</v>
      </c>
      <c r="M1121" t="s">
        <v>5464</v>
      </c>
      <c r="N1121" t="s">
        <v>5473</v>
      </c>
      <c r="O1121" t="s">
        <v>5480</v>
      </c>
    </row>
    <row r="1122" spans="1:15" x14ac:dyDescent="0.3">
      <c r="A1122" t="s">
        <v>1101</v>
      </c>
      <c r="B1122" t="s">
        <v>2381</v>
      </c>
      <c r="C1122" t="s">
        <v>2914</v>
      </c>
      <c r="D1122" t="s">
        <v>4262</v>
      </c>
      <c r="E1122" t="s">
        <v>4571</v>
      </c>
      <c r="F1122" t="s">
        <v>4573</v>
      </c>
      <c r="G1122" t="s">
        <v>4587</v>
      </c>
      <c r="H1122" t="s">
        <v>4594</v>
      </c>
      <c r="I1122">
        <v>4</v>
      </c>
      <c r="J1122">
        <v>61.88</v>
      </c>
      <c r="K1122" t="s">
        <v>5460</v>
      </c>
      <c r="L1122">
        <v>12.74</v>
      </c>
      <c r="M1122" t="s">
        <v>5462</v>
      </c>
      <c r="N1122" t="s">
        <v>5474</v>
      </c>
      <c r="O1122" t="s">
        <v>5477</v>
      </c>
    </row>
    <row r="1123" spans="1:15" x14ac:dyDescent="0.3">
      <c r="A1123" t="s">
        <v>1102</v>
      </c>
      <c r="B1123" t="s">
        <v>1753</v>
      </c>
      <c r="C1123" t="s">
        <v>2941</v>
      </c>
      <c r="D1123" t="s">
        <v>4263</v>
      </c>
      <c r="E1123" t="s">
        <v>4549</v>
      </c>
      <c r="F1123" t="s">
        <v>4574</v>
      </c>
      <c r="G1123" t="s">
        <v>4586</v>
      </c>
      <c r="H1123" t="s">
        <v>4593</v>
      </c>
      <c r="I1123">
        <v>2</v>
      </c>
      <c r="J1123" t="s">
        <v>5271</v>
      </c>
      <c r="K1123">
        <v>0.15</v>
      </c>
      <c r="L1123">
        <v>14.66</v>
      </c>
      <c r="N1123" t="s">
        <v>5472</v>
      </c>
      <c r="O1123" t="s">
        <v>5475</v>
      </c>
    </row>
    <row r="1124" spans="1:15" x14ac:dyDescent="0.3">
      <c r="A1124" t="s">
        <v>1103</v>
      </c>
      <c r="B1124" t="s">
        <v>2382</v>
      </c>
      <c r="C1124" t="s">
        <v>2701</v>
      </c>
      <c r="D1124" t="s">
        <v>4264</v>
      </c>
      <c r="E1124" t="s">
        <v>4556</v>
      </c>
      <c r="G1124" t="s">
        <v>4586</v>
      </c>
      <c r="H1124" t="s">
        <v>4609</v>
      </c>
      <c r="I1124">
        <v>1</v>
      </c>
      <c r="J1124">
        <v>134.84</v>
      </c>
      <c r="K1124">
        <v>0.15</v>
      </c>
      <c r="L1124">
        <v>14.54</v>
      </c>
      <c r="M1124" t="s">
        <v>5464</v>
      </c>
      <c r="N1124" t="s">
        <v>5472</v>
      </c>
      <c r="O1124" t="s">
        <v>5475</v>
      </c>
    </row>
    <row r="1125" spans="1:15" x14ac:dyDescent="0.3">
      <c r="A1125" t="s">
        <v>1104</v>
      </c>
      <c r="B1125" t="s">
        <v>2383</v>
      </c>
      <c r="C1125" t="s">
        <v>2728</v>
      </c>
      <c r="D1125" t="s">
        <v>4265</v>
      </c>
      <c r="E1125" t="s">
        <v>4553</v>
      </c>
      <c r="F1125" t="s">
        <v>4577</v>
      </c>
      <c r="G1125" t="s">
        <v>4583</v>
      </c>
      <c r="H1125" t="s">
        <v>4588</v>
      </c>
      <c r="I1125">
        <v>1</v>
      </c>
      <c r="J1125" t="s">
        <v>5272</v>
      </c>
      <c r="K1125" t="s">
        <v>5461</v>
      </c>
      <c r="L1125">
        <v>2.15</v>
      </c>
      <c r="M1125" t="s">
        <v>5463</v>
      </c>
      <c r="N1125" t="s">
        <v>5469</v>
      </c>
      <c r="O1125" t="s">
        <v>5479</v>
      </c>
    </row>
    <row r="1126" spans="1:15" x14ac:dyDescent="0.3">
      <c r="A1126" t="s">
        <v>1105</v>
      </c>
      <c r="B1126" t="s">
        <v>2144</v>
      </c>
      <c r="C1126" t="s">
        <v>3182</v>
      </c>
      <c r="D1126" t="s">
        <v>4266</v>
      </c>
      <c r="E1126" t="s">
        <v>4566</v>
      </c>
      <c r="F1126" t="s">
        <v>4577</v>
      </c>
      <c r="G1126" t="s">
        <v>4584</v>
      </c>
      <c r="H1126" t="s">
        <v>4589</v>
      </c>
      <c r="I1126">
        <v>1</v>
      </c>
      <c r="J1126">
        <v>35.799999999999997</v>
      </c>
      <c r="K1126">
        <v>0.15</v>
      </c>
      <c r="L1126">
        <v>8.75</v>
      </c>
      <c r="N1126" t="s">
        <v>5473</v>
      </c>
      <c r="O1126" t="s">
        <v>5477</v>
      </c>
    </row>
    <row r="1127" spans="1:15" x14ac:dyDescent="0.3">
      <c r="A1127" t="s">
        <v>1106</v>
      </c>
      <c r="B1127" t="s">
        <v>2384</v>
      </c>
      <c r="C1127" t="s">
        <v>2703</v>
      </c>
      <c r="D1127" t="s">
        <v>4267</v>
      </c>
      <c r="E1127" t="s">
        <v>4556</v>
      </c>
      <c r="F1127" t="s">
        <v>4576</v>
      </c>
      <c r="G1127" t="s">
        <v>4587</v>
      </c>
      <c r="H1127" t="s">
        <v>4596</v>
      </c>
      <c r="I1127">
        <v>3</v>
      </c>
      <c r="J1127">
        <v>15.13</v>
      </c>
      <c r="K1127">
        <v>0.1</v>
      </c>
      <c r="L1127">
        <v>2.77</v>
      </c>
      <c r="M1127" t="s">
        <v>5468</v>
      </c>
      <c r="N1127" t="s">
        <v>5470</v>
      </c>
      <c r="O1127" t="s">
        <v>5477</v>
      </c>
    </row>
    <row r="1128" spans="1:15" x14ac:dyDescent="0.3">
      <c r="A1128" t="s">
        <v>1107</v>
      </c>
      <c r="B1128" t="s">
        <v>2385</v>
      </c>
      <c r="C1128" t="s">
        <v>3183</v>
      </c>
      <c r="E1128" t="s">
        <v>4571</v>
      </c>
      <c r="F1128" t="s">
        <v>4578</v>
      </c>
      <c r="G1128" t="s">
        <v>4585</v>
      </c>
      <c r="H1128" t="s">
        <v>4592</v>
      </c>
      <c r="I1128">
        <v>1</v>
      </c>
      <c r="J1128" t="s">
        <v>5273</v>
      </c>
      <c r="K1128">
        <v>0</v>
      </c>
      <c r="L1128">
        <v>12.48</v>
      </c>
      <c r="M1128" t="s">
        <v>5462</v>
      </c>
      <c r="N1128" t="s">
        <v>5469</v>
      </c>
      <c r="O1128" t="s">
        <v>5476</v>
      </c>
    </row>
    <row r="1129" spans="1:15" x14ac:dyDescent="0.3">
      <c r="A1129" t="s">
        <v>1108</v>
      </c>
      <c r="B1129" t="s">
        <v>1600</v>
      </c>
      <c r="C1129" t="s">
        <v>2999</v>
      </c>
      <c r="D1129" t="s">
        <v>4268</v>
      </c>
      <c r="E1129" t="s">
        <v>4569</v>
      </c>
      <c r="F1129" t="s">
        <v>4581</v>
      </c>
      <c r="H1129" t="s">
        <v>4594</v>
      </c>
      <c r="I1129">
        <v>4</v>
      </c>
      <c r="J1129" t="s">
        <v>5274</v>
      </c>
      <c r="K1129">
        <v>0</v>
      </c>
      <c r="L1129">
        <v>0</v>
      </c>
      <c r="M1129" t="s">
        <v>5467</v>
      </c>
      <c r="N1129" t="s">
        <v>5471</v>
      </c>
      <c r="O1129" t="s">
        <v>5477</v>
      </c>
    </row>
    <row r="1130" spans="1:15" x14ac:dyDescent="0.3">
      <c r="A1130" t="s">
        <v>1109</v>
      </c>
      <c r="B1130" t="s">
        <v>2386</v>
      </c>
      <c r="C1130" t="s">
        <v>2746</v>
      </c>
      <c r="D1130" t="s">
        <v>4269</v>
      </c>
      <c r="E1130" t="s">
        <v>4548</v>
      </c>
      <c r="F1130" t="s">
        <v>4573</v>
      </c>
      <c r="G1130" t="s">
        <v>4584</v>
      </c>
      <c r="H1130" t="s">
        <v>4589</v>
      </c>
      <c r="I1130">
        <v>1</v>
      </c>
      <c r="J1130" t="s">
        <v>5275</v>
      </c>
      <c r="K1130" t="s">
        <v>5461</v>
      </c>
      <c r="L1130">
        <v>11.19</v>
      </c>
      <c r="M1130" t="s">
        <v>5468</v>
      </c>
      <c r="N1130" t="s">
        <v>5471</v>
      </c>
      <c r="O1130" t="s">
        <v>5480</v>
      </c>
    </row>
    <row r="1131" spans="1:15" x14ac:dyDescent="0.3">
      <c r="A1131" t="s">
        <v>1110</v>
      </c>
      <c r="B1131" t="s">
        <v>2387</v>
      </c>
      <c r="C1131" t="s">
        <v>3184</v>
      </c>
      <c r="D1131" t="s">
        <v>4270</v>
      </c>
      <c r="E1131" t="s">
        <v>4567</v>
      </c>
      <c r="F1131" t="s">
        <v>4577</v>
      </c>
      <c r="H1131" t="s">
        <v>4608</v>
      </c>
      <c r="I1131">
        <v>1</v>
      </c>
      <c r="J1131">
        <v>18.05</v>
      </c>
      <c r="K1131">
        <v>0.1</v>
      </c>
      <c r="L1131">
        <v>8.2799999999999994</v>
      </c>
      <c r="M1131" t="s">
        <v>5465</v>
      </c>
      <c r="N1131" t="s">
        <v>5471</v>
      </c>
      <c r="O1131" t="s">
        <v>5477</v>
      </c>
    </row>
    <row r="1132" spans="1:15" x14ac:dyDescent="0.3">
      <c r="A1132" t="s">
        <v>1111</v>
      </c>
      <c r="B1132" t="s">
        <v>2388</v>
      </c>
      <c r="C1132" t="s">
        <v>2660</v>
      </c>
      <c r="D1132" t="s">
        <v>4271</v>
      </c>
      <c r="E1132" t="s">
        <v>4559</v>
      </c>
      <c r="F1132" t="s">
        <v>4573</v>
      </c>
      <c r="G1132" t="s">
        <v>4586</v>
      </c>
      <c r="H1132" t="s">
        <v>4597</v>
      </c>
      <c r="I1132">
        <v>1</v>
      </c>
      <c r="J1132" t="s">
        <v>5276</v>
      </c>
      <c r="K1132">
        <v>0</v>
      </c>
      <c r="L1132">
        <v>4.76</v>
      </c>
      <c r="M1132" t="s">
        <v>5466</v>
      </c>
      <c r="N1132" t="s">
        <v>5473</v>
      </c>
      <c r="O1132" t="s">
        <v>5478</v>
      </c>
    </row>
    <row r="1133" spans="1:15" x14ac:dyDescent="0.3">
      <c r="A1133" t="s">
        <v>1112</v>
      </c>
      <c r="B1133" t="s">
        <v>2389</v>
      </c>
      <c r="C1133" t="s">
        <v>3185</v>
      </c>
      <c r="D1133" t="s">
        <v>4272</v>
      </c>
      <c r="E1133" t="s">
        <v>4565</v>
      </c>
      <c r="F1133" t="s">
        <v>4579</v>
      </c>
      <c r="G1133" t="s">
        <v>4587</v>
      </c>
      <c r="H1133" t="s">
        <v>4606</v>
      </c>
      <c r="I1133">
        <v>2</v>
      </c>
      <c r="J1133">
        <v>30.21</v>
      </c>
      <c r="K1133">
        <v>0</v>
      </c>
      <c r="L1133">
        <v>12.66</v>
      </c>
      <c r="M1133" t="s">
        <v>5462</v>
      </c>
      <c r="N1133" t="s">
        <v>5470</v>
      </c>
      <c r="O1133" t="s">
        <v>5477</v>
      </c>
    </row>
    <row r="1134" spans="1:15" x14ac:dyDescent="0.3">
      <c r="A1134" t="s">
        <v>1113</v>
      </c>
      <c r="B1134" t="s">
        <v>2390</v>
      </c>
      <c r="C1134" t="s">
        <v>3186</v>
      </c>
      <c r="D1134" t="s">
        <v>4273</v>
      </c>
      <c r="E1134" t="s">
        <v>4566</v>
      </c>
      <c r="F1134" t="s">
        <v>4573</v>
      </c>
      <c r="G1134" t="s">
        <v>4586</v>
      </c>
      <c r="H1134" t="s">
        <v>4609</v>
      </c>
      <c r="I1134">
        <v>2</v>
      </c>
      <c r="J1134">
        <v>126.76</v>
      </c>
      <c r="K1134">
        <v>0.05</v>
      </c>
      <c r="L1134">
        <v>8.4700000000000006</v>
      </c>
      <c r="M1134" t="s">
        <v>5467</v>
      </c>
      <c r="N1134" t="s">
        <v>5469</v>
      </c>
      <c r="O1134" t="s">
        <v>5478</v>
      </c>
    </row>
    <row r="1135" spans="1:15" x14ac:dyDescent="0.3">
      <c r="A1135" t="s">
        <v>1114</v>
      </c>
      <c r="B1135" t="s">
        <v>2391</v>
      </c>
      <c r="C1135" t="s">
        <v>2980</v>
      </c>
      <c r="D1135" t="s">
        <v>4274</v>
      </c>
      <c r="E1135" t="s">
        <v>4549</v>
      </c>
      <c r="F1135" t="s">
        <v>4574</v>
      </c>
      <c r="G1135" t="s">
        <v>4587</v>
      </c>
      <c r="H1135" t="s">
        <v>4596</v>
      </c>
      <c r="I1135">
        <v>3</v>
      </c>
      <c r="J1135" t="s">
        <v>4694</v>
      </c>
      <c r="K1135" t="s">
        <v>5461</v>
      </c>
      <c r="L1135">
        <v>12.08</v>
      </c>
      <c r="M1135" t="s">
        <v>5467</v>
      </c>
      <c r="N1135" t="s">
        <v>5473</v>
      </c>
      <c r="O1135" t="s">
        <v>5477</v>
      </c>
    </row>
    <row r="1136" spans="1:15" x14ac:dyDescent="0.3">
      <c r="A1136" t="s">
        <v>1115</v>
      </c>
      <c r="B1136" t="s">
        <v>2392</v>
      </c>
      <c r="C1136" t="s">
        <v>3187</v>
      </c>
      <c r="D1136" t="s">
        <v>4275</v>
      </c>
      <c r="E1136" t="s">
        <v>4557</v>
      </c>
      <c r="F1136" t="s">
        <v>4572</v>
      </c>
      <c r="G1136" t="s">
        <v>4584</v>
      </c>
      <c r="H1136" t="s">
        <v>4595</v>
      </c>
      <c r="I1136">
        <v>-1</v>
      </c>
      <c r="J1136">
        <v>41.2</v>
      </c>
      <c r="K1136" t="s">
        <v>5461</v>
      </c>
      <c r="M1136" t="s">
        <v>5465</v>
      </c>
      <c r="O1136" t="s">
        <v>5477</v>
      </c>
    </row>
    <row r="1137" spans="1:15" x14ac:dyDescent="0.3">
      <c r="A1137" t="s">
        <v>1116</v>
      </c>
      <c r="B1137" t="s">
        <v>2393</v>
      </c>
      <c r="C1137" t="s">
        <v>3043</v>
      </c>
      <c r="D1137" t="s">
        <v>4276</v>
      </c>
      <c r="E1137" t="s">
        <v>4558</v>
      </c>
      <c r="F1137" t="s">
        <v>4581</v>
      </c>
      <c r="G1137" t="s">
        <v>4584</v>
      </c>
      <c r="H1137" t="s">
        <v>4595</v>
      </c>
      <c r="I1137">
        <v>2</v>
      </c>
      <c r="J1137" t="s">
        <v>5277</v>
      </c>
      <c r="L1137">
        <v>0.84</v>
      </c>
      <c r="M1137" t="s">
        <v>5468</v>
      </c>
      <c r="N1137" t="s">
        <v>5474</v>
      </c>
      <c r="O1137" t="s">
        <v>5478</v>
      </c>
    </row>
    <row r="1138" spans="1:15" x14ac:dyDescent="0.3">
      <c r="A1138" t="s">
        <v>1117</v>
      </c>
      <c r="B1138" t="s">
        <v>2394</v>
      </c>
      <c r="C1138" t="s">
        <v>3188</v>
      </c>
      <c r="D1138" t="s">
        <v>4277</v>
      </c>
      <c r="E1138" t="s">
        <v>4568</v>
      </c>
      <c r="F1138" t="s">
        <v>4573</v>
      </c>
      <c r="G1138" t="s">
        <v>4584</v>
      </c>
      <c r="H1138" t="s">
        <v>4607</v>
      </c>
      <c r="I1138">
        <v>10</v>
      </c>
      <c r="J1138" t="s">
        <v>5278</v>
      </c>
      <c r="K1138">
        <v>0</v>
      </c>
      <c r="L1138">
        <v>5.31</v>
      </c>
      <c r="M1138" t="s">
        <v>5464</v>
      </c>
      <c r="N1138" t="s">
        <v>5470</v>
      </c>
      <c r="O1138" t="s">
        <v>5478</v>
      </c>
    </row>
    <row r="1139" spans="1:15" x14ac:dyDescent="0.3">
      <c r="A1139" t="s">
        <v>229</v>
      </c>
      <c r="B1139" t="s">
        <v>1626</v>
      </c>
      <c r="C1139" t="s">
        <v>2806</v>
      </c>
      <c r="D1139" t="s">
        <v>3461</v>
      </c>
      <c r="E1139" t="s">
        <v>4550</v>
      </c>
      <c r="F1139" t="s">
        <v>4573</v>
      </c>
      <c r="G1139" t="s">
        <v>4584</v>
      </c>
      <c r="H1139" t="s">
        <v>4608</v>
      </c>
      <c r="I1139">
        <v>-1</v>
      </c>
      <c r="J1139">
        <v>18.55</v>
      </c>
      <c r="K1139">
        <v>0</v>
      </c>
      <c r="L1139">
        <v>9.07</v>
      </c>
      <c r="M1139" t="s">
        <v>5465</v>
      </c>
      <c r="N1139" t="s">
        <v>5472</v>
      </c>
      <c r="O1139" t="s">
        <v>5475</v>
      </c>
    </row>
    <row r="1140" spans="1:15" x14ac:dyDescent="0.3">
      <c r="A1140" t="s">
        <v>1118</v>
      </c>
      <c r="B1140" t="s">
        <v>2395</v>
      </c>
      <c r="C1140" t="s">
        <v>2731</v>
      </c>
      <c r="D1140" t="s">
        <v>4278</v>
      </c>
      <c r="E1140" t="s">
        <v>4552</v>
      </c>
      <c r="F1140" t="s">
        <v>4575</v>
      </c>
      <c r="G1140" t="s">
        <v>4585</v>
      </c>
      <c r="H1140" t="s">
        <v>4592</v>
      </c>
      <c r="I1140">
        <v>1</v>
      </c>
      <c r="J1140" t="s">
        <v>5279</v>
      </c>
      <c r="L1140">
        <v>0</v>
      </c>
      <c r="M1140" t="s">
        <v>5468</v>
      </c>
      <c r="N1140" t="s">
        <v>5471</v>
      </c>
      <c r="O1140" t="s">
        <v>5477</v>
      </c>
    </row>
    <row r="1141" spans="1:15" x14ac:dyDescent="0.3">
      <c r="A1141" t="s">
        <v>1119</v>
      </c>
      <c r="B1141" t="s">
        <v>2396</v>
      </c>
      <c r="C1141" t="s">
        <v>2851</v>
      </c>
      <c r="D1141" t="s">
        <v>4279</v>
      </c>
      <c r="E1141" t="s">
        <v>4566</v>
      </c>
      <c r="F1141" t="s">
        <v>4573</v>
      </c>
      <c r="G1141" t="s">
        <v>4587</v>
      </c>
      <c r="H1141" t="s">
        <v>4596</v>
      </c>
      <c r="I1141">
        <v>2</v>
      </c>
      <c r="J1141" t="s">
        <v>5280</v>
      </c>
      <c r="K1141">
        <v>0</v>
      </c>
      <c r="L1141">
        <v>3.94</v>
      </c>
      <c r="M1141" t="s">
        <v>5466</v>
      </c>
      <c r="N1141" t="s">
        <v>5473</v>
      </c>
      <c r="O1141" t="s">
        <v>5478</v>
      </c>
    </row>
    <row r="1142" spans="1:15" x14ac:dyDescent="0.3">
      <c r="A1142" t="s">
        <v>1120</v>
      </c>
      <c r="B1142" t="s">
        <v>2121</v>
      </c>
      <c r="C1142" t="s">
        <v>3189</v>
      </c>
      <c r="E1142" t="s">
        <v>4547</v>
      </c>
      <c r="F1142" t="s">
        <v>4580</v>
      </c>
      <c r="G1142" t="s">
        <v>4585</v>
      </c>
      <c r="H1142" t="s">
        <v>4598</v>
      </c>
      <c r="I1142">
        <v>-1</v>
      </c>
      <c r="J1142" t="s">
        <v>5281</v>
      </c>
      <c r="K1142" t="s">
        <v>5460</v>
      </c>
      <c r="L1142">
        <v>0</v>
      </c>
      <c r="M1142" t="s">
        <v>5465</v>
      </c>
      <c r="N1142" t="s">
        <v>5472</v>
      </c>
      <c r="O1142" t="s">
        <v>5477</v>
      </c>
    </row>
    <row r="1143" spans="1:15" x14ac:dyDescent="0.3">
      <c r="A1143" t="s">
        <v>1121</v>
      </c>
      <c r="B1143" t="s">
        <v>2397</v>
      </c>
      <c r="C1143" t="s">
        <v>3190</v>
      </c>
      <c r="D1143" t="s">
        <v>4280</v>
      </c>
      <c r="E1143" t="s">
        <v>4552</v>
      </c>
      <c r="F1143" t="s">
        <v>4575</v>
      </c>
      <c r="G1143" t="s">
        <v>4583</v>
      </c>
      <c r="H1143" t="s">
        <v>4588</v>
      </c>
      <c r="I1143">
        <v>10</v>
      </c>
      <c r="J1143" t="s">
        <v>5282</v>
      </c>
      <c r="L1143">
        <v>6.43</v>
      </c>
      <c r="M1143" t="s">
        <v>5465</v>
      </c>
      <c r="N1143" t="s">
        <v>5473</v>
      </c>
      <c r="O1143" t="s">
        <v>5477</v>
      </c>
    </row>
    <row r="1144" spans="1:15" x14ac:dyDescent="0.3">
      <c r="A1144" t="s">
        <v>1122</v>
      </c>
      <c r="B1144" t="s">
        <v>2398</v>
      </c>
      <c r="C1144" t="s">
        <v>2919</v>
      </c>
      <c r="D1144" t="s">
        <v>4281</v>
      </c>
      <c r="E1144" t="s">
        <v>4560</v>
      </c>
      <c r="F1144" t="s">
        <v>4573</v>
      </c>
      <c r="G1144" t="s">
        <v>4585</v>
      </c>
      <c r="H1144" t="s">
        <v>4590</v>
      </c>
      <c r="I1144">
        <v>1</v>
      </c>
      <c r="J1144" t="s">
        <v>5283</v>
      </c>
      <c r="K1144">
        <v>0.05</v>
      </c>
      <c r="L1144">
        <v>0</v>
      </c>
      <c r="M1144" t="s">
        <v>5465</v>
      </c>
      <c r="N1144" t="s">
        <v>5469</v>
      </c>
      <c r="O1144" t="s">
        <v>5475</v>
      </c>
    </row>
    <row r="1145" spans="1:15" x14ac:dyDescent="0.3">
      <c r="A1145" t="s">
        <v>1123</v>
      </c>
      <c r="B1145" t="s">
        <v>2399</v>
      </c>
      <c r="C1145" t="s">
        <v>3107</v>
      </c>
      <c r="D1145" t="s">
        <v>4282</v>
      </c>
      <c r="E1145" t="s">
        <v>4549</v>
      </c>
      <c r="F1145" t="s">
        <v>4573</v>
      </c>
      <c r="G1145" t="s">
        <v>4586</v>
      </c>
      <c r="H1145" t="s">
        <v>4599</v>
      </c>
      <c r="I1145">
        <v>1</v>
      </c>
      <c r="J1145" t="s">
        <v>5284</v>
      </c>
      <c r="K1145">
        <v>0.15</v>
      </c>
      <c r="L1145">
        <v>8.9</v>
      </c>
      <c r="M1145" t="s">
        <v>5467</v>
      </c>
      <c r="N1145" t="s">
        <v>5469</v>
      </c>
      <c r="O1145" t="s">
        <v>5478</v>
      </c>
    </row>
    <row r="1146" spans="1:15" x14ac:dyDescent="0.3">
      <c r="A1146" t="s">
        <v>1124</v>
      </c>
      <c r="B1146" t="s">
        <v>2400</v>
      </c>
      <c r="C1146" t="s">
        <v>3140</v>
      </c>
      <c r="D1146" t="s">
        <v>4283</v>
      </c>
      <c r="E1146" t="s">
        <v>4556</v>
      </c>
      <c r="F1146" t="s">
        <v>4579</v>
      </c>
      <c r="G1146" t="s">
        <v>4587</v>
      </c>
      <c r="H1146" t="s">
        <v>4594</v>
      </c>
      <c r="I1146">
        <v>2</v>
      </c>
      <c r="J1146">
        <v>57.02</v>
      </c>
      <c r="K1146">
        <v>0</v>
      </c>
      <c r="L1146">
        <v>9.35</v>
      </c>
      <c r="N1146" t="s">
        <v>5472</v>
      </c>
      <c r="O1146" t="s">
        <v>5477</v>
      </c>
    </row>
    <row r="1147" spans="1:15" x14ac:dyDescent="0.3">
      <c r="A1147" t="s">
        <v>1125</v>
      </c>
      <c r="B1147" t="s">
        <v>1807</v>
      </c>
      <c r="C1147" t="s">
        <v>3191</v>
      </c>
      <c r="D1147" t="s">
        <v>4284</v>
      </c>
      <c r="E1147" t="s">
        <v>4571</v>
      </c>
      <c r="F1147" t="s">
        <v>4578</v>
      </c>
      <c r="G1147" t="s">
        <v>4583</v>
      </c>
      <c r="H1147" t="s">
        <v>4610</v>
      </c>
      <c r="I1147">
        <v>3</v>
      </c>
      <c r="J1147" t="s">
        <v>5285</v>
      </c>
      <c r="K1147">
        <v>0</v>
      </c>
      <c r="M1147" t="s">
        <v>5464</v>
      </c>
      <c r="N1147" t="s">
        <v>5473</v>
      </c>
      <c r="O1147" t="s">
        <v>5476</v>
      </c>
    </row>
    <row r="1148" spans="1:15" x14ac:dyDescent="0.3">
      <c r="A1148" t="s">
        <v>1126</v>
      </c>
      <c r="B1148" t="s">
        <v>2401</v>
      </c>
      <c r="C1148" t="s">
        <v>2827</v>
      </c>
      <c r="D1148" t="s">
        <v>4285</v>
      </c>
      <c r="E1148" t="s">
        <v>4561</v>
      </c>
      <c r="F1148" t="s">
        <v>4572</v>
      </c>
      <c r="G1148" t="s">
        <v>4587</v>
      </c>
      <c r="H1148" t="s">
        <v>4596</v>
      </c>
      <c r="I1148">
        <v>4</v>
      </c>
      <c r="J1148">
        <v>14.5</v>
      </c>
      <c r="K1148">
        <v>0</v>
      </c>
      <c r="L1148">
        <v>2.76</v>
      </c>
      <c r="M1148" t="s">
        <v>5464</v>
      </c>
      <c r="N1148" t="s">
        <v>5469</v>
      </c>
      <c r="O1148" t="s">
        <v>5477</v>
      </c>
    </row>
    <row r="1149" spans="1:15" x14ac:dyDescent="0.3">
      <c r="A1149" t="s">
        <v>1127</v>
      </c>
      <c r="B1149" t="s">
        <v>2402</v>
      </c>
      <c r="C1149" t="s">
        <v>2979</v>
      </c>
      <c r="D1149" t="s">
        <v>4286</v>
      </c>
      <c r="E1149" t="s">
        <v>4550</v>
      </c>
      <c r="F1149" t="s">
        <v>4573</v>
      </c>
      <c r="G1149" t="s">
        <v>4585</v>
      </c>
      <c r="H1149" t="s">
        <v>4602</v>
      </c>
      <c r="I1149">
        <v>1</v>
      </c>
      <c r="J1149" t="s">
        <v>5286</v>
      </c>
      <c r="K1149" t="s">
        <v>5460</v>
      </c>
      <c r="M1149" t="s">
        <v>5463</v>
      </c>
      <c r="N1149" t="s">
        <v>5473</v>
      </c>
      <c r="O1149" t="s">
        <v>5476</v>
      </c>
    </row>
    <row r="1150" spans="1:15" x14ac:dyDescent="0.3">
      <c r="A1150" t="s">
        <v>1128</v>
      </c>
      <c r="B1150" t="s">
        <v>2403</v>
      </c>
      <c r="C1150" t="s">
        <v>2712</v>
      </c>
      <c r="D1150" t="s">
        <v>4287</v>
      </c>
      <c r="E1150" t="s">
        <v>4564</v>
      </c>
      <c r="F1150" t="s">
        <v>4573</v>
      </c>
      <c r="G1150" t="s">
        <v>4587</v>
      </c>
      <c r="H1150" t="s">
        <v>4600</v>
      </c>
      <c r="I1150">
        <v>5</v>
      </c>
      <c r="J1150">
        <v>12.5</v>
      </c>
      <c r="K1150" t="s">
        <v>5460</v>
      </c>
      <c r="L1150">
        <v>3.76</v>
      </c>
      <c r="M1150" t="s">
        <v>5465</v>
      </c>
      <c r="N1150" t="s">
        <v>5471</v>
      </c>
      <c r="O1150" t="s">
        <v>5477</v>
      </c>
    </row>
    <row r="1151" spans="1:15" x14ac:dyDescent="0.3">
      <c r="A1151" t="s">
        <v>1129</v>
      </c>
      <c r="B1151" t="s">
        <v>1619</v>
      </c>
      <c r="C1151" t="s">
        <v>3011</v>
      </c>
      <c r="D1151" t="s">
        <v>4288</v>
      </c>
      <c r="E1151" t="s">
        <v>4549</v>
      </c>
      <c r="F1151" t="s">
        <v>4574</v>
      </c>
      <c r="G1151" t="s">
        <v>4584</v>
      </c>
      <c r="H1151" t="s">
        <v>4601</v>
      </c>
      <c r="I1151">
        <v>10</v>
      </c>
      <c r="J1151" t="s">
        <v>5287</v>
      </c>
      <c r="K1151" t="s">
        <v>5460</v>
      </c>
      <c r="L1151">
        <v>11.25</v>
      </c>
      <c r="M1151" t="s">
        <v>5462</v>
      </c>
      <c r="N1151" t="s">
        <v>5470</v>
      </c>
      <c r="O1151" t="s">
        <v>5477</v>
      </c>
    </row>
    <row r="1152" spans="1:15" x14ac:dyDescent="0.3">
      <c r="A1152" t="s">
        <v>644</v>
      </c>
      <c r="B1152" t="s">
        <v>2008</v>
      </c>
      <c r="C1152" t="s">
        <v>2860</v>
      </c>
      <c r="D1152" t="s">
        <v>3841</v>
      </c>
      <c r="E1152" t="s">
        <v>4562</v>
      </c>
      <c r="F1152" t="s">
        <v>4575</v>
      </c>
      <c r="G1152" t="s">
        <v>4587</v>
      </c>
      <c r="H1152" t="s">
        <v>4606</v>
      </c>
      <c r="I1152">
        <v>1</v>
      </c>
      <c r="J1152" t="s">
        <v>5007</v>
      </c>
      <c r="K1152">
        <v>0</v>
      </c>
      <c r="L1152">
        <v>14.41</v>
      </c>
      <c r="M1152" t="s">
        <v>5467</v>
      </c>
      <c r="N1152" t="s">
        <v>5470</v>
      </c>
      <c r="O1152" t="s">
        <v>5476</v>
      </c>
    </row>
    <row r="1153" spans="1:15" x14ac:dyDescent="0.3">
      <c r="A1153" t="s">
        <v>1130</v>
      </c>
      <c r="B1153" t="s">
        <v>2404</v>
      </c>
      <c r="C1153" t="s">
        <v>3192</v>
      </c>
      <c r="D1153" t="s">
        <v>4289</v>
      </c>
      <c r="E1153" t="s">
        <v>4548</v>
      </c>
      <c r="F1153" t="s">
        <v>4578</v>
      </c>
      <c r="G1153" t="s">
        <v>4585</v>
      </c>
      <c r="H1153" t="s">
        <v>4591</v>
      </c>
      <c r="I1153">
        <v>-1</v>
      </c>
      <c r="J1153" t="s">
        <v>5288</v>
      </c>
      <c r="K1153">
        <v>0</v>
      </c>
      <c r="L1153">
        <v>1.54</v>
      </c>
      <c r="N1153" t="s">
        <v>5474</v>
      </c>
      <c r="O1153" t="s">
        <v>5478</v>
      </c>
    </row>
    <row r="1154" spans="1:15" x14ac:dyDescent="0.3">
      <c r="A1154" t="s">
        <v>1131</v>
      </c>
      <c r="B1154" t="s">
        <v>2405</v>
      </c>
      <c r="C1154" t="s">
        <v>3193</v>
      </c>
      <c r="D1154" t="s">
        <v>4290</v>
      </c>
      <c r="E1154" t="s">
        <v>4556</v>
      </c>
      <c r="F1154" t="s">
        <v>4579</v>
      </c>
      <c r="G1154" t="s">
        <v>4587</v>
      </c>
      <c r="H1154" t="s">
        <v>4600</v>
      </c>
      <c r="I1154">
        <v>4</v>
      </c>
      <c r="J1154">
        <v>13.06</v>
      </c>
      <c r="K1154">
        <v>0.1</v>
      </c>
      <c r="L1154">
        <v>11.6</v>
      </c>
      <c r="M1154" t="s">
        <v>5468</v>
      </c>
      <c r="N1154" t="s">
        <v>5474</v>
      </c>
      <c r="O1154" t="s">
        <v>5475</v>
      </c>
    </row>
    <row r="1155" spans="1:15" x14ac:dyDescent="0.3">
      <c r="A1155" t="s">
        <v>1132</v>
      </c>
      <c r="B1155" t="s">
        <v>2406</v>
      </c>
      <c r="C1155" t="s">
        <v>2851</v>
      </c>
      <c r="D1155" t="s">
        <v>4291</v>
      </c>
      <c r="E1155" t="s">
        <v>4561</v>
      </c>
      <c r="F1155" t="s">
        <v>4580</v>
      </c>
      <c r="G1155" t="s">
        <v>4584</v>
      </c>
      <c r="H1155" t="s">
        <v>4595</v>
      </c>
      <c r="I1155">
        <v>4</v>
      </c>
      <c r="J1155">
        <v>40.93</v>
      </c>
      <c r="K1155">
        <v>0.1</v>
      </c>
      <c r="L1155">
        <v>9.68</v>
      </c>
      <c r="M1155" t="s">
        <v>5466</v>
      </c>
      <c r="O1155" t="s">
        <v>5479</v>
      </c>
    </row>
    <row r="1156" spans="1:15" x14ac:dyDescent="0.3">
      <c r="A1156" t="s">
        <v>1133</v>
      </c>
      <c r="B1156" t="s">
        <v>2407</v>
      </c>
      <c r="C1156" t="s">
        <v>3015</v>
      </c>
      <c r="D1156" t="s">
        <v>4292</v>
      </c>
      <c r="E1156" t="s">
        <v>4560</v>
      </c>
      <c r="F1156" t="s">
        <v>4574</v>
      </c>
      <c r="G1156" t="s">
        <v>4586</v>
      </c>
      <c r="H1156" t="s">
        <v>4599</v>
      </c>
      <c r="I1156">
        <v>-1</v>
      </c>
      <c r="J1156">
        <v>248.26</v>
      </c>
      <c r="K1156" t="s">
        <v>5461</v>
      </c>
      <c r="L1156">
        <v>8.5399999999999991</v>
      </c>
      <c r="M1156" t="s">
        <v>5468</v>
      </c>
      <c r="N1156" t="s">
        <v>5474</v>
      </c>
      <c r="O1156" t="s">
        <v>5475</v>
      </c>
    </row>
    <row r="1157" spans="1:15" x14ac:dyDescent="0.3">
      <c r="A1157" t="s">
        <v>1134</v>
      </c>
      <c r="B1157" t="s">
        <v>2223</v>
      </c>
      <c r="C1157" t="s">
        <v>2910</v>
      </c>
      <c r="D1157" t="s">
        <v>4293</v>
      </c>
      <c r="E1157" t="s">
        <v>4547</v>
      </c>
      <c r="F1157" t="s">
        <v>4580</v>
      </c>
      <c r="G1157" t="s">
        <v>4583</v>
      </c>
      <c r="H1157" t="s">
        <v>4604</v>
      </c>
      <c r="I1157">
        <v>5</v>
      </c>
      <c r="J1157">
        <v>23.31</v>
      </c>
      <c r="K1157">
        <v>0.05</v>
      </c>
      <c r="L1157">
        <v>7.61</v>
      </c>
      <c r="M1157" t="s">
        <v>5462</v>
      </c>
      <c r="N1157" t="s">
        <v>5471</v>
      </c>
      <c r="O1157" t="s">
        <v>5479</v>
      </c>
    </row>
    <row r="1158" spans="1:15" x14ac:dyDescent="0.3">
      <c r="A1158" t="s">
        <v>1135</v>
      </c>
      <c r="B1158" t="s">
        <v>2408</v>
      </c>
      <c r="C1158" t="s">
        <v>2640</v>
      </c>
      <c r="D1158" t="s">
        <v>4294</v>
      </c>
      <c r="E1158" t="s">
        <v>4558</v>
      </c>
      <c r="F1158" t="s">
        <v>4581</v>
      </c>
      <c r="G1158" t="s">
        <v>4584</v>
      </c>
      <c r="H1158" t="s">
        <v>4607</v>
      </c>
      <c r="I1158">
        <v>10</v>
      </c>
      <c r="J1158" t="s">
        <v>5289</v>
      </c>
      <c r="L1158">
        <v>0.77</v>
      </c>
      <c r="M1158" t="s">
        <v>5468</v>
      </c>
      <c r="N1158" t="s">
        <v>5471</v>
      </c>
      <c r="O1158" t="s">
        <v>5477</v>
      </c>
    </row>
    <row r="1159" spans="1:15" x14ac:dyDescent="0.3">
      <c r="A1159" t="s">
        <v>1136</v>
      </c>
      <c r="B1159" t="s">
        <v>2409</v>
      </c>
      <c r="C1159" t="s">
        <v>2629</v>
      </c>
      <c r="E1159" t="s">
        <v>4547</v>
      </c>
      <c r="F1159" t="s">
        <v>4581</v>
      </c>
      <c r="G1159" t="s">
        <v>4586</v>
      </c>
      <c r="H1159" t="s">
        <v>4609</v>
      </c>
      <c r="I1159">
        <v>1</v>
      </c>
      <c r="J1159" t="s">
        <v>5290</v>
      </c>
      <c r="L1159">
        <v>8.9600000000000009</v>
      </c>
      <c r="M1159" t="s">
        <v>5468</v>
      </c>
      <c r="N1159" t="s">
        <v>5469</v>
      </c>
      <c r="O1159" t="s">
        <v>5477</v>
      </c>
    </row>
    <row r="1160" spans="1:15" x14ac:dyDescent="0.3">
      <c r="A1160" t="s">
        <v>497</v>
      </c>
      <c r="B1160" t="s">
        <v>1878</v>
      </c>
      <c r="C1160" t="s">
        <v>2963</v>
      </c>
      <c r="D1160" t="s">
        <v>3707</v>
      </c>
      <c r="E1160" t="s">
        <v>4557</v>
      </c>
      <c r="F1160" t="s">
        <v>4581</v>
      </c>
      <c r="G1160" t="s">
        <v>4584</v>
      </c>
      <c r="H1160" t="s">
        <v>4603</v>
      </c>
      <c r="I1160">
        <v>5</v>
      </c>
      <c r="J1160" t="s">
        <v>4924</v>
      </c>
      <c r="K1160">
        <v>0.05</v>
      </c>
      <c r="L1160">
        <v>8.33</v>
      </c>
      <c r="M1160" t="s">
        <v>5464</v>
      </c>
      <c r="N1160" t="s">
        <v>5473</v>
      </c>
      <c r="O1160" t="s">
        <v>5478</v>
      </c>
    </row>
    <row r="1161" spans="1:15" x14ac:dyDescent="0.3">
      <c r="A1161" t="s">
        <v>137</v>
      </c>
      <c r="B1161" t="s">
        <v>1535</v>
      </c>
      <c r="C1161" t="s">
        <v>2733</v>
      </c>
      <c r="D1161" t="s">
        <v>3374</v>
      </c>
      <c r="E1161" t="s">
        <v>4556</v>
      </c>
      <c r="F1161" t="s">
        <v>4579</v>
      </c>
      <c r="G1161" t="s">
        <v>4584</v>
      </c>
      <c r="H1161" t="s">
        <v>4607</v>
      </c>
      <c r="I1161">
        <v>2</v>
      </c>
      <c r="J1161" t="s">
        <v>4696</v>
      </c>
      <c r="K1161">
        <v>0</v>
      </c>
      <c r="L1161">
        <v>8.18</v>
      </c>
      <c r="M1161" t="s">
        <v>5463</v>
      </c>
      <c r="N1161" t="s">
        <v>5469</v>
      </c>
      <c r="O1161" t="s">
        <v>5476</v>
      </c>
    </row>
    <row r="1162" spans="1:15" x14ac:dyDescent="0.3">
      <c r="A1162" t="s">
        <v>1137</v>
      </c>
      <c r="B1162" t="s">
        <v>2410</v>
      </c>
      <c r="C1162" t="s">
        <v>3194</v>
      </c>
      <c r="D1162" t="s">
        <v>4295</v>
      </c>
      <c r="E1162" t="s">
        <v>4569</v>
      </c>
      <c r="F1162" t="s">
        <v>4581</v>
      </c>
      <c r="G1162" t="s">
        <v>4587</v>
      </c>
      <c r="H1162" t="s">
        <v>4594</v>
      </c>
      <c r="I1162">
        <v>2</v>
      </c>
      <c r="J1162" t="s">
        <v>5291</v>
      </c>
      <c r="K1162">
        <v>0.05</v>
      </c>
      <c r="L1162">
        <v>2.02</v>
      </c>
      <c r="M1162" t="s">
        <v>5466</v>
      </c>
      <c r="N1162" t="s">
        <v>5469</v>
      </c>
      <c r="O1162" t="s">
        <v>5479</v>
      </c>
    </row>
    <row r="1163" spans="1:15" x14ac:dyDescent="0.3">
      <c r="A1163" t="s">
        <v>1138</v>
      </c>
      <c r="B1163" t="s">
        <v>2411</v>
      </c>
      <c r="C1163" t="s">
        <v>3004</v>
      </c>
      <c r="D1163" t="s">
        <v>4296</v>
      </c>
      <c r="E1163" t="s">
        <v>4551</v>
      </c>
      <c r="F1163" t="s">
        <v>4575</v>
      </c>
      <c r="G1163" t="s">
        <v>4584</v>
      </c>
      <c r="H1163" t="s">
        <v>4608</v>
      </c>
      <c r="I1163">
        <v>1</v>
      </c>
      <c r="J1163" t="s">
        <v>5292</v>
      </c>
      <c r="K1163" t="s">
        <v>5460</v>
      </c>
      <c r="L1163">
        <v>12.45</v>
      </c>
      <c r="N1163" t="s">
        <v>5474</v>
      </c>
      <c r="O1163" t="s">
        <v>5476</v>
      </c>
    </row>
    <row r="1164" spans="1:15" x14ac:dyDescent="0.3">
      <c r="A1164" t="s">
        <v>1139</v>
      </c>
      <c r="B1164" t="s">
        <v>2412</v>
      </c>
      <c r="C1164" t="s">
        <v>3195</v>
      </c>
      <c r="D1164" t="s">
        <v>4297</v>
      </c>
      <c r="E1164" t="s">
        <v>4561</v>
      </c>
      <c r="F1164" t="s">
        <v>4572</v>
      </c>
      <c r="G1164" t="s">
        <v>4585</v>
      </c>
      <c r="H1164" t="s">
        <v>4602</v>
      </c>
      <c r="I1164">
        <v>-1</v>
      </c>
      <c r="J1164" t="s">
        <v>4712</v>
      </c>
      <c r="K1164">
        <v>0.15</v>
      </c>
      <c r="L1164">
        <v>12.23</v>
      </c>
      <c r="M1164" t="s">
        <v>5465</v>
      </c>
      <c r="N1164" t="s">
        <v>5471</v>
      </c>
      <c r="O1164" t="s">
        <v>5476</v>
      </c>
    </row>
    <row r="1165" spans="1:15" x14ac:dyDescent="0.3">
      <c r="A1165" t="s">
        <v>1140</v>
      </c>
      <c r="B1165" t="s">
        <v>2413</v>
      </c>
      <c r="C1165" t="s">
        <v>3063</v>
      </c>
      <c r="D1165" t="s">
        <v>4298</v>
      </c>
      <c r="E1165" t="s">
        <v>4547</v>
      </c>
      <c r="F1165" t="s">
        <v>4572</v>
      </c>
      <c r="G1165" t="s">
        <v>4584</v>
      </c>
      <c r="H1165" t="s">
        <v>4608</v>
      </c>
      <c r="I1165">
        <v>5</v>
      </c>
      <c r="J1165">
        <v>18.09</v>
      </c>
      <c r="K1165">
        <v>0</v>
      </c>
      <c r="L1165">
        <v>10.38</v>
      </c>
      <c r="M1165" t="s">
        <v>5466</v>
      </c>
      <c r="O1165" t="s">
        <v>5477</v>
      </c>
    </row>
    <row r="1166" spans="1:15" x14ac:dyDescent="0.3">
      <c r="A1166" t="s">
        <v>1141</v>
      </c>
      <c r="B1166" t="s">
        <v>2098</v>
      </c>
      <c r="C1166" t="s">
        <v>2851</v>
      </c>
      <c r="D1166" t="s">
        <v>4299</v>
      </c>
      <c r="E1166" t="s">
        <v>4553</v>
      </c>
      <c r="F1166" t="s">
        <v>4582</v>
      </c>
      <c r="G1166" t="s">
        <v>4584</v>
      </c>
      <c r="H1166" t="s">
        <v>4589</v>
      </c>
      <c r="I1166">
        <v>1</v>
      </c>
      <c r="J1166" t="s">
        <v>5293</v>
      </c>
      <c r="K1166">
        <v>0</v>
      </c>
      <c r="L1166">
        <v>13.38</v>
      </c>
      <c r="M1166" t="s">
        <v>5463</v>
      </c>
      <c r="N1166" t="s">
        <v>5469</v>
      </c>
      <c r="O1166" t="s">
        <v>5476</v>
      </c>
    </row>
    <row r="1167" spans="1:15" x14ac:dyDescent="0.3">
      <c r="A1167" t="s">
        <v>1142</v>
      </c>
      <c r="B1167" t="s">
        <v>1464</v>
      </c>
      <c r="C1167" t="s">
        <v>3074</v>
      </c>
      <c r="D1167" t="s">
        <v>4300</v>
      </c>
      <c r="E1167" t="s">
        <v>4569</v>
      </c>
      <c r="F1167" t="s">
        <v>4572</v>
      </c>
      <c r="G1167" t="s">
        <v>4583</v>
      </c>
      <c r="H1167" t="s">
        <v>4610</v>
      </c>
      <c r="I1167">
        <v>1</v>
      </c>
      <c r="J1167" t="s">
        <v>5294</v>
      </c>
      <c r="K1167">
        <v>0</v>
      </c>
      <c r="L1167">
        <v>0</v>
      </c>
      <c r="M1167" t="s">
        <v>5467</v>
      </c>
      <c r="N1167" t="s">
        <v>5473</v>
      </c>
      <c r="O1167" t="s">
        <v>5477</v>
      </c>
    </row>
    <row r="1168" spans="1:15" x14ac:dyDescent="0.3">
      <c r="A1168" t="s">
        <v>1143</v>
      </c>
      <c r="B1168" t="s">
        <v>2414</v>
      </c>
      <c r="C1168" t="s">
        <v>2997</v>
      </c>
      <c r="D1168" t="s">
        <v>4301</v>
      </c>
      <c r="E1168" t="s">
        <v>4553</v>
      </c>
      <c r="F1168" t="s">
        <v>4573</v>
      </c>
      <c r="G1168" t="s">
        <v>4583</v>
      </c>
      <c r="H1168" t="s">
        <v>4610</v>
      </c>
      <c r="I1168">
        <v>10</v>
      </c>
      <c r="J1168" t="s">
        <v>5295</v>
      </c>
      <c r="K1168">
        <v>0</v>
      </c>
      <c r="L1168">
        <v>13.78</v>
      </c>
      <c r="M1168" t="s">
        <v>5462</v>
      </c>
      <c r="O1168" t="s">
        <v>5477</v>
      </c>
    </row>
    <row r="1169" spans="1:15" x14ac:dyDescent="0.3">
      <c r="A1169" t="s">
        <v>1144</v>
      </c>
      <c r="B1169" t="s">
        <v>2109</v>
      </c>
      <c r="C1169" t="s">
        <v>2939</v>
      </c>
      <c r="D1169" t="s">
        <v>4302</v>
      </c>
      <c r="E1169" t="s">
        <v>4552</v>
      </c>
      <c r="F1169" t="s">
        <v>4576</v>
      </c>
      <c r="G1169" t="s">
        <v>4586</v>
      </c>
      <c r="H1169" t="s">
        <v>4609</v>
      </c>
      <c r="I1169">
        <v>2</v>
      </c>
      <c r="J1169" t="s">
        <v>5296</v>
      </c>
      <c r="K1169">
        <v>0.05</v>
      </c>
      <c r="L1169">
        <v>10.220000000000001</v>
      </c>
      <c r="M1169" t="s">
        <v>5462</v>
      </c>
      <c r="N1169" t="s">
        <v>5474</v>
      </c>
      <c r="O1169" t="s">
        <v>5477</v>
      </c>
    </row>
    <row r="1170" spans="1:15" x14ac:dyDescent="0.3">
      <c r="A1170" t="s">
        <v>1145</v>
      </c>
      <c r="B1170" t="s">
        <v>2415</v>
      </c>
      <c r="C1170" t="s">
        <v>3196</v>
      </c>
      <c r="D1170" t="s">
        <v>4303</v>
      </c>
      <c r="E1170" t="s">
        <v>4568</v>
      </c>
      <c r="F1170" t="s">
        <v>4582</v>
      </c>
      <c r="G1170" t="s">
        <v>4584</v>
      </c>
      <c r="H1170" t="s">
        <v>4603</v>
      </c>
      <c r="I1170">
        <v>10</v>
      </c>
      <c r="J1170" t="s">
        <v>5297</v>
      </c>
      <c r="K1170">
        <v>0</v>
      </c>
      <c r="L1170">
        <v>1.62</v>
      </c>
      <c r="M1170" t="s">
        <v>5464</v>
      </c>
      <c r="N1170" t="s">
        <v>5473</v>
      </c>
      <c r="O1170" t="s">
        <v>5478</v>
      </c>
    </row>
    <row r="1171" spans="1:15" x14ac:dyDescent="0.3">
      <c r="A1171" t="s">
        <v>1146</v>
      </c>
      <c r="B1171" t="s">
        <v>2416</v>
      </c>
      <c r="C1171" t="s">
        <v>2769</v>
      </c>
      <c r="D1171" t="s">
        <v>4304</v>
      </c>
      <c r="E1171" t="s">
        <v>4555</v>
      </c>
      <c r="F1171" t="s">
        <v>4573</v>
      </c>
      <c r="G1171" t="s">
        <v>4583</v>
      </c>
      <c r="H1171" t="s">
        <v>4610</v>
      </c>
      <c r="I1171">
        <v>1</v>
      </c>
      <c r="J1171" t="s">
        <v>5298</v>
      </c>
      <c r="K1171">
        <v>0</v>
      </c>
      <c r="L1171">
        <v>13.91</v>
      </c>
      <c r="N1171" t="s">
        <v>5470</v>
      </c>
      <c r="O1171" t="s">
        <v>5475</v>
      </c>
    </row>
    <row r="1172" spans="1:15" x14ac:dyDescent="0.3">
      <c r="A1172" t="s">
        <v>1147</v>
      </c>
      <c r="B1172" t="s">
        <v>2417</v>
      </c>
      <c r="C1172" t="s">
        <v>3069</v>
      </c>
      <c r="D1172" t="s">
        <v>4305</v>
      </c>
      <c r="E1172" t="s">
        <v>4557</v>
      </c>
      <c r="G1172" t="s">
        <v>4586</v>
      </c>
      <c r="H1172" t="s">
        <v>4609</v>
      </c>
      <c r="I1172">
        <v>3</v>
      </c>
      <c r="J1172" t="s">
        <v>5299</v>
      </c>
      <c r="K1172">
        <v>0</v>
      </c>
      <c r="L1172">
        <v>1.61</v>
      </c>
      <c r="M1172" t="s">
        <v>5462</v>
      </c>
      <c r="N1172" t="s">
        <v>5470</v>
      </c>
      <c r="O1172" t="s">
        <v>5480</v>
      </c>
    </row>
    <row r="1173" spans="1:15" x14ac:dyDescent="0.3">
      <c r="A1173" t="s">
        <v>1148</v>
      </c>
      <c r="B1173" t="s">
        <v>2418</v>
      </c>
      <c r="C1173" t="s">
        <v>3070</v>
      </c>
      <c r="E1173" t="s">
        <v>4561</v>
      </c>
      <c r="G1173" t="s">
        <v>4586</v>
      </c>
      <c r="H1173" t="s">
        <v>4599</v>
      </c>
      <c r="I1173">
        <v>5</v>
      </c>
      <c r="J1173">
        <v>236.78</v>
      </c>
      <c r="K1173" t="s">
        <v>5461</v>
      </c>
      <c r="L1173">
        <v>12.13</v>
      </c>
      <c r="M1173" t="s">
        <v>5468</v>
      </c>
      <c r="N1173" t="s">
        <v>5470</v>
      </c>
      <c r="O1173" t="s">
        <v>5478</v>
      </c>
    </row>
    <row r="1174" spans="1:15" x14ac:dyDescent="0.3">
      <c r="A1174" t="s">
        <v>1149</v>
      </c>
      <c r="B1174" t="s">
        <v>2419</v>
      </c>
      <c r="C1174" t="s">
        <v>3026</v>
      </c>
      <c r="D1174" t="s">
        <v>4306</v>
      </c>
      <c r="E1174" t="s">
        <v>4554</v>
      </c>
      <c r="F1174" t="s">
        <v>4573</v>
      </c>
      <c r="G1174" t="s">
        <v>4584</v>
      </c>
      <c r="H1174" t="s">
        <v>4601</v>
      </c>
      <c r="I1174">
        <v>-1</v>
      </c>
      <c r="J1174" t="s">
        <v>5300</v>
      </c>
      <c r="K1174">
        <v>0</v>
      </c>
      <c r="L1174">
        <v>12.61</v>
      </c>
      <c r="M1174" t="s">
        <v>5463</v>
      </c>
      <c r="N1174" t="s">
        <v>5470</v>
      </c>
      <c r="O1174" t="s">
        <v>5477</v>
      </c>
    </row>
    <row r="1175" spans="1:15" x14ac:dyDescent="0.3">
      <c r="A1175" t="s">
        <v>1150</v>
      </c>
      <c r="B1175" t="s">
        <v>2420</v>
      </c>
      <c r="C1175" t="s">
        <v>2866</v>
      </c>
      <c r="D1175" t="s">
        <v>4307</v>
      </c>
      <c r="E1175" t="s">
        <v>4554</v>
      </c>
      <c r="F1175" t="s">
        <v>4573</v>
      </c>
      <c r="G1175" t="s">
        <v>4583</v>
      </c>
      <c r="H1175" t="s">
        <v>4588</v>
      </c>
      <c r="I1175">
        <v>-1</v>
      </c>
      <c r="J1175" t="s">
        <v>5301</v>
      </c>
      <c r="K1175">
        <v>0.1</v>
      </c>
      <c r="L1175">
        <v>1.53</v>
      </c>
      <c r="M1175" t="s">
        <v>5466</v>
      </c>
      <c r="N1175" t="s">
        <v>5474</v>
      </c>
      <c r="O1175" t="s">
        <v>5475</v>
      </c>
    </row>
    <row r="1176" spans="1:15" x14ac:dyDescent="0.3">
      <c r="A1176" t="s">
        <v>1151</v>
      </c>
      <c r="B1176" t="s">
        <v>2421</v>
      </c>
      <c r="C1176" t="s">
        <v>2632</v>
      </c>
      <c r="D1176" t="s">
        <v>4308</v>
      </c>
      <c r="E1176" t="s">
        <v>4558</v>
      </c>
      <c r="F1176" t="s">
        <v>4572</v>
      </c>
      <c r="G1176" t="s">
        <v>4587</v>
      </c>
      <c r="H1176" t="s">
        <v>4594</v>
      </c>
      <c r="I1176">
        <v>-1</v>
      </c>
      <c r="J1176" t="s">
        <v>5302</v>
      </c>
      <c r="K1176">
        <v>0</v>
      </c>
      <c r="L1176">
        <v>0</v>
      </c>
      <c r="M1176" t="s">
        <v>5462</v>
      </c>
      <c r="N1176" t="s">
        <v>5473</v>
      </c>
      <c r="O1176" t="s">
        <v>5477</v>
      </c>
    </row>
    <row r="1177" spans="1:15" x14ac:dyDescent="0.3">
      <c r="A1177" t="s">
        <v>1152</v>
      </c>
      <c r="B1177" t="s">
        <v>2422</v>
      </c>
      <c r="C1177" t="s">
        <v>2708</v>
      </c>
      <c r="D1177" t="s">
        <v>4309</v>
      </c>
      <c r="E1177" t="s">
        <v>4570</v>
      </c>
      <c r="F1177" t="s">
        <v>4574</v>
      </c>
      <c r="G1177" t="s">
        <v>4587</v>
      </c>
      <c r="H1177" t="s">
        <v>4594</v>
      </c>
      <c r="I1177">
        <v>3</v>
      </c>
      <c r="J1177" t="s">
        <v>5303</v>
      </c>
      <c r="K1177">
        <v>0.1</v>
      </c>
      <c r="L1177">
        <v>1.91</v>
      </c>
      <c r="M1177" t="s">
        <v>5462</v>
      </c>
      <c r="N1177" t="s">
        <v>5469</v>
      </c>
      <c r="O1177" t="s">
        <v>5475</v>
      </c>
    </row>
    <row r="1178" spans="1:15" x14ac:dyDescent="0.3">
      <c r="A1178" t="s">
        <v>1153</v>
      </c>
      <c r="B1178" t="s">
        <v>1602</v>
      </c>
      <c r="C1178" t="s">
        <v>2754</v>
      </c>
      <c r="D1178" t="s">
        <v>4310</v>
      </c>
      <c r="E1178" t="s">
        <v>4549</v>
      </c>
      <c r="F1178" t="s">
        <v>4574</v>
      </c>
      <c r="G1178" t="s">
        <v>4587</v>
      </c>
      <c r="H1178" t="s">
        <v>4606</v>
      </c>
      <c r="I1178">
        <v>1</v>
      </c>
      <c r="J1178">
        <v>28.94</v>
      </c>
      <c r="K1178">
        <v>0.1</v>
      </c>
      <c r="L1178">
        <v>0</v>
      </c>
      <c r="M1178" t="s">
        <v>5463</v>
      </c>
      <c r="N1178" t="s">
        <v>5472</v>
      </c>
      <c r="O1178" t="s">
        <v>5477</v>
      </c>
    </row>
    <row r="1179" spans="1:15" x14ac:dyDescent="0.3">
      <c r="A1179" t="s">
        <v>1154</v>
      </c>
      <c r="B1179" t="s">
        <v>2423</v>
      </c>
      <c r="C1179" t="s">
        <v>3072</v>
      </c>
      <c r="D1179" t="s">
        <v>4311</v>
      </c>
      <c r="E1179" t="s">
        <v>4562</v>
      </c>
      <c r="F1179" t="s">
        <v>4575</v>
      </c>
      <c r="G1179" t="s">
        <v>4584</v>
      </c>
      <c r="H1179" t="s">
        <v>4608</v>
      </c>
      <c r="I1179">
        <v>5</v>
      </c>
      <c r="J1179" t="s">
        <v>5304</v>
      </c>
      <c r="K1179">
        <v>0</v>
      </c>
      <c r="L1179">
        <v>13.74</v>
      </c>
      <c r="M1179" t="s">
        <v>5462</v>
      </c>
      <c r="N1179" t="s">
        <v>5473</v>
      </c>
      <c r="O1179" t="s">
        <v>5477</v>
      </c>
    </row>
    <row r="1180" spans="1:15" x14ac:dyDescent="0.3">
      <c r="A1180" t="s">
        <v>1155</v>
      </c>
      <c r="B1180" t="s">
        <v>2424</v>
      </c>
      <c r="C1180" t="s">
        <v>2726</v>
      </c>
      <c r="D1180" t="s">
        <v>4312</v>
      </c>
      <c r="E1180" t="s">
        <v>4558</v>
      </c>
      <c r="F1180" t="s">
        <v>4572</v>
      </c>
      <c r="G1180" t="s">
        <v>4586</v>
      </c>
      <c r="H1180" t="s">
        <v>4597</v>
      </c>
      <c r="I1180">
        <v>2</v>
      </c>
      <c r="J1180" t="s">
        <v>5305</v>
      </c>
      <c r="K1180">
        <v>0.05</v>
      </c>
      <c r="L1180">
        <v>0.02</v>
      </c>
      <c r="M1180" t="s">
        <v>5465</v>
      </c>
      <c r="O1180" t="s">
        <v>5478</v>
      </c>
    </row>
    <row r="1181" spans="1:15" x14ac:dyDescent="0.3">
      <c r="A1181" t="s">
        <v>1156</v>
      </c>
      <c r="B1181" t="s">
        <v>2425</v>
      </c>
      <c r="C1181" t="s">
        <v>3120</v>
      </c>
      <c r="D1181" t="s">
        <v>4313</v>
      </c>
      <c r="E1181" t="s">
        <v>4550</v>
      </c>
      <c r="F1181" t="s">
        <v>4573</v>
      </c>
      <c r="G1181" t="s">
        <v>4584</v>
      </c>
      <c r="H1181" t="s">
        <v>4608</v>
      </c>
      <c r="I1181">
        <v>10</v>
      </c>
      <c r="J1181" t="s">
        <v>5306</v>
      </c>
      <c r="K1181">
        <v>0.15</v>
      </c>
      <c r="L1181">
        <v>4.6500000000000004</v>
      </c>
      <c r="M1181" t="s">
        <v>5462</v>
      </c>
      <c r="N1181" t="s">
        <v>5474</v>
      </c>
      <c r="O1181" t="s">
        <v>5479</v>
      </c>
    </row>
    <row r="1182" spans="1:15" x14ac:dyDescent="0.3">
      <c r="A1182" t="s">
        <v>1060</v>
      </c>
      <c r="B1182" t="s">
        <v>2345</v>
      </c>
      <c r="C1182" t="s">
        <v>2990</v>
      </c>
      <c r="D1182" t="s">
        <v>4227</v>
      </c>
      <c r="E1182" t="s">
        <v>4563</v>
      </c>
      <c r="F1182" t="s">
        <v>4573</v>
      </c>
      <c r="G1182" t="s">
        <v>4587</v>
      </c>
      <c r="H1182" t="s">
        <v>4606</v>
      </c>
      <c r="I1182">
        <v>2</v>
      </c>
      <c r="J1182" t="s">
        <v>5245</v>
      </c>
      <c r="K1182">
        <v>0.05</v>
      </c>
      <c r="L1182">
        <v>3.11</v>
      </c>
      <c r="M1182" t="s">
        <v>5466</v>
      </c>
      <c r="N1182" t="s">
        <v>5469</v>
      </c>
      <c r="O1182" t="s">
        <v>5479</v>
      </c>
    </row>
    <row r="1183" spans="1:15" x14ac:dyDescent="0.3">
      <c r="A1183" t="s">
        <v>1157</v>
      </c>
      <c r="B1183" t="s">
        <v>1849</v>
      </c>
      <c r="C1183" t="s">
        <v>3105</v>
      </c>
      <c r="D1183" t="s">
        <v>4314</v>
      </c>
      <c r="E1183" t="s">
        <v>4559</v>
      </c>
      <c r="F1183" t="s">
        <v>4573</v>
      </c>
      <c r="G1183" t="s">
        <v>4584</v>
      </c>
      <c r="H1183" t="s">
        <v>4589</v>
      </c>
      <c r="I1183">
        <v>-1</v>
      </c>
      <c r="J1183">
        <v>33.93</v>
      </c>
      <c r="K1183" t="s">
        <v>5461</v>
      </c>
      <c r="L1183">
        <v>3.07</v>
      </c>
      <c r="M1183" t="s">
        <v>5467</v>
      </c>
      <c r="N1183" t="s">
        <v>5472</v>
      </c>
      <c r="O1183" t="s">
        <v>5477</v>
      </c>
    </row>
    <row r="1184" spans="1:15" x14ac:dyDescent="0.3">
      <c r="A1184" t="s">
        <v>1158</v>
      </c>
      <c r="B1184" t="s">
        <v>2073</v>
      </c>
      <c r="C1184" t="s">
        <v>2634</v>
      </c>
      <c r="D1184" t="s">
        <v>4315</v>
      </c>
      <c r="E1184" t="s">
        <v>4565</v>
      </c>
      <c r="F1184" t="s">
        <v>4579</v>
      </c>
      <c r="G1184" t="s">
        <v>4587</v>
      </c>
      <c r="H1184" t="s">
        <v>4594</v>
      </c>
      <c r="I1184">
        <v>2</v>
      </c>
      <c r="J1184" t="s">
        <v>5307</v>
      </c>
      <c r="K1184">
        <v>0</v>
      </c>
      <c r="L1184">
        <v>6.37</v>
      </c>
      <c r="M1184" t="s">
        <v>5466</v>
      </c>
      <c r="N1184" t="s">
        <v>5473</v>
      </c>
      <c r="O1184" t="s">
        <v>5479</v>
      </c>
    </row>
    <row r="1185" spans="1:15" x14ac:dyDescent="0.3">
      <c r="A1185" t="s">
        <v>1159</v>
      </c>
      <c r="B1185" t="s">
        <v>2426</v>
      </c>
      <c r="C1185" t="s">
        <v>3197</v>
      </c>
      <c r="D1185" t="s">
        <v>4316</v>
      </c>
      <c r="E1185" t="s">
        <v>4563</v>
      </c>
      <c r="F1185" t="s">
        <v>4578</v>
      </c>
      <c r="G1185" t="s">
        <v>4586</v>
      </c>
      <c r="H1185" t="s">
        <v>4599</v>
      </c>
      <c r="I1185">
        <v>5</v>
      </c>
      <c r="J1185" t="s">
        <v>5308</v>
      </c>
      <c r="K1185">
        <v>0.15</v>
      </c>
      <c r="L1185">
        <v>2.92</v>
      </c>
      <c r="M1185" t="s">
        <v>5462</v>
      </c>
      <c r="N1185" t="s">
        <v>5472</v>
      </c>
      <c r="O1185" t="s">
        <v>5477</v>
      </c>
    </row>
    <row r="1186" spans="1:15" x14ac:dyDescent="0.3">
      <c r="A1186" t="s">
        <v>1160</v>
      </c>
      <c r="B1186" t="s">
        <v>2344</v>
      </c>
      <c r="C1186" t="s">
        <v>3198</v>
      </c>
      <c r="D1186" t="s">
        <v>4317</v>
      </c>
      <c r="E1186" t="s">
        <v>4547</v>
      </c>
      <c r="G1186" t="s">
        <v>4583</v>
      </c>
      <c r="H1186" t="s">
        <v>4605</v>
      </c>
      <c r="I1186">
        <v>1</v>
      </c>
      <c r="J1186" t="s">
        <v>5309</v>
      </c>
      <c r="K1186">
        <v>0</v>
      </c>
      <c r="L1186">
        <v>6.03</v>
      </c>
      <c r="N1186" t="s">
        <v>5469</v>
      </c>
      <c r="O1186" t="s">
        <v>5477</v>
      </c>
    </row>
    <row r="1187" spans="1:15" x14ac:dyDescent="0.3">
      <c r="A1187" t="s">
        <v>1161</v>
      </c>
      <c r="B1187" t="s">
        <v>2427</v>
      </c>
      <c r="C1187" t="s">
        <v>3199</v>
      </c>
      <c r="D1187" t="s">
        <v>4318</v>
      </c>
      <c r="E1187" t="s">
        <v>4557</v>
      </c>
      <c r="F1187" t="s">
        <v>4581</v>
      </c>
      <c r="G1187" t="s">
        <v>4583</v>
      </c>
      <c r="H1187" t="s">
        <v>4604</v>
      </c>
      <c r="I1187">
        <v>3</v>
      </c>
      <c r="J1187">
        <v>22</v>
      </c>
      <c r="K1187">
        <v>0.15</v>
      </c>
      <c r="L1187">
        <v>12</v>
      </c>
      <c r="M1187" t="s">
        <v>5466</v>
      </c>
      <c r="N1187" t="s">
        <v>5474</v>
      </c>
      <c r="O1187" t="s">
        <v>5478</v>
      </c>
    </row>
    <row r="1188" spans="1:15" x14ac:dyDescent="0.3">
      <c r="A1188" t="s">
        <v>1162</v>
      </c>
      <c r="B1188" t="s">
        <v>1725</v>
      </c>
      <c r="C1188" t="s">
        <v>3200</v>
      </c>
      <c r="D1188" t="s">
        <v>4319</v>
      </c>
      <c r="E1188" t="s">
        <v>4555</v>
      </c>
      <c r="F1188" t="s">
        <v>4573</v>
      </c>
      <c r="H1188" t="s">
        <v>4596</v>
      </c>
      <c r="I1188">
        <v>5</v>
      </c>
      <c r="J1188">
        <v>14.79</v>
      </c>
      <c r="K1188" t="s">
        <v>5461</v>
      </c>
      <c r="L1188">
        <v>3.29</v>
      </c>
      <c r="M1188" t="s">
        <v>5463</v>
      </c>
      <c r="O1188" t="s">
        <v>5477</v>
      </c>
    </row>
    <row r="1189" spans="1:15" x14ac:dyDescent="0.3">
      <c r="A1189" t="s">
        <v>1163</v>
      </c>
      <c r="B1189" t="s">
        <v>2428</v>
      </c>
      <c r="C1189" t="s">
        <v>3201</v>
      </c>
      <c r="E1189" t="s">
        <v>4562</v>
      </c>
      <c r="F1189" t="s">
        <v>4575</v>
      </c>
      <c r="G1189" t="s">
        <v>4584</v>
      </c>
      <c r="H1189" t="s">
        <v>4595</v>
      </c>
      <c r="I1189">
        <v>1</v>
      </c>
      <c r="J1189" t="s">
        <v>5310</v>
      </c>
      <c r="K1189" t="s">
        <v>5460</v>
      </c>
      <c r="L1189">
        <v>0.63</v>
      </c>
      <c r="M1189" t="s">
        <v>5462</v>
      </c>
      <c r="N1189" t="s">
        <v>5470</v>
      </c>
      <c r="O1189" t="s">
        <v>5476</v>
      </c>
    </row>
    <row r="1190" spans="1:15" x14ac:dyDescent="0.3">
      <c r="A1190" t="s">
        <v>1164</v>
      </c>
      <c r="B1190" t="s">
        <v>2429</v>
      </c>
      <c r="C1190" t="s">
        <v>2630</v>
      </c>
      <c r="D1190" t="s">
        <v>4320</v>
      </c>
      <c r="E1190" t="s">
        <v>4558</v>
      </c>
      <c r="F1190" t="s">
        <v>4581</v>
      </c>
      <c r="G1190" t="s">
        <v>4586</v>
      </c>
      <c r="H1190" t="s">
        <v>4593</v>
      </c>
      <c r="I1190">
        <v>10</v>
      </c>
      <c r="J1190">
        <v>109.3</v>
      </c>
      <c r="K1190">
        <v>0</v>
      </c>
      <c r="L1190">
        <v>8.44</v>
      </c>
      <c r="M1190" t="s">
        <v>5467</v>
      </c>
      <c r="O1190" t="s">
        <v>5480</v>
      </c>
    </row>
    <row r="1191" spans="1:15" x14ac:dyDescent="0.3">
      <c r="A1191" t="s">
        <v>1165</v>
      </c>
      <c r="B1191" t="s">
        <v>2430</v>
      </c>
      <c r="C1191" t="s">
        <v>2754</v>
      </c>
      <c r="D1191" t="s">
        <v>4321</v>
      </c>
      <c r="E1191" t="s">
        <v>4548</v>
      </c>
      <c r="F1191" t="s">
        <v>4573</v>
      </c>
      <c r="G1191" t="s">
        <v>4587</v>
      </c>
      <c r="H1191" t="s">
        <v>4606</v>
      </c>
      <c r="I1191">
        <v>2</v>
      </c>
      <c r="J1191" t="s">
        <v>5311</v>
      </c>
      <c r="K1191">
        <v>0</v>
      </c>
      <c r="L1191">
        <v>3.59</v>
      </c>
      <c r="M1191" t="s">
        <v>5465</v>
      </c>
      <c r="O1191" t="s">
        <v>5479</v>
      </c>
    </row>
    <row r="1192" spans="1:15" x14ac:dyDescent="0.3">
      <c r="A1192" t="s">
        <v>1166</v>
      </c>
      <c r="B1192" t="s">
        <v>2431</v>
      </c>
      <c r="C1192" t="s">
        <v>3202</v>
      </c>
      <c r="E1192" t="s">
        <v>4561</v>
      </c>
      <c r="F1192" t="s">
        <v>4581</v>
      </c>
      <c r="G1192" t="s">
        <v>4586</v>
      </c>
      <c r="H1192" t="s">
        <v>4609</v>
      </c>
      <c r="I1192">
        <v>5</v>
      </c>
      <c r="J1192" t="s">
        <v>5312</v>
      </c>
      <c r="K1192">
        <v>0</v>
      </c>
      <c r="L1192">
        <v>13.57</v>
      </c>
      <c r="M1192" t="s">
        <v>5468</v>
      </c>
      <c r="N1192" t="s">
        <v>5473</v>
      </c>
      <c r="O1192" t="s">
        <v>5477</v>
      </c>
    </row>
    <row r="1193" spans="1:15" x14ac:dyDescent="0.3">
      <c r="A1193" t="s">
        <v>45</v>
      </c>
      <c r="B1193" t="s">
        <v>1445</v>
      </c>
      <c r="C1193" t="s">
        <v>2652</v>
      </c>
      <c r="D1193" t="s">
        <v>3292</v>
      </c>
      <c r="E1193" t="s">
        <v>4569</v>
      </c>
      <c r="F1193" t="s">
        <v>4580</v>
      </c>
      <c r="G1193" t="s">
        <v>4586</v>
      </c>
      <c r="H1193" t="s">
        <v>4599</v>
      </c>
      <c r="I1193">
        <v>1</v>
      </c>
      <c r="J1193">
        <v>246.56</v>
      </c>
      <c r="K1193" t="s">
        <v>5461</v>
      </c>
      <c r="L1193">
        <v>9.85</v>
      </c>
      <c r="M1193" t="s">
        <v>5463</v>
      </c>
      <c r="N1193" t="s">
        <v>5473</v>
      </c>
      <c r="O1193" t="s">
        <v>5476</v>
      </c>
    </row>
    <row r="1194" spans="1:15" x14ac:dyDescent="0.3">
      <c r="A1194" t="s">
        <v>1167</v>
      </c>
      <c r="B1194" t="s">
        <v>2432</v>
      </c>
      <c r="C1194" t="s">
        <v>3203</v>
      </c>
      <c r="D1194" t="s">
        <v>4322</v>
      </c>
      <c r="E1194" t="s">
        <v>4562</v>
      </c>
      <c r="F1194" t="s">
        <v>4579</v>
      </c>
      <c r="G1194" t="s">
        <v>4585</v>
      </c>
      <c r="H1194" t="s">
        <v>4602</v>
      </c>
      <c r="I1194">
        <v>1</v>
      </c>
      <c r="J1194" t="s">
        <v>5313</v>
      </c>
      <c r="K1194">
        <v>0</v>
      </c>
      <c r="L1194">
        <v>2.02</v>
      </c>
      <c r="M1194" t="s">
        <v>5462</v>
      </c>
      <c r="O1194" t="s">
        <v>5478</v>
      </c>
    </row>
    <row r="1195" spans="1:15" x14ac:dyDescent="0.3">
      <c r="A1195" t="s">
        <v>1168</v>
      </c>
      <c r="B1195" t="s">
        <v>2433</v>
      </c>
      <c r="C1195" t="s">
        <v>3003</v>
      </c>
      <c r="D1195" t="s">
        <v>4323</v>
      </c>
      <c r="E1195" t="s">
        <v>4568</v>
      </c>
      <c r="F1195" t="s">
        <v>4582</v>
      </c>
      <c r="G1195" t="s">
        <v>4584</v>
      </c>
      <c r="H1195" t="s">
        <v>4608</v>
      </c>
      <c r="I1195">
        <v>-1</v>
      </c>
      <c r="J1195" t="s">
        <v>5314</v>
      </c>
      <c r="K1195">
        <v>0</v>
      </c>
      <c r="L1195">
        <v>4.5199999999999996</v>
      </c>
      <c r="O1195" t="s">
        <v>5477</v>
      </c>
    </row>
    <row r="1196" spans="1:15" x14ac:dyDescent="0.3">
      <c r="A1196" t="s">
        <v>1169</v>
      </c>
      <c r="B1196" t="s">
        <v>2434</v>
      </c>
      <c r="C1196" t="s">
        <v>2966</v>
      </c>
      <c r="D1196" t="s">
        <v>4324</v>
      </c>
      <c r="E1196" t="s">
        <v>4554</v>
      </c>
      <c r="F1196" t="s">
        <v>4573</v>
      </c>
      <c r="G1196" t="s">
        <v>4586</v>
      </c>
      <c r="H1196" t="s">
        <v>4599</v>
      </c>
      <c r="I1196">
        <v>3</v>
      </c>
      <c r="J1196" t="s">
        <v>5315</v>
      </c>
      <c r="K1196" t="s">
        <v>5461</v>
      </c>
      <c r="M1196" t="s">
        <v>5467</v>
      </c>
      <c r="N1196" t="s">
        <v>5474</v>
      </c>
      <c r="O1196" t="s">
        <v>5480</v>
      </c>
    </row>
    <row r="1197" spans="1:15" x14ac:dyDescent="0.3">
      <c r="A1197" t="s">
        <v>1170</v>
      </c>
      <c r="B1197" t="s">
        <v>2435</v>
      </c>
      <c r="C1197" t="s">
        <v>2754</v>
      </c>
      <c r="D1197" t="s">
        <v>4325</v>
      </c>
      <c r="E1197" t="s">
        <v>4569</v>
      </c>
      <c r="F1197" t="s">
        <v>4581</v>
      </c>
      <c r="G1197" t="s">
        <v>4584</v>
      </c>
      <c r="H1197" t="s">
        <v>4595</v>
      </c>
      <c r="I1197">
        <v>2</v>
      </c>
      <c r="J1197" t="s">
        <v>5316</v>
      </c>
      <c r="K1197" t="s">
        <v>5460</v>
      </c>
      <c r="L1197">
        <v>3.64</v>
      </c>
      <c r="M1197" t="s">
        <v>5463</v>
      </c>
      <c r="N1197" t="s">
        <v>5471</v>
      </c>
      <c r="O1197" t="s">
        <v>5477</v>
      </c>
    </row>
    <row r="1198" spans="1:15" x14ac:dyDescent="0.3">
      <c r="A1198" t="s">
        <v>1171</v>
      </c>
      <c r="B1198" t="s">
        <v>2436</v>
      </c>
      <c r="C1198" t="s">
        <v>2768</v>
      </c>
      <c r="D1198" t="s">
        <v>4326</v>
      </c>
      <c r="E1198" t="s">
        <v>4571</v>
      </c>
      <c r="F1198" t="s">
        <v>4573</v>
      </c>
      <c r="G1198" t="s">
        <v>4583</v>
      </c>
      <c r="H1198" t="s">
        <v>4604</v>
      </c>
      <c r="I1198">
        <v>10</v>
      </c>
      <c r="J1198" t="s">
        <v>5317</v>
      </c>
      <c r="K1198">
        <v>0</v>
      </c>
      <c r="L1198">
        <v>7.71</v>
      </c>
      <c r="M1198" t="s">
        <v>5462</v>
      </c>
      <c r="N1198" t="s">
        <v>5469</v>
      </c>
      <c r="O1198" t="s">
        <v>5476</v>
      </c>
    </row>
    <row r="1199" spans="1:15" x14ac:dyDescent="0.3">
      <c r="A1199" t="s">
        <v>1172</v>
      </c>
      <c r="B1199" t="s">
        <v>2437</v>
      </c>
      <c r="C1199" t="s">
        <v>3204</v>
      </c>
      <c r="D1199" t="s">
        <v>4327</v>
      </c>
      <c r="E1199" t="s">
        <v>4550</v>
      </c>
      <c r="F1199" t="s">
        <v>4574</v>
      </c>
      <c r="G1199" t="s">
        <v>4587</v>
      </c>
      <c r="H1199" t="s">
        <v>4594</v>
      </c>
      <c r="I1199">
        <v>3</v>
      </c>
      <c r="J1199">
        <v>61.36</v>
      </c>
      <c r="K1199">
        <v>0</v>
      </c>
      <c r="L1199">
        <v>10.25</v>
      </c>
      <c r="M1199" t="s">
        <v>5463</v>
      </c>
      <c r="N1199" t="s">
        <v>5472</v>
      </c>
      <c r="O1199" t="s">
        <v>5477</v>
      </c>
    </row>
    <row r="1200" spans="1:15" x14ac:dyDescent="0.3">
      <c r="A1200" t="s">
        <v>1173</v>
      </c>
      <c r="B1200" t="s">
        <v>2438</v>
      </c>
      <c r="C1200" t="s">
        <v>3021</v>
      </c>
      <c r="D1200" t="s">
        <v>4328</v>
      </c>
      <c r="E1200" t="s">
        <v>4554</v>
      </c>
      <c r="F1200" t="s">
        <v>4574</v>
      </c>
      <c r="G1200" t="s">
        <v>4583</v>
      </c>
      <c r="H1200" t="s">
        <v>4604</v>
      </c>
      <c r="I1200">
        <v>-1</v>
      </c>
      <c r="J1200" t="s">
        <v>5318</v>
      </c>
      <c r="K1200" t="s">
        <v>5460</v>
      </c>
      <c r="L1200">
        <v>0.51</v>
      </c>
      <c r="M1200" t="s">
        <v>5465</v>
      </c>
      <c r="N1200" t="s">
        <v>5469</v>
      </c>
      <c r="O1200" t="s">
        <v>5477</v>
      </c>
    </row>
    <row r="1201" spans="1:15" x14ac:dyDescent="0.3">
      <c r="A1201" t="s">
        <v>1174</v>
      </c>
      <c r="B1201" t="s">
        <v>2439</v>
      </c>
      <c r="C1201" t="s">
        <v>3205</v>
      </c>
      <c r="D1201" t="s">
        <v>4329</v>
      </c>
      <c r="E1201" t="s">
        <v>4568</v>
      </c>
      <c r="F1201" t="s">
        <v>4573</v>
      </c>
      <c r="G1201" t="s">
        <v>4587</v>
      </c>
      <c r="H1201" t="s">
        <v>4596</v>
      </c>
      <c r="I1201">
        <v>-1</v>
      </c>
      <c r="J1201" t="s">
        <v>5319</v>
      </c>
      <c r="K1201">
        <v>0</v>
      </c>
      <c r="L1201">
        <v>5.65</v>
      </c>
      <c r="N1201" t="s">
        <v>5474</v>
      </c>
      <c r="O1201" t="s">
        <v>5477</v>
      </c>
    </row>
    <row r="1202" spans="1:15" x14ac:dyDescent="0.3">
      <c r="A1202" t="s">
        <v>1175</v>
      </c>
      <c r="B1202" t="s">
        <v>2440</v>
      </c>
      <c r="C1202" t="s">
        <v>2919</v>
      </c>
      <c r="D1202" t="s">
        <v>4330</v>
      </c>
      <c r="E1202" t="s">
        <v>4552</v>
      </c>
      <c r="F1202" t="s">
        <v>4579</v>
      </c>
      <c r="G1202" t="s">
        <v>4584</v>
      </c>
      <c r="H1202" t="s">
        <v>4601</v>
      </c>
      <c r="I1202">
        <v>1</v>
      </c>
      <c r="J1202" t="s">
        <v>5320</v>
      </c>
      <c r="K1202">
        <v>0</v>
      </c>
      <c r="L1202">
        <v>0</v>
      </c>
      <c r="M1202" t="s">
        <v>5468</v>
      </c>
      <c r="N1202" t="s">
        <v>5472</v>
      </c>
      <c r="O1202" t="s">
        <v>5477</v>
      </c>
    </row>
    <row r="1203" spans="1:15" x14ac:dyDescent="0.3">
      <c r="A1203" t="s">
        <v>1176</v>
      </c>
      <c r="B1203" t="s">
        <v>2441</v>
      </c>
      <c r="C1203" t="s">
        <v>3018</v>
      </c>
      <c r="D1203" t="s">
        <v>4331</v>
      </c>
      <c r="E1203" t="s">
        <v>4555</v>
      </c>
      <c r="F1203" t="s">
        <v>4578</v>
      </c>
      <c r="G1203" t="s">
        <v>4584</v>
      </c>
      <c r="H1203" t="s">
        <v>4595</v>
      </c>
      <c r="I1203">
        <v>3</v>
      </c>
      <c r="J1203" t="s">
        <v>5321</v>
      </c>
      <c r="L1203">
        <v>11.72</v>
      </c>
      <c r="M1203" t="s">
        <v>5467</v>
      </c>
      <c r="N1203" t="s">
        <v>5472</v>
      </c>
      <c r="O1203" t="s">
        <v>5480</v>
      </c>
    </row>
    <row r="1204" spans="1:15" x14ac:dyDescent="0.3">
      <c r="A1204" t="s">
        <v>1177</v>
      </c>
      <c r="B1204" t="s">
        <v>2442</v>
      </c>
      <c r="C1204" t="s">
        <v>3206</v>
      </c>
      <c r="D1204" t="s">
        <v>4332</v>
      </c>
      <c r="E1204" t="s">
        <v>4559</v>
      </c>
      <c r="F1204" t="s">
        <v>4582</v>
      </c>
      <c r="G1204" t="s">
        <v>4586</v>
      </c>
      <c r="H1204" t="s">
        <v>4593</v>
      </c>
      <c r="I1204">
        <v>-1</v>
      </c>
      <c r="J1204">
        <v>110.37</v>
      </c>
      <c r="K1204">
        <v>0.15</v>
      </c>
      <c r="L1204">
        <v>2.44</v>
      </c>
      <c r="M1204" t="s">
        <v>5465</v>
      </c>
      <c r="N1204" t="s">
        <v>5474</v>
      </c>
      <c r="O1204" t="s">
        <v>5479</v>
      </c>
    </row>
    <row r="1205" spans="1:15" x14ac:dyDescent="0.3">
      <c r="A1205" t="s">
        <v>1178</v>
      </c>
      <c r="B1205" t="s">
        <v>2443</v>
      </c>
      <c r="C1205" t="s">
        <v>3207</v>
      </c>
      <c r="D1205" t="s">
        <v>4333</v>
      </c>
      <c r="E1205" t="s">
        <v>4570</v>
      </c>
      <c r="F1205" t="s">
        <v>4574</v>
      </c>
      <c r="G1205" t="s">
        <v>4585</v>
      </c>
      <c r="H1205" t="s">
        <v>4591</v>
      </c>
      <c r="I1205">
        <v>2</v>
      </c>
      <c r="J1205">
        <v>8</v>
      </c>
      <c r="K1205">
        <v>0</v>
      </c>
      <c r="L1205">
        <v>1.25</v>
      </c>
      <c r="M1205" t="s">
        <v>5465</v>
      </c>
      <c r="N1205" t="s">
        <v>5471</v>
      </c>
      <c r="O1205" t="s">
        <v>5477</v>
      </c>
    </row>
    <row r="1206" spans="1:15" x14ac:dyDescent="0.3">
      <c r="A1206" t="s">
        <v>1179</v>
      </c>
      <c r="B1206" t="s">
        <v>2444</v>
      </c>
      <c r="C1206" t="s">
        <v>2835</v>
      </c>
      <c r="D1206" t="s">
        <v>4334</v>
      </c>
      <c r="E1206" t="s">
        <v>4568</v>
      </c>
      <c r="F1206" t="s">
        <v>4577</v>
      </c>
      <c r="G1206" t="s">
        <v>4583</v>
      </c>
      <c r="H1206" t="s">
        <v>4588</v>
      </c>
      <c r="I1206">
        <v>1</v>
      </c>
      <c r="J1206" t="s">
        <v>5322</v>
      </c>
      <c r="K1206">
        <v>0.05</v>
      </c>
      <c r="L1206">
        <v>11.32</v>
      </c>
      <c r="M1206" t="s">
        <v>5462</v>
      </c>
      <c r="N1206" t="s">
        <v>5469</v>
      </c>
      <c r="O1206" t="s">
        <v>5478</v>
      </c>
    </row>
    <row r="1207" spans="1:15" x14ac:dyDescent="0.3">
      <c r="A1207" t="s">
        <v>1180</v>
      </c>
      <c r="B1207" t="s">
        <v>2445</v>
      </c>
      <c r="C1207" t="s">
        <v>2987</v>
      </c>
      <c r="D1207" t="s">
        <v>4335</v>
      </c>
      <c r="E1207" t="s">
        <v>4550</v>
      </c>
      <c r="F1207" t="s">
        <v>4574</v>
      </c>
      <c r="G1207" t="s">
        <v>4583</v>
      </c>
      <c r="H1207" t="s">
        <v>4610</v>
      </c>
      <c r="I1207">
        <v>1</v>
      </c>
      <c r="J1207">
        <v>83.76</v>
      </c>
      <c r="L1207">
        <v>13.69</v>
      </c>
      <c r="M1207" t="s">
        <v>5462</v>
      </c>
      <c r="O1207" t="s">
        <v>5480</v>
      </c>
    </row>
    <row r="1208" spans="1:15" x14ac:dyDescent="0.3">
      <c r="A1208" t="s">
        <v>1181</v>
      </c>
      <c r="B1208" t="s">
        <v>1725</v>
      </c>
      <c r="C1208" t="s">
        <v>2847</v>
      </c>
      <c r="D1208" t="s">
        <v>4336</v>
      </c>
      <c r="E1208" t="s">
        <v>4557</v>
      </c>
      <c r="F1208" t="s">
        <v>4572</v>
      </c>
      <c r="G1208" t="s">
        <v>4587</v>
      </c>
      <c r="H1208" t="s">
        <v>4596</v>
      </c>
      <c r="I1208">
        <v>3</v>
      </c>
      <c r="J1208" t="s">
        <v>5155</v>
      </c>
      <c r="K1208">
        <v>0.15</v>
      </c>
      <c r="L1208">
        <v>12.51</v>
      </c>
      <c r="M1208" t="s">
        <v>5465</v>
      </c>
      <c r="N1208" t="s">
        <v>5473</v>
      </c>
      <c r="O1208" t="s">
        <v>5479</v>
      </c>
    </row>
    <row r="1209" spans="1:15" x14ac:dyDescent="0.3">
      <c r="A1209" t="s">
        <v>1182</v>
      </c>
      <c r="B1209" t="s">
        <v>2446</v>
      </c>
      <c r="C1209" t="s">
        <v>3109</v>
      </c>
      <c r="D1209" t="s">
        <v>4337</v>
      </c>
      <c r="E1209" t="s">
        <v>4564</v>
      </c>
      <c r="F1209" t="s">
        <v>4573</v>
      </c>
      <c r="G1209" t="s">
        <v>4583</v>
      </c>
      <c r="H1209" t="s">
        <v>4588</v>
      </c>
      <c r="I1209">
        <v>1</v>
      </c>
      <c r="J1209">
        <v>41.14</v>
      </c>
      <c r="K1209">
        <v>0.05</v>
      </c>
      <c r="L1209">
        <v>0.63</v>
      </c>
      <c r="M1209" t="s">
        <v>5467</v>
      </c>
      <c r="N1209" t="s">
        <v>5471</v>
      </c>
      <c r="O1209" t="s">
        <v>5480</v>
      </c>
    </row>
    <row r="1210" spans="1:15" x14ac:dyDescent="0.3">
      <c r="A1210" t="s">
        <v>1183</v>
      </c>
      <c r="B1210" t="s">
        <v>2447</v>
      </c>
      <c r="C1210" t="s">
        <v>2771</v>
      </c>
      <c r="D1210" t="s">
        <v>4338</v>
      </c>
      <c r="E1210" t="s">
        <v>4558</v>
      </c>
      <c r="F1210" t="s">
        <v>4572</v>
      </c>
      <c r="G1210" t="s">
        <v>4586</v>
      </c>
      <c r="H1210" t="s">
        <v>4609</v>
      </c>
      <c r="I1210">
        <v>3</v>
      </c>
      <c r="J1210" t="s">
        <v>5323</v>
      </c>
      <c r="K1210">
        <v>0.15</v>
      </c>
      <c r="L1210">
        <v>12.1</v>
      </c>
      <c r="M1210" t="s">
        <v>5463</v>
      </c>
      <c r="N1210" t="s">
        <v>5472</v>
      </c>
      <c r="O1210" t="s">
        <v>5476</v>
      </c>
    </row>
    <row r="1211" spans="1:15" x14ac:dyDescent="0.3">
      <c r="A1211" t="s">
        <v>1184</v>
      </c>
      <c r="B1211" t="s">
        <v>2448</v>
      </c>
      <c r="C1211" t="s">
        <v>2784</v>
      </c>
      <c r="D1211" t="s">
        <v>4339</v>
      </c>
      <c r="E1211" t="s">
        <v>4563</v>
      </c>
      <c r="F1211" t="s">
        <v>4573</v>
      </c>
      <c r="G1211" t="s">
        <v>4583</v>
      </c>
      <c r="H1211" t="s">
        <v>4588</v>
      </c>
      <c r="I1211">
        <v>5</v>
      </c>
      <c r="J1211">
        <v>39.450000000000003</v>
      </c>
      <c r="K1211">
        <v>0</v>
      </c>
      <c r="L1211">
        <v>6.87</v>
      </c>
      <c r="M1211" t="s">
        <v>5464</v>
      </c>
      <c r="O1211" t="s">
        <v>5479</v>
      </c>
    </row>
    <row r="1212" spans="1:15" x14ac:dyDescent="0.3">
      <c r="A1212" t="s">
        <v>1185</v>
      </c>
      <c r="B1212" t="s">
        <v>2449</v>
      </c>
      <c r="C1212" t="s">
        <v>2937</v>
      </c>
      <c r="E1212" t="s">
        <v>4565</v>
      </c>
      <c r="F1212" t="s">
        <v>4576</v>
      </c>
      <c r="G1212" t="s">
        <v>4587</v>
      </c>
      <c r="H1212" t="s">
        <v>4596</v>
      </c>
      <c r="I1212">
        <v>-1</v>
      </c>
      <c r="J1212" t="s">
        <v>5324</v>
      </c>
      <c r="K1212">
        <v>0</v>
      </c>
      <c r="L1212">
        <v>0</v>
      </c>
      <c r="M1212" t="s">
        <v>5466</v>
      </c>
      <c r="N1212" t="s">
        <v>5474</v>
      </c>
      <c r="O1212" t="s">
        <v>5477</v>
      </c>
    </row>
    <row r="1213" spans="1:15" x14ac:dyDescent="0.3">
      <c r="A1213" t="s">
        <v>1186</v>
      </c>
      <c r="B1213" t="s">
        <v>2450</v>
      </c>
      <c r="C1213" t="s">
        <v>2928</v>
      </c>
      <c r="E1213" t="s">
        <v>4559</v>
      </c>
      <c r="F1213" t="s">
        <v>4577</v>
      </c>
      <c r="G1213" t="s">
        <v>4585</v>
      </c>
      <c r="H1213" t="s">
        <v>4592</v>
      </c>
      <c r="I1213">
        <v>4</v>
      </c>
      <c r="J1213">
        <v>6.59</v>
      </c>
      <c r="K1213">
        <v>0</v>
      </c>
      <c r="L1213">
        <v>5.77</v>
      </c>
      <c r="M1213" t="s">
        <v>5468</v>
      </c>
      <c r="N1213" t="s">
        <v>5474</v>
      </c>
      <c r="O1213" t="s">
        <v>5479</v>
      </c>
    </row>
    <row r="1214" spans="1:15" x14ac:dyDescent="0.3">
      <c r="A1214" t="s">
        <v>1187</v>
      </c>
      <c r="B1214" t="s">
        <v>2302</v>
      </c>
      <c r="C1214" t="s">
        <v>2643</v>
      </c>
      <c r="D1214" t="s">
        <v>4340</v>
      </c>
      <c r="E1214" t="s">
        <v>4551</v>
      </c>
      <c r="F1214" t="s">
        <v>4579</v>
      </c>
      <c r="G1214" t="s">
        <v>4587</v>
      </c>
      <c r="H1214" t="s">
        <v>4594</v>
      </c>
      <c r="I1214">
        <v>1</v>
      </c>
      <c r="J1214" t="s">
        <v>5325</v>
      </c>
      <c r="K1214">
        <v>0.05</v>
      </c>
      <c r="L1214">
        <v>4.5199999999999996</v>
      </c>
      <c r="M1214" t="s">
        <v>5463</v>
      </c>
      <c r="N1214" t="s">
        <v>5473</v>
      </c>
      <c r="O1214" t="s">
        <v>5476</v>
      </c>
    </row>
    <row r="1215" spans="1:15" x14ac:dyDescent="0.3">
      <c r="A1215" t="s">
        <v>1188</v>
      </c>
      <c r="B1215" t="s">
        <v>2451</v>
      </c>
      <c r="C1215" t="s">
        <v>2991</v>
      </c>
      <c r="E1215" t="s">
        <v>4557</v>
      </c>
      <c r="F1215" t="s">
        <v>4581</v>
      </c>
      <c r="G1215" t="s">
        <v>4587</v>
      </c>
      <c r="H1215" t="s">
        <v>4606</v>
      </c>
      <c r="I1215">
        <v>1</v>
      </c>
      <c r="J1215" t="s">
        <v>5326</v>
      </c>
      <c r="K1215" t="s">
        <v>5460</v>
      </c>
      <c r="L1215">
        <v>0.6</v>
      </c>
      <c r="M1215" t="s">
        <v>5468</v>
      </c>
      <c r="N1215" t="s">
        <v>5473</v>
      </c>
      <c r="O1215" t="s">
        <v>5475</v>
      </c>
    </row>
    <row r="1216" spans="1:15" x14ac:dyDescent="0.3">
      <c r="A1216" t="s">
        <v>1189</v>
      </c>
      <c r="B1216" t="s">
        <v>2452</v>
      </c>
      <c r="C1216" t="s">
        <v>3059</v>
      </c>
      <c r="D1216" t="s">
        <v>4341</v>
      </c>
      <c r="E1216" t="s">
        <v>4561</v>
      </c>
      <c r="F1216" t="s">
        <v>4572</v>
      </c>
      <c r="G1216" t="s">
        <v>4586</v>
      </c>
      <c r="H1216" t="s">
        <v>4597</v>
      </c>
      <c r="I1216">
        <v>2</v>
      </c>
      <c r="J1216">
        <v>87.09</v>
      </c>
      <c r="K1216">
        <v>0.1</v>
      </c>
      <c r="L1216">
        <v>0</v>
      </c>
      <c r="M1216" t="s">
        <v>5466</v>
      </c>
      <c r="O1216" t="s">
        <v>5480</v>
      </c>
    </row>
    <row r="1217" spans="1:15" x14ac:dyDescent="0.3">
      <c r="A1217" t="s">
        <v>568</v>
      </c>
      <c r="B1217" t="s">
        <v>1942</v>
      </c>
      <c r="C1217" t="s">
        <v>3198</v>
      </c>
      <c r="D1217" t="s">
        <v>3772</v>
      </c>
      <c r="E1217" t="s">
        <v>4560</v>
      </c>
      <c r="F1217" t="s">
        <v>4574</v>
      </c>
      <c r="G1217" t="s">
        <v>4587</v>
      </c>
      <c r="H1217" t="s">
        <v>4594</v>
      </c>
      <c r="I1217">
        <v>2</v>
      </c>
      <c r="J1217" t="s">
        <v>4967</v>
      </c>
      <c r="K1217">
        <v>0.05</v>
      </c>
      <c r="L1217">
        <v>13.01</v>
      </c>
      <c r="M1217" t="s">
        <v>5465</v>
      </c>
      <c r="N1217" t="s">
        <v>5473</v>
      </c>
      <c r="O1217" t="s">
        <v>5477</v>
      </c>
    </row>
    <row r="1218" spans="1:15" x14ac:dyDescent="0.3">
      <c r="A1218" t="s">
        <v>1190</v>
      </c>
      <c r="B1218" t="s">
        <v>2343</v>
      </c>
      <c r="C1218" t="s">
        <v>3069</v>
      </c>
      <c r="E1218" t="s">
        <v>4549</v>
      </c>
      <c r="F1218" t="s">
        <v>4574</v>
      </c>
      <c r="G1218" t="s">
        <v>4585</v>
      </c>
      <c r="H1218" t="s">
        <v>4602</v>
      </c>
      <c r="I1218">
        <v>1</v>
      </c>
      <c r="J1218" t="s">
        <v>5010</v>
      </c>
      <c r="L1218">
        <v>0</v>
      </c>
      <c r="M1218" t="s">
        <v>5467</v>
      </c>
      <c r="N1218" t="s">
        <v>5471</v>
      </c>
      <c r="O1218" t="s">
        <v>5477</v>
      </c>
    </row>
    <row r="1219" spans="1:15" x14ac:dyDescent="0.3">
      <c r="A1219" t="s">
        <v>1191</v>
      </c>
      <c r="B1219" t="s">
        <v>2005</v>
      </c>
      <c r="C1219" t="s">
        <v>2703</v>
      </c>
      <c r="D1219" t="s">
        <v>4342</v>
      </c>
      <c r="E1219" t="s">
        <v>4570</v>
      </c>
      <c r="F1219" t="s">
        <v>4573</v>
      </c>
      <c r="G1219" t="s">
        <v>4587</v>
      </c>
      <c r="H1219" t="s">
        <v>4600</v>
      </c>
      <c r="I1219">
        <v>10</v>
      </c>
      <c r="J1219">
        <v>13.03</v>
      </c>
      <c r="K1219" t="s">
        <v>5461</v>
      </c>
      <c r="L1219">
        <v>9.09</v>
      </c>
      <c r="M1219" t="s">
        <v>5465</v>
      </c>
      <c r="N1219" t="s">
        <v>5470</v>
      </c>
      <c r="O1219" t="s">
        <v>5476</v>
      </c>
    </row>
    <row r="1220" spans="1:15" x14ac:dyDescent="0.3">
      <c r="A1220" t="s">
        <v>1192</v>
      </c>
      <c r="B1220" t="s">
        <v>2453</v>
      </c>
      <c r="C1220" t="s">
        <v>2863</v>
      </c>
      <c r="D1220" t="s">
        <v>4343</v>
      </c>
      <c r="E1220" t="s">
        <v>4563</v>
      </c>
      <c r="F1220" t="s">
        <v>4573</v>
      </c>
      <c r="G1220" t="s">
        <v>4584</v>
      </c>
      <c r="H1220" t="s">
        <v>4601</v>
      </c>
      <c r="I1220">
        <v>1</v>
      </c>
      <c r="J1220" t="s">
        <v>5327</v>
      </c>
      <c r="K1220">
        <v>0.05</v>
      </c>
      <c r="L1220">
        <v>5.38</v>
      </c>
      <c r="N1220" t="s">
        <v>5469</v>
      </c>
      <c r="O1220" t="s">
        <v>5480</v>
      </c>
    </row>
    <row r="1221" spans="1:15" x14ac:dyDescent="0.3">
      <c r="A1221" t="s">
        <v>1193</v>
      </c>
      <c r="B1221" t="s">
        <v>2454</v>
      </c>
      <c r="C1221" t="s">
        <v>3016</v>
      </c>
      <c r="D1221" t="s">
        <v>4344</v>
      </c>
      <c r="E1221" t="s">
        <v>4564</v>
      </c>
      <c r="F1221" t="s">
        <v>4573</v>
      </c>
      <c r="G1221" t="s">
        <v>4587</v>
      </c>
      <c r="H1221" t="s">
        <v>4594</v>
      </c>
      <c r="I1221">
        <v>10</v>
      </c>
      <c r="J1221">
        <v>61.23</v>
      </c>
      <c r="K1221">
        <v>0.05</v>
      </c>
      <c r="L1221">
        <v>6.17</v>
      </c>
      <c r="M1221" t="s">
        <v>5466</v>
      </c>
      <c r="N1221" t="s">
        <v>5469</v>
      </c>
      <c r="O1221" t="s">
        <v>5475</v>
      </c>
    </row>
    <row r="1222" spans="1:15" x14ac:dyDescent="0.3">
      <c r="A1222" t="s">
        <v>1194</v>
      </c>
      <c r="B1222" t="s">
        <v>2455</v>
      </c>
      <c r="C1222" t="s">
        <v>3208</v>
      </c>
      <c r="D1222" t="s">
        <v>4345</v>
      </c>
      <c r="E1222" t="s">
        <v>4549</v>
      </c>
      <c r="F1222" t="s">
        <v>4573</v>
      </c>
      <c r="G1222" t="s">
        <v>4585</v>
      </c>
      <c r="H1222" t="s">
        <v>4598</v>
      </c>
      <c r="I1222">
        <v>5</v>
      </c>
      <c r="J1222" t="s">
        <v>5328</v>
      </c>
      <c r="K1222" t="s">
        <v>5461</v>
      </c>
      <c r="L1222">
        <v>10.24</v>
      </c>
      <c r="M1222" t="s">
        <v>5467</v>
      </c>
      <c r="N1222" t="s">
        <v>5469</v>
      </c>
      <c r="O1222" t="s">
        <v>5477</v>
      </c>
    </row>
    <row r="1223" spans="1:15" x14ac:dyDescent="0.3">
      <c r="A1223" t="s">
        <v>1195</v>
      </c>
      <c r="B1223" t="s">
        <v>2456</v>
      </c>
      <c r="C1223" t="s">
        <v>3079</v>
      </c>
      <c r="D1223" t="s">
        <v>4346</v>
      </c>
      <c r="E1223" t="s">
        <v>4548</v>
      </c>
      <c r="F1223" t="s">
        <v>4578</v>
      </c>
      <c r="G1223" t="s">
        <v>4583</v>
      </c>
      <c r="H1223" t="s">
        <v>4610</v>
      </c>
      <c r="I1223">
        <v>2</v>
      </c>
      <c r="J1223" t="s">
        <v>5329</v>
      </c>
      <c r="K1223">
        <v>0</v>
      </c>
      <c r="L1223">
        <v>7.6</v>
      </c>
      <c r="M1223" t="s">
        <v>5466</v>
      </c>
      <c r="N1223" t="s">
        <v>5470</v>
      </c>
      <c r="O1223" t="s">
        <v>5477</v>
      </c>
    </row>
    <row r="1224" spans="1:15" x14ac:dyDescent="0.3">
      <c r="A1224" t="s">
        <v>1196</v>
      </c>
      <c r="B1224" t="s">
        <v>2428</v>
      </c>
      <c r="C1224" t="s">
        <v>3082</v>
      </c>
      <c r="D1224" t="s">
        <v>4347</v>
      </c>
      <c r="E1224" t="s">
        <v>4555</v>
      </c>
      <c r="F1224" t="s">
        <v>4573</v>
      </c>
      <c r="G1224" t="s">
        <v>4586</v>
      </c>
      <c r="H1224" t="s">
        <v>4593</v>
      </c>
      <c r="I1224">
        <v>5</v>
      </c>
      <c r="J1224">
        <v>104.55</v>
      </c>
      <c r="K1224">
        <v>0</v>
      </c>
      <c r="L1224">
        <v>12.42</v>
      </c>
      <c r="M1224" t="s">
        <v>5467</v>
      </c>
      <c r="N1224" t="s">
        <v>5469</v>
      </c>
      <c r="O1224" t="s">
        <v>5477</v>
      </c>
    </row>
    <row r="1225" spans="1:15" x14ac:dyDescent="0.3">
      <c r="A1225" t="s">
        <v>1197</v>
      </c>
      <c r="B1225" t="s">
        <v>2457</v>
      </c>
      <c r="C1225" t="s">
        <v>2640</v>
      </c>
      <c r="D1225" t="s">
        <v>4348</v>
      </c>
      <c r="E1225" t="s">
        <v>4547</v>
      </c>
      <c r="F1225" t="s">
        <v>4580</v>
      </c>
      <c r="G1225" t="s">
        <v>4585</v>
      </c>
      <c r="H1225" t="s">
        <v>4602</v>
      </c>
      <c r="I1225">
        <v>1</v>
      </c>
      <c r="J1225" t="s">
        <v>4658</v>
      </c>
      <c r="K1225">
        <v>0</v>
      </c>
      <c r="L1225">
        <v>9.91</v>
      </c>
      <c r="M1225" t="s">
        <v>5468</v>
      </c>
      <c r="N1225" t="s">
        <v>5471</v>
      </c>
      <c r="O1225" t="s">
        <v>5477</v>
      </c>
    </row>
    <row r="1226" spans="1:15" x14ac:dyDescent="0.3">
      <c r="A1226" t="s">
        <v>1198</v>
      </c>
      <c r="B1226" t="s">
        <v>2458</v>
      </c>
      <c r="C1226" t="s">
        <v>3026</v>
      </c>
      <c r="D1226" t="s">
        <v>4349</v>
      </c>
      <c r="E1226" t="s">
        <v>4548</v>
      </c>
      <c r="F1226" t="s">
        <v>4578</v>
      </c>
      <c r="G1226" t="s">
        <v>4587</v>
      </c>
      <c r="H1226" t="s">
        <v>4606</v>
      </c>
      <c r="I1226">
        <v>10</v>
      </c>
      <c r="J1226" t="s">
        <v>5330</v>
      </c>
      <c r="L1226">
        <v>8.51</v>
      </c>
      <c r="M1226" t="s">
        <v>5462</v>
      </c>
      <c r="N1226" t="s">
        <v>5469</v>
      </c>
      <c r="O1226" t="s">
        <v>5475</v>
      </c>
    </row>
    <row r="1227" spans="1:15" x14ac:dyDescent="0.3">
      <c r="A1227" t="s">
        <v>1199</v>
      </c>
      <c r="B1227" t="s">
        <v>2459</v>
      </c>
      <c r="C1227" t="s">
        <v>2728</v>
      </c>
      <c r="D1227" t="s">
        <v>4350</v>
      </c>
      <c r="E1227" t="s">
        <v>4566</v>
      </c>
      <c r="F1227" t="s">
        <v>4582</v>
      </c>
      <c r="G1227" t="s">
        <v>4585</v>
      </c>
      <c r="H1227" t="s">
        <v>4591</v>
      </c>
      <c r="I1227">
        <v>3</v>
      </c>
      <c r="J1227" t="s">
        <v>5331</v>
      </c>
      <c r="K1227">
        <v>0.15</v>
      </c>
      <c r="L1227">
        <v>3.36</v>
      </c>
      <c r="M1227" t="s">
        <v>5463</v>
      </c>
      <c r="O1227" t="s">
        <v>5477</v>
      </c>
    </row>
    <row r="1228" spans="1:15" x14ac:dyDescent="0.3">
      <c r="A1228" t="s">
        <v>1200</v>
      </c>
      <c r="B1228" t="s">
        <v>2460</v>
      </c>
      <c r="C1228" t="s">
        <v>2771</v>
      </c>
      <c r="D1228" t="s">
        <v>4351</v>
      </c>
      <c r="E1228" t="s">
        <v>4554</v>
      </c>
      <c r="F1228" t="s">
        <v>4574</v>
      </c>
      <c r="G1228" t="s">
        <v>4587</v>
      </c>
      <c r="H1228" t="s">
        <v>4600</v>
      </c>
      <c r="I1228">
        <v>3</v>
      </c>
      <c r="J1228" t="s">
        <v>4715</v>
      </c>
      <c r="K1228">
        <v>0</v>
      </c>
      <c r="L1228">
        <v>12.58</v>
      </c>
      <c r="M1228" t="s">
        <v>5462</v>
      </c>
      <c r="O1228" t="s">
        <v>5477</v>
      </c>
    </row>
    <row r="1229" spans="1:15" x14ac:dyDescent="0.3">
      <c r="A1229" t="s">
        <v>951</v>
      </c>
      <c r="B1229" t="s">
        <v>2262</v>
      </c>
      <c r="C1229" t="s">
        <v>2758</v>
      </c>
      <c r="D1229" t="s">
        <v>4122</v>
      </c>
      <c r="E1229" t="s">
        <v>4555</v>
      </c>
      <c r="G1229" t="s">
        <v>4587</v>
      </c>
      <c r="H1229" t="s">
        <v>4596</v>
      </c>
      <c r="I1229">
        <v>2</v>
      </c>
      <c r="J1229" t="s">
        <v>5179</v>
      </c>
      <c r="K1229">
        <v>0</v>
      </c>
      <c r="L1229">
        <v>0</v>
      </c>
      <c r="M1229" t="s">
        <v>5466</v>
      </c>
      <c r="O1229" t="s">
        <v>5479</v>
      </c>
    </row>
    <row r="1230" spans="1:15" x14ac:dyDescent="0.3">
      <c r="A1230" t="s">
        <v>1201</v>
      </c>
      <c r="B1230" t="s">
        <v>2461</v>
      </c>
      <c r="C1230" t="s">
        <v>3209</v>
      </c>
      <c r="D1230" t="s">
        <v>4352</v>
      </c>
      <c r="E1230" t="s">
        <v>4569</v>
      </c>
      <c r="F1230" t="s">
        <v>4580</v>
      </c>
      <c r="G1230" t="s">
        <v>4586</v>
      </c>
      <c r="H1230" t="s">
        <v>4597</v>
      </c>
      <c r="I1230">
        <v>-1</v>
      </c>
      <c r="J1230" t="s">
        <v>5332</v>
      </c>
      <c r="K1230">
        <v>0</v>
      </c>
      <c r="L1230">
        <v>6.29</v>
      </c>
      <c r="M1230" t="s">
        <v>5463</v>
      </c>
      <c r="N1230" t="s">
        <v>5474</v>
      </c>
      <c r="O1230" t="s">
        <v>5475</v>
      </c>
    </row>
    <row r="1231" spans="1:15" x14ac:dyDescent="0.3">
      <c r="A1231" t="s">
        <v>1202</v>
      </c>
      <c r="B1231" t="s">
        <v>2462</v>
      </c>
      <c r="C1231" t="s">
        <v>2819</v>
      </c>
      <c r="D1231" t="s">
        <v>4353</v>
      </c>
      <c r="E1231" t="s">
        <v>4567</v>
      </c>
      <c r="F1231" t="s">
        <v>4573</v>
      </c>
      <c r="G1231" t="s">
        <v>4584</v>
      </c>
      <c r="H1231" t="s">
        <v>4595</v>
      </c>
      <c r="I1231">
        <v>2</v>
      </c>
      <c r="J1231">
        <v>42.94</v>
      </c>
      <c r="K1231">
        <v>0.05</v>
      </c>
      <c r="L1231">
        <v>12.13</v>
      </c>
      <c r="M1231" t="s">
        <v>5462</v>
      </c>
      <c r="N1231" t="s">
        <v>5469</v>
      </c>
      <c r="O1231" t="s">
        <v>5478</v>
      </c>
    </row>
    <row r="1232" spans="1:15" x14ac:dyDescent="0.3">
      <c r="A1232" t="s">
        <v>107</v>
      </c>
      <c r="B1232" t="s">
        <v>1507</v>
      </c>
      <c r="C1232" t="s">
        <v>3210</v>
      </c>
      <c r="D1232" t="s">
        <v>3349</v>
      </c>
      <c r="E1232" t="s">
        <v>4555</v>
      </c>
      <c r="F1232" t="s">
        <v>4578</v>
      </c>
      <c r="G1232" t="s">
        <v>4584</v>
      </c>
      <c r="H1232" t="s">
        <v>4607</v>
      </c>
      <c r="I1232">
        <v>1</v>
      </c>
      <c r="J1232">
        <v>26.08</v>
      </c>
      <c r="K1232" t="s">
        <v>5461</v>
      </c>
      <c r="L1232">
        <v>6.46</v>
      </c>
      <c r="M1232" t="s">
        <v>5463</v>
      </c>
      <c r="N1232" t="s">
        <v>5470</v>
      </c>
      <c r="O1232" t="s">
        <v>5475</v>
      </c>
    </row>
    <row r="1233" spans="1:15" x14ac:dyDescent="0.3">
      <c r="A1233" t="s">
        <v>1203</v>
      </c>
      <c r="B1233" t="s">
        <v>2463</v>
      </c>
      <c r="C1233" t="s">
        <v>2844</v>
      </c>
      <c r="D1233" t="s">
        <v>4354</v>
      </c>
      <c r="E1233" t="s">
        <v>4552</v>
      </c>
      <c r="F1233" t="s">
        <v>4579</v>
      </c>
      <c r="G1233" t="s">
        <v>4585</v>
      </c>
      <c r="H1233" t="s">
        <v>4591</v>
      </c>
      <c r="I1233">
        <v>2</v>
      </c>
      <c r="J1233" t="s">
        <v>5333</v>
      </c>
      <c r="K1233" t="s">
        <v>5461</v>
      </c>
      <c r="L1233">
        <v>0.34</v>
      </c>
      <c r="M1233" t="s">
        <v>5467</v>
      </c>
      <c r="N1233" t="s">
        <v>5471</v>
      </c>
      <c r="O1233" t="s">
        <v>5477</v>
      </c>
    </row>
    <row r="1234" spans="1:15" x14ac:dyDescent="0.3">
      <c r="A1234" t="s">
        <v>1204</v>
      </c>
      <c r="B1234" t="s">
        <v>2464</v>
      </c>
      <c r="C1234" t="s">
        <v>3211</v>
      </c>
      <c r="D1234" t="s">
        <v>4355</v>
      </c>
      <c r="E1234" t="s">
        <v>4558</v>
      </c>
      <c r="F1234" t="s">
        <v>4580</v>
      </c>
      <c r="G1234" t="s">
        <v>4585</v>
      </c>
      <c r="H1234" t="s">
        <v>4592</v>
      </c>
      <c r="I1234">
        <v>1</v>
      </c>
      <c r="J1234" t="s">
        <v>5334</v>
      </c>
      <c r="K1234" t="s">
        <v>5461</v>
      </c>
      <c r="L1234">
        <v>13.25</v>
      </c>
      <c r="M1234" t="s">
        <v>5467</v>
      </c>
      <c r="N1234" t="s">
        <v>5469</v>
      </c>
      <c r="O1234" t="s">
        <v>5476</v>
      </c>
    </row>
    <row r="1235" spans="1:15" x14ac:dyDescent="0.3">
      <c r="A1235" t="s">
        <v>1205</v>
      </c>
      <c r="B1235" t="s">
        <v>1431</v>
      </c>
      <c r="C1235" t="s">
        <v>2668</v>
      </c>
      <c r="D1235" t="s">
        <v>4356</v>
      </c>
      <c r="E1235" t="s">
        <v>4551</v>
      </c>
      <c r="F1235" t="s">
        <v>4579</v>
      </c>
      <c r="G1235" t="s">
        <v>4586</v>
      </c>
      <c r="H1235" t="s">
        <v>4593</v>
      </c>
      <c r="I1235">
        <v>2</v>
      </c>
      <c r="J1235" t="s">
        <v>5335</v>
      </c>
      <c r="K1235">
        <v>0.05</v>
      </c>
      <c r="L1235">
        <v>11.58</v>
      </c>
      <c r="M1235" t="s">
        <v>5463</v>
      </c>
      <c r="N1235" t="s">
        <v>5471</v>
      </c>
      <c r="O1235" t="s">
        <v>5478</v>
      </c>
    </row>
    <row r="1236" spans="1:15" x14ac:dyDescent="0.3">
      <c r="A1236" t="s">
        <v>1206</v>
      </c>
      <c r="B1236" t="s">
        <v>2182</v>
      </c>
      <c r="C1236" t="s">
        <v>3212</v>
      </c>
      <c r="D1236" t="s">
        <v>4357</v>
      </c>
      <c r="E1236" t="s">
        <v>4566</v>
      </c>
      <c r="F1236" t="s">
        <v>4573</v>
      </c>
      <c r="G1236" t="s">
        <v>4583</v>
      </c>
      <c r="H1236" t="s">
        <v>4605</v>
      </c>
      <c r="I1236">
        <v>3</v>
      </c>
      <c r="J1236">
        <v>45.72</v>
      </c>
      <c r="K1236">
        <v>0.1</v>
      </c>
      <c r="L1236">
        <v>13.14</v>
      </c>
      <c r="M1236" t="s">
        <v>5464</v>
      </c>
      <c r="N1236" t="s">
        <v>5474</v>
      </c>
      <c r="O1236" t="s">
        <v>5480</v>
      </c>
    </row>
    <row r="1237" spans="1:15" x14ac:dyDescent="0.3">
      <c r="A1237" t="s">
        <v>1207</v>
      </c>
      <c r="B1237" t="s">
        <v>2465</v>
      </c>
      <c r="C1237" t="s">
        <v>2684</v>
      </c>
      <c r="D1237" t="s">
        <v>4358</v>
      </c>
      <c r="E1237" t="s">
        <v>4558</v>
      </c>
      <c r="F1237" t="s">
        <v>4580</v>
      </c>
      <c r="G1237" t="s">
        <v>4584</v>
      </c>
      <c r="H1237" t="s">
        <v>4603</v>
      </c>
      <c r="I1237">
        <v>3</v>
      </c>
      <c r="J1237" t="s">
        <v>4647</v>
      </c>
      <c r="K1237">
        <v>0</v>
      </c>
      <c r="L1237">
        <v>9</v>
      </c>
      <c r="M1237" t="s">
        <v>5468</v>
      </c>
      <c r="N1237" t="s">
        <v>5473</v>
      </c>
      <c r="O1237" t="s">
        <v>5476</v>
      </c>
    </row>
    <row r="1238" spans="1:15" x14ac:dyDescent="0.3">
      <c r="A1238" t="s">
        <v>1208</v>
      </c>
      <c r="B1238" t="s">
        <v>2466</v>
      </c>
      <c r="C1238" t="s">
        <v>3213</v>
      </c>
      <c r="E1238" t="s">
        <v>4558</v>
      </c>
      <c r="F1238" t="s">
        <v>4572</v>
      </c>
      <c r="G1238" t="s">
        <v>4583</v>
      </c>
      <c r="H1238" t="s">
        <v>4604</v>
      </c>
      <c r="I1238">
        <v>2</v>
      </c>
      <c r="J1238" t="s">
        <v>5336</v>
      </c>
      <c r="K1238">
        <v>0.15</v>
      </c>
      <c r="M1238" t="s">
        <v>5464</v>
      </c>
      <c r="N1238" t="s">
        <v>5469</v>
      </c>
      <c r="O1238" t="s">
        <v>5477</v>
      </c>
    </row>
    <row r="1239" spans="1:15" x14ac:dyDescent="0.3">
      <c r="A1239" t="s">
        <v>1209</v>
      </c>
      <c r="B1239" t="s">
        <v>2467</v>
      </c>
      <c r="C1239" t="s">
        <v>3016</v>
      </c>
      <c r="D1239" t="s">
        <v>4359</v>
      </c>
      <c r="E1239" t="s">
        <v>4555</v>
      </c>
      <c r="F1239" t="s">
        <v>4573</v>
      </c>
      <c r="G1239" t="s">
        <v>4584</v>
      </c>
      <c r="H1239" t="s">
        <v>4601</v>
      </c>
      <c r="I1239">
        <v>5</v>
      </c>
      <c r="J1239" t="s">
        <v>5337</v>
      </c>
      <c r="K1239" t="s">
        <v>5460</v>
      </c>
      <c r="L1239">
        <v>7.64</v>
      </c>
      <c r="O1239" t="s">
        <v>5478</v>
      </c>
    </row>
    <row r="1240" spans="1:15" x14ac:dyDescent="0.3">
      <c r="A1240" t="s">
        <v>1210</v>
      </c>
      <c r="B1240" t="s">
        <v>2468</v>
      </c>
      <c r="C1240" t="s">
        <v>3214</v>
      </c>
      <c r="D1240" t="s">
        <v>4360</v>
      </c>
      <c r="E1240" t="s">
        <v>4565</v>
      </c>
      <c r="F1240" t="s">
        <v>4579</v>
      </c>
      <c r="G1240" t="s">
        <v>4587</v>
      </c>
      <c r="H1240" t="s">
        <v>4594</v>
      </c>
      <c r="I1240">
        <v>4</v>
      </c>
      <c r="J1240" t="s">
        <v>5338</v>
      </c>
      <c r="K1240" t="s">
        <v>5460</v>
      </c>
      <c r="L1240">
        <v>12.2</v>
      </c>
      <c r="M1240" t="s">
        <v>5464</v>
      </c>
      <c r="N1240" t="s">
        <v>5470</v>
      </c>
      <c r="O1240" t="s">
        <v>5479</v>
      </c>
    </row>
    <row r="1241" spans="1:15" x14ac:dyDescent="0.3">
      <c r="A1241" t="s">
        <v>1211</v>
      </c>
      <c r="B1241" t="s">
        <v>2038</v>
      </c>
      <c r="C1241" t="s">
        <v>2715</v>
      </c>
      <c r="D1241" t="s">
        <v>4361</v>
      </c>
      <c r="E1241" t="s">
        <v>4568</v>
      </c>
      <c r="F1241" t="s">
        <v>4573</v>
      </c>
      <c r="G1241" t="s">
        <v>4585</v>
      </c>
      <c r="H1241" t="s">
        <v>4598</v>
      </c>
      <c r="I1241">
        <v>1</v>
      </c>
      <c r="J1241">
        <v>3.19</v>
      </c>
      <c r="K1241">
        <v>0.1</v>
      </c>
      <c r="L1241">
        <v>0</v>
      </c>
      <c r="M1241" t="s">
        <v>5463</v>
      </c>
      <c r="O1241" t="s">
        <v>5477</v>
      </c>
    </row>
    <row r="1242" spans="1:15" x14ac:dyDescent="0.3">
      <c r="A1242" t="s">
        <v>1212</v>
      </c>
      <c r="B1242" t="s">
        <v>2469</v>
      </c>
      <c r="C1242" t="s">
        <v>2818</v>
      </c>
      <c r="D1242" t="s">
        <v>4362</v>
      </c>
      <c r="E1242" t="s">
        <v>4567</v>
      </c>
      <c r="F1242" t="s">
        <v>4573</v>
      </c>
      <c r="G1242" t="s">
        <v>4585</v>
      </c>
      <c r="H1242" t="s">
        <v>4590</v>
      </c>
      <c r="I1242">
        <v>5</v>
      </c>
      <c r="J1242" t="s">
        <v>5339</v>
      </c>
      <c r="K1242">
        <v>0</v>
      </c>
      <c r="L1242">
        <v>0</v>
      </c>
      <c r="M1242" t="s">
        <v>5464</v>
      </c>
      <c r="N1242" t="s">
        <v>5470</v>
      </c>
      <c r="O1242" t="s">
        <v>5477</v>
      </c>
    </row>
    <row r="1243" spans="1:15" x14ac:dyDescent="0.3">
      <c r="A1243" t="s">
        <v>1213</v>
      </c>
      <c r="B1243" t="s">
        <v>1467</v>
      </c>
      <c r="C1243" t="s">
        <v>2948</v>
      </c>
      <c r="D1243" t="s">
        <v>4363</v>
      </c>
      <c r="E1243" t="s">
        <v>4550</v>
      </c>
      <c r="F1243" t="s">
        <v>4574</v>
      </c>
      <c r="G1243" t="s">
        <v>4583</v>
      </c>
      <c r="H1243" t="s">
        <v>4604</v>
      </c>
      <c r="I1243">
        <v>4</v>
      </c>
      <c r="J1243">
        <v>21.82</v>
      </c>
      <c r="K1243" t="s">
        <v>5460</v>
      </c>
      <c r="L1243">
        <v>4.16</v>
      </c>
      <c r="M1243" t="s">
        <v>5462</v>
      </c>
      <c r="N1243" t="s">
        <v>5474</v>
      </c>
      <c r="O1243" t="s">
        <v>5477</v>
      </c>
    </row>
    <row r="1244" spans="1:15" x14ac:dyDescent="0.3">
      <c r="A1244" t="s">
        <v>251</v>
      </c>
      <c r="B1244" t="s">
        <v>1646</v>
      </c>
      <c r="C1244" t="s">
        <v>2823</v>
      </c>
      <c r="D1244" t="s">
        <v>3483</v>
      </c>
      <c r="E1244" t="s">
        <v>4552</v>
      </c>
      <c r="F1244" t="s">
        <v>4575</v>
      </c>
      <c r="G1244" t="s">
        <v>4585</v>
      </c>
      <c r="H1244" t="s">
        <v>4592</v>
      </c>
      <c r="I1244">
        <v>1</v>
      </c>
      <c r="J1244">
        <v>6.68</v>
      </c>
      <c r="K1244">
        <v>0</v>
      </c>
      <c r="L1244">
        <v>9.9700000000000006</v>
      </c>
      <c r="M1244" t="s">
        <v>5465</v>
      </c>
      <c r="N1244" t="s">
        <v>5472</v>
      </c>
      <c r="O1244" t="s">
        <v>5480</v>
      </c>
    </row>
    <row r="1245" spans="1:15" x14ac:dyDescent="0.3">
      <c r="A1245" t="s">
        <v>1214</v>
      </c>
      <c r="B1245" t="s">
        <v>1864</v>
      </c>
      <c r="C1245" t="s">
        <v>3215</v>
      </c>
      <c r="D1245" t="s">
        <v>4364</v>
      </c>
      <c r="E1245" t="s">
        <v>4562</v>
      </c>
      <c r="F1245" t="s">
        <v>4576</v>
      </c>
      <c r="G1245" t="s">
        <v>4585</v>
      </c>
      <c r="H1245" t="s">
        <v>4590</v>
      </c>
      <c r="I1245">
        <v>10</v>
      </c>
      <c r="J1245" t="s">
        <v>5340</v>
      </c>
      <c r="K1245">
        <v>0.15</v>
      </c>
      <c r="L1245">
        <v>14.6</v>
      </c>
      <c r="N1245" t="s">
        <v>5472</v>
      </c>
      <c r="O1245" t="s">
        <v>5478</v>
      </c>
    </row>
    <row r="1246" spans="1:15" x14ac:dyDescent="0.3">
      <c r="A1246" t="s">
        <v>1215</v>
      </c>
      <c r="B1246" t="s">
        <v>2470</v>
      </c>
      <c r="C1246" t="s">
        <v>3085</v>
      </c>
      <c r="D1246" t="s">
        <v>4365</v>
      </c>
      <c r="E1246" t="s">
        <v>4560</v>
      </c>
      <c r="F1246" t="s">
        <v>4574</v>
      </c>
      <c r="G1246" t="s">
        <v>4584</v>
      </c>
      <c r="H1246" t="s">
        <v>4589</v>
      </c>
      <c r="I1246">
        <v>1</v>
      </c>
      <c r="J1246" t="s">
        <v>5341</v>
      </c>
      <c r="K1246">
        <v>0.05</v>
      </c>
      <c r="L1246">
        <v>1.36</v>
      </c>
      <c r="M1246" t="s">
        <v>5467</v>
      </c>
      <c r="N1246" t="s">
        <v>5473</v>
      </c>
      <c r="O1246" t="s">
        <v>5476</v>
      </c>
    </row>
    <row r="1247" spans="1:15" x14ac:dyDescent="0.3">
      <c r="A1247" t="s">
        <v>1216</v>
      </c>
      <c r="B1247" t="s">
        <v>1851</v>
      </c>
      <c r="C1247" t="s">
        <v>2928</v>
      </c>
      <c r="D1247" t="s">
        <v>4366</v>
      </c>
      <c r="E1247" t="s">
        <v>4562</v>
      </c>
      <c r="F1247" t="s">
        <v>4579</v>
      </c>
      <c r="G1247" t="s">
        <v>4583</v>
      </c>
      <c r="H1247" t="s">
        <v>4605</v>
      </c>
      <c r="I1247">
        <v>5</v>
      </c>
      <c r="J1247">
        <v>44.95</v>
      </c>
      <c r="K1247">
        <v>0</v>
      </c>
      <c r="L1247">
        <v>11.04</v>
      </c>
      <c r="N1247" t="s">
        <v>5473</v>
      </c>
      <c r="O1247" t="s">
        <v>5475</v>
      </c>
    </row>
    <row r="1248" spans="1:15" x14ac:dyDescent="0.3">
      <c r="A1248" t="s">
        <v>29</v>
      </c>
      <c r="B1248" t="s">
        <v>1429</v>
      </c>
      <c r="C1248" t="s">
        <v>3216</v>
      </c>
      <c r="D1248" t="s">
        <v>3276</v>
      </c>
      <c r="E1248" t="s">
        <v>4551</v>
      </c>
      <c r="F1248" t="s">
        <v>4579</v>
      </c>
      <c r="G1248" t="s">
        <v>4585</v>
      </c>
      <c r="H1248" t="s">
        <v>4590</v>
      </c>
      <c r="I1248">
        <v>-1</v>
      </c>
      <c r="J1248">
        <v>13.36</v>
      </c>
      <c r="K1248" t="s">
        <v>5461</v>
      </c>
      <c r="L1248">
        <v>6.24</v>
      </c>
      <c r="N1248" t="s">
        <v>5471</v>
      </c>
      <c r="O1248" t="s">
        <v>5477</v>
      </c>
    </row>
    <row r="1249" spans="1:15" x14ac:dyDescent="0.3">
      <c r="A1249" t="s">
        <v>1217</v>
      </c>
      <c r="B1249" t="s">
        <v>2471</v>
      </c>
      <c r="C1249" t="s">
        <v>3217</v>
      </c>
      <c r="D1249" t="s">
        <v>4367</v>
      </c>
      <c r="E1249" t="s">
        <v>4566</v>
      </c>
      <c r="F1249" t="s">
        <v>4582</v>
      </c>
      <c r="G1249" t="s">
        <v>4585</v>
      </c>
      <c r="H1249" t="s">
        <v>4592</v>
      </c>
      <c r="I1249">
        <v>4</v>
      </c>
      <c r="J1249" t="s">
        <v>5342</v>
      </c>
      <c r="K1249">
        <v>0</v>
      </c>
      <c r="L1249">
        <v>5.5</v>
      </c>
      <c r="M1249" t="s">
        <v>5462</v>
      </c>
      <c r="N1249" t="s">
        <v>5470</v>
      </c>
      <c r="O1249" t="s">
        <v>5477</v>
      </c>
    </row>
    <row r="1250" spans="1:15" x14ac:dyDescent="0.3">
      <c r="A1250" t="s">
        <v>1218</v>
      </c>
      <c r="B1250" t="s">
        <v>2472</v>
      </c>
      <c r="C1250" t="s">
        <v>3098</v>
      </c>
      <c r="D1250" t="s">
        <v>4368</v>
      </c>
      <c r="E1250" t="s">
        <v>4571</v>
      </c>
      <c r="F1250" t="s">
        <v>4573</v>
      </c>
      <c r="G1250" t="s">
        <v>4585</v>
      </c>
      <c r="H1250" t="s">
        <v>4598</v>
      </c>
      <c r="I1250">
        <v>1</v>
      </c>
      <c r="J1250" t="s">
        <v>4915</v>
      </c>
      <c r="K1250" t="s">
        <v>5461</v>
      </c>
      <c r="L1250">
        <v>1.22</v>
      </c>
      <c r="M1250" t="s">
        <v>5463</v>
      </c>
      <c r="N1250" t="s">
        <v>5469</v>
      </c>
      <c r="O1250" t="s">
        <v>5475</v>
      </c>
    </row>
    <row r="1251" spans="1:15" x14ac:dyDescent="0.3">
      <c r="A1251" t="s">
        <v>1219</v>
      </c>
      <c r="B1251" t="s">
        <v>2473</v>
      </c>
      <c r="C1251" t="s">
        <v>3040</v>
      </c>
      <c r="D1251" t="s">
        <v>4369</v>
      </c>
      <c r="E1251" t="s">
        <v>4564</v>
      </c>
      <c r="F1251" t="s">
        <v>4573</v>
      </c>
      <c r="G1251" t="s">
        <v>4587</v>
      </c>
      <c r="H1251" t="s">
        <v>4600</v>
      </c>
      <c r="I1251">
        <v>4</v>
      </c>
      <c r="J1251">
        <v>12.52</v>
      </c>
      <c r="K1251">
        <v>0.15</v>
      </c>
      <c r="L1251">
        <v>0.38</v>
      </c>
      <c r="N1251" t="s">
        <v>5469</v>
      </c>
      <c r="O1251" t="s">
        <v>5476</v>
      </c>
    </row>
    <row r="1252" spans="1:15" x14ac:dyDescent="0.3">
      <c r="A1252" t="s">
        <v>1220</v>
      </c>
      <c r="B1252" t="s">
        <v>2474</v>
      </c>
      <c r="C1252" t="s">
        <v>3218</v>
      </c>
      <c r="D1252" t="s">
        <v>4370</v>
      </c>
      <c r="E1252" t="s">
        <v>4552</v>
      </c>
      <c r="F1252" t="s">
        <v>4576</v>
      </c>
      <c r="G1252" t="s">
        <v>4586</v>
      </c>
      <c r="H1252" t="s">
        <v>4593</v>
      </c>
      <c r="I1252">
        <v>-1</v>
      </c>
      <c r="J1252" t="s">
        <v>5343</v>
      </c>
      <c r="K1252">
        <v>0.1</v>
      </c>
      <c r="M1252" t="s">
        <v>5465</v>
      </c>
      <c r="N1252" t="s">
        <v>5473</v>
      </c>
      <c r="O1252" t="s">
        <v>5480</v>
      </c>
    </row>
    <row r="1253" spans="1:15" x14ac:dyDescent="0.3">
      <c r="A1253" t="s">
        <v>1221</v>
      </c>
      <c r="B1253" t="s">
        <v>2475</v>
      </c>
      <c r="C1253" t="s">
        <v>2945</v>
      </c>
      <c r="D1253" t="s">
        <v>4371</v>
      </c>
      <c r="E1253" t="s">
        <v>4552</v>
      </c>
      <c r="F1253" t="s">
        <v>4575</v>
      </c>
      <c r="G1253" t="s">
        <v>4585</v>
      </c>
      <c r="H1253" t="s">
        <v>4598</v>
      </c>
      <c r="I1253">
        <v>-1</v>
      </c>
      <c r="J1253">
        <v>3.01</v>
      </c>
      <c r="L1253">
        <v>0</v>
      </c>
      <c r="M1253" t="s">
        <v>5464</v>
      </c>
      <c r="N1253" t="s">
        <v>5469</v>
      </c>
      <c r="O1253" t="s">
        <v>5477</v>
      </c>
    </row>
    <row r="1254" spans="1:15" x14ac:dyDescent="0.3">
      <c r="A1254" t="s">
        <v>1222</v>
      </c>
      <c r="B1254" t="s">
        <v>2476</v>
      </c>
      <c r="C1254" t="s">
        <v>3219</v>
      </c>
      <c r="D1254" t="s">
        <v>4372</v>
      </c>
      <c r="E1254" t="s">
        <v>4569</v>
      </c>
      <c r="F1254" t="s">
        <v>4572</v>
      </c>
      <c r="G1254" t="s">
        <v>4583</v>
      </c>
      <c r="H1254" t="s">
        <v>4610</v>
      </c>
      <c r="I1254">
        <v>1</v>
      </c>
      <c r="J1254">
        <v>83.33</v>
      </c>
      <c r="K1254">
        <v>0</v>
      </c>
      <c r="L1254">
        <v>10.87</v>
      </c>
      <c r="N1254" t="s">
        <v>5469</v>
      </c>
      <c r="O1254" t="s">
        <v>5476</v>
      </c>
    </row>
    <row r="1255" spans="1:15" x14ac:dyDescent="0.3">
      <c r="A1255" t="s">
        <v>1223</v>
      </c>
      <c r="B1255" t="s">
        <v>2477</v>
      </c>
      <c r="C1255" t="s">
        <v>2965</v>
      </c>
      <c r="E1255" t="s">
        <v>4560</v>
      </c>
      <c r="F1255" t="s">
        <v>4573</v>
      </c>
      <c r="G1255" t="s">
        <v>4584</v>
      </c>
      <c r="H1255" t="s">
        <v>4595</v>
      </c>
      <c r="I1255">
        <v>-1</v>
      </c>
      <c r="J1255" t="s">
        <v>5344</v>
      </c>
      <c r="K1255" t="s">
        <v>5461</v>
      </c>
      <c r="L1255">
        <v>2.11</v>
      </c>
      <c r="M1255" t="s">
        <v>5462</v>
      </c>
      <c r="N1255" t="s">
        <v>5473</v>
      </c>
      <c r="O1255" t="s">
        <v>5477</v>
      </c>
    </row>
    <row r="1256" spans="1:15" x14ac:dyDescent="0.3">
      <c r="A1256" t="s">
        <v>1224</v>
      </c>
      <c r="B1256" t="s">
        <v>2478</v>
      </c>
      <c r="C1256" t="s">
        <v>2986</v>
      </c>
      <c r="D1256" t="s">
        <v>4373</v>
      </c>
      <c r="E1256" t="s">
        <v>4554</v>
      </c>
      <c r="F1256" t="s">
        <v>4574</v>
      </c>
      <c r="G1256" t="s">
        <v>4585</v>
      </c>
      <c r="H1256" t="s">
        <v>4591</v>
      </c>
      <c r="I1256">
        <v>10</v>
      </c>
      <c r="J1256">
        <v>7.52</v>
      </c>
      <c r="K1256" t="s">
        <v>5460</v>
      </c>
      <c r="L1256">
        <v>14.15</v>
      </c>
      <c r="M1256" t="s">
        <v>5467</v>
      </c>
      <c r="N1256" t="s">
        <v>5471</v>
      </c>
      <c r="O1256" t="s">
        <v>5477</v>
      </c>
    </row>
    <row r="1257" spans="1:15" x14ac:dyDescent="0.3">
      <c r="A1257" t="s">
        <v>1225</v>
      </c>
      <c r="B1257" t="s">
        <v>1828</v>
      </c>
      <c r="C1257" t="s">
        <v>2684</v>
      </c>
      <c r="D1257" t="s">
        <v>4374</v>
      </c>
      <c r="E1257" t="s">
        <v>4555</v>
      </c>
      <c r="F1257" t="s">
        <v>4578</v>
      </c>
      <c r="G1257" t="s">
        <v>4584</v>
      </c>
      <c r="H1257" t="s">
        <v>4608</v>
      </c>
      <c r="I1257">
        <v>1</v>
      </c>
      <c r="J1257" t="s">
        <v>4687</v>
      </c>
      <c r="L1257">
        <v>10.9</v>
      </c>
      <c r="N1257" t="s">
        <v>5472</v>
      </c>
      <c r="O1257" t="s">
        <v>5476</v>
      </c>
    </row>
    <row r="1258" spans="1:15" x14ac:dyDescent="0.3">
      <c r="A1258" t="s">
        <v>1226</v>
      </c>
      <c r="B1258" t="s">
        <v>2479</v>
      </c>
      <c r="C1258" t="s">
        <v>3220</v>
      </c>
      <c r="D1258" t="s">
        <v>4375</v>
      </c>
      <c r="E1258" t="s">
        <v>4551</v>
      </c>
      <c r="F1258" t="s">
        <v>4576</v>
      </c>
      <c r="G1258" t="s">
        <v>4586</v>
      </c>
      <c r="H1258" t="s">
        <v>4609</v>
      </c>
      <c r="I1258">
        <v>4</v>
      </c>
      <c r="J1258" t="s">
        <v>5345</v>
      </c>
      <c r="K1258">
        <v>0</v>
      </c>
      <c r="L1258">
        <v>0.83</v>
      </c>
      <c r="M1258" t="s">
        <v>5468</v>
      </c>
      <c r="N1258" t="s">
        <v>5473</v>
      </c>
      <c r="O1258" t="s">
        <v>5477</v>
      </c>
    </row>
    <row r="1259" spans="1:15" x14ac:dyDescent="0.3">
      <c r="A1259" t="s">
        <v>1227</v>
      </c>
      <c r="B1259" t="s">
        <v>2059</v>
      </c>
      <c r="C1259" t="s">
        <v>2949</v>
      </c>
      <c r="E1259" t="s">
        <v>4551</v>
      </c>
      <c r="F1259" t="s">
        <v>4575</v>
      </c>
      <c r="G1259" t="s">
        <v>4585</v>
      </c>
      <c r="H1259" t="s">
        <v>4602</v>
      </c>
      <c r="I1259">
        <v>2</v>
      </c>
      <c r="J1259" t="s">
        <v>5346</v>
      </c>
      <c r="L1259">
        <v>2.5</v>
      </c>
      <c r="M1259" t="s">
        <v>5462</v>
      </c>
      <c r="N1259" t="s">
        <v>5471</v>
      </c>
      <c r="O1259" t="s">
        <v>5477</v>
      </c>
    </row>
    <row r="1260" spans="1:15" x14ac:dyDescent="0.3">
      <c r="A1260" t="s">
        <v>1228</v>
      </c>
      <c r="B1260" t="s">
        <v>2396</v>
      </c>
      <c r="C1260" t="s">
        <v>3221</v>
      </c>
      <c r="D1260" t="s">
        <v>4376</v>
      </c>
      <c r="E1260" t="s">
        <v>4553</v>
      </c>
      <c r="F1260" t="s">
        <v>4582</v>
      </c>
      <c r="G1260" t="s">
        <v>4583</v>
      </c>
      <c r="H1260" t="s">
        <v>4610</v>
      </c>
      <c r="I1260">
        <v>4</v>
      </c>
      <c r="J1260" t="s">
        <v>5347</v>
      </c>
      <c r="K1260">
        <v>0</v>
      </c>
      <c r="L1260">
        <v>14.14</v>
      </c>
      <c r="M1260" t="s">
        <v>5462</v>
      </c>
      <c r="N1260" t="s">
        <v>5470</v>
      </c>
      <c r="O1260" t="s">
        <v>5477</v>
      </c>
    </row>
    <row r="1261" spans="1:15" x14ac:dyDescent="0.3">
      <c r="A1261" t="s">
        <v>945</v>
      </c>
      <c r="B1261" t="s">
        <v>2258</v>
      </c>
      <c r="C1261" t="s">
        <v>2814</v>
      </c>
      <c r="D1261" t="s">
        <v>4117</v>
      </c>
      <c r="E1261" t="s">
        <v>4570</v>
      </c>
      <c r="F1261" t="s">
        <v>4574</v>
      </c>
      <c r="G1261" t="s">
        <v>4587</v>
      </c>
      <c r="H1261" t="s">
        <v>4606</v>
      </c>
      <c r="I1261">
        <v>1</v>
      </c>
      <c r="J1261" t="s">
        <v>5174</v>
      </c>
      <c r="K1261" t="s">
        <v>5461</v>
      </c>
      <c r="L1261">
        <v>7.05</v>
      </c>
      <c r="M1261" t="s">
        <v>5467</v>
      </c>
      <c r="N1261" t="s">
        <v>5471</v>
      </c>
      <c r="O1261" t="s">
        <v>5477</v>
      </c>
    </row>
    <row r="1262" spans="1:15" x14ac:dyDescent="0.3">
      <c r="A1262" t="s">
        <v>1229</v>
      </c>
      <c r="B1262" t="s">
        <v>2480</v>
      </c>
      <c r="C1262" t="s">
        <v>2962</v>
      </c>
      <c r="D1262" t="s">
        <v>3704</v>
      </c>
      <c r="E1262" t="s">
        <v>4569</v>
      </c>
      <c r="F1262" t="s">
        <v>4580</v>
      </c>
      <c r="G1262" t="s">
        <v>4585</v>
      </c>
      <c r="H1262" t="s">
        <v>4598</v>
      </c>
      <c r="I1262">
        <v>1</v>
      </c>
      <c r="J1262" t="s">
        <v>5348</v>
      </c>
      <c r="K1262">
        <v>0.05</v>
      </c>
      <c r="L1262">
        <v>13.27</v>
      </c>
      <c r="M1262" t="s">
        <v>5468</v>
      </c>
      <c r="N1262" t="s">
        <v>5474</v>
      </c>
      <c r="O1262" t="s">
        <v>5475</v>
      </c>
    </row>
    <row r="1263" spans="1:15" x14ac:dyDescent="0.3">
      <c r="A1263" t="s">
        <v>1230</v>
      </c>
      <c r="B1263" t="s">
        <v>2481</v>
      </c>
      <c r="C1263" t="s">
        <v>2754</v>
      </c>
      <c r="D1263" t="s">
        <v>4377</v>
      </c>
      <c r="E1263" t="s">
        <v>4550</v>
      </c>
      <c r="F1263" t="s">
        <v>4573</v>
      </c>
      <c r="G1263" t="s">
        <v>4586</v>
      </c>
      <c r="H1263" t="s">
        <v>4609</v>
      </c>
      <c r="I1263">
        <v>1</v>
      </c>
      <c r="J1263" t="s">
        <v>5349</v>
      </c>
      <c r="K1263">
        <v>0</v>
      </c>
      <c r="L1263">
        <v>3.4</v>
      </c>
      <c r="M1263" t="s">
        <v>5462</v>
      </c>
      <c r="N1263" t="s">
        <v>5469</v>
      </c>
      <c r="O1263" t="s">
        <v>5477</v>
      </c>
    </row>
    <row r="1264" spans="1:15" x14ac:dyDescent="0.3">
      <c r="A1264" t="s">
        <v>1231</v>
      </c>
      <c r="B1264" t="s">
        <v>2482</v>
      </c>
      <c r="C1264" t="s">
        <v>2918</v>
      </c>
      <c r="D1264" t="s">
        <v>4378</v>
      </c>
      <c r="E1264" t="s">
        <v>4568</v>
      </c>
      <c r="F1264" t="s">
        <v>4573</v>
      </c>
      <c r="G1264" t="s">
        <v>4584</v>
      </c>
      <c r="H1264" t="s">
        <v>4589</v>
      </c>
      <c r="I1264">
        <v>-1</v>
      </c>
      <c r="J1264">
        <v>35</v>
      </c>
      <c r="K1264">
        <v>0</v>
      </c>
      <c r="L1264">
        <v>11.67</v>
      </c>
      <c r="M1264" t="s">
        <v>5466</v>
      </c>
      <c r="O1264" t="s">
        <v>5477</v>
      </c>
    </row>
    <row r="1265" spans="1:15" x14ac:dyDescent="0.3">
      <c r="A1265" t="s">
        <v>1232</v>
      </c>
      <c r="B1265" t="s">
        <v>2483</v>
      </c>
      <c r="C1265" t="s">
        <v>2642</v>
      </c>
      <c r="D1265" t="s">
        <v>4379</v>
      </c>
      <c r="E1265" t="s">
        <v>4567</v>
      </c>
      <c r="F1265" t="s">
        <v>4582</v>
      </c>
      <c r="G1265" t="s">
        <v>4583</v>
      </c>
      <c r="H1265" t="s">
        <v>4605</v>
      </c>
      <c r="I1265">
        <v>1</v>
      </c>
      <c r="J1265" t="s">
        <v>5350</v>
      </c>
      <c r="K1265">
        <v>0</v>
      </c>
      <c r="L1265">
        <v>14.74</v>
      </c>
      <c r="M1265" t="s">
        <v>5464</v>
      </c>
      <c r="N1265" t="s">
        <v>5474</v>
      </c>
      <c r="O1265" t="s">
        <v>5476</v>
      </c>
    </row>
    <row r="1266" spans="1:15" x14ac:dyDescent="0.3">
      <c r="A1266" t="s">
        <v>1233</v>
      </c>
      <c r="B1266" t="s">
        <v>2484</v>
      </c>
      <c r="C1266" t="s">
        <v>2768</v>
      </c>
      <c r="D1266" t="s">
        <v>4380</v>
      </c>
      <c r="E1266" t="s">
        <v>4548</v>
      </c>
      <c r="F1266" t="s">
        <v>4578</v>
      </c>
      <c r="G1266" t="s">
        <v>4585</v>
      </c>
      <c r="H1266" t="s">
        <v>4598</v>
      </c>
      <c r="I1266">
        <v>1</v>
      </c>
      <c r="J1266" t="s">
        <v>5351</v>
      </c>
      <c r="K1266">
        <v>0.1</v>
      </c>
      <c r="L1266">
        <v>7.96</v>
      </c>
      <c r="M1266" t="s">
        <v>5467</v>
      </c>
      <c r="O1266" t="s">
        <v>5477</v>
      </c>
    </row>
    <row r="1267" spans="1:15" x14ac:dyDescent="0.3">
      <c r="A1267" t="s">
        <v>1234</v>
      </c>
      <c r="B1267" t="s">
        <v>1875</v>
      </c>
      <c r="C1267" t="s">
        <v>2793</v>
      </c>
      <c r="D1267" t="s">
        <v>4381</v>
      </c>
      <c r="E1267" t="s">
        <v>4570</v>
      </c>
      <c r="F1267" t="s">
        <v>4573</v>
      </c>
      <c r="G1267" t="s">
        <v>4587</v>
      </c>
      <c r="H1267" t="s">
        <v>4600</v>
      </c>
      <c r="I1267">
        <v>2</v>
      </c>
      <c r="J1267">
        <v>13.09</v>
      </c>
      <c r="L1267">
        <v>13.07</v>
      </c>
      <c r="M1267" t="s">
        <v>5467</v>
      </c>
      <c r="N1267" t="s">
        <v>5474</v>
      </c>
      <c r="O1267" t="s">
        <v>5477</v>
      </c>
    </row>
    <row r="1268" spans="1:15" x14ac:dyDescent="0.3">
      <c r="A1268" t="s">
        <v>1235</v>
      </c>
      <c r="B1268" t="s">
        <v>2485</v>
      </c>
      <c r="C1268" t="s">
        <v>3222</v>
      </c>
      <c r="D1268" t="s">
        <v>4382</v>
      </c>
      <c r="E1268" t="s">
        <v>4549</v>
      </c>
      <c r="F1268" t="s">
        <v>4573</v>
      </c>
      <c r="G1268" t="s">
        <v>4584</v>
      </c>
      <c r="H1268" t="s">
        <v>4608</v>
      </c>
      <c r="I1268">
        <v>4</v>
      </c>
      <c r="J1268">
        <v>18.53</v>
      </c>
      <c r="K1268" t="s">
        <v>5460</v>
      </c>
      <c r="L1268">
        <v>1.37</v>
      </c>
      <c r="M1268" t="s">
        <v>5466</v>
      </c>
      <c r="N1268" t="s">
        <v>5474</v>
      </c>
      <c r="O1268" t="s">
        <v>5480</v>
      </c>
    </row>
    <row r="1269" spans="1:15" x14ac:dyDescent="0.3">
      <c r="A1269" t="s">
        <v>1236</v>
      </c>
      <c r="B1269" t="s">
        <v>2406</v>
      </c>
      <c r="C1269" t="s">
        <v>2677</v>
      </c>
      <c r="D1269" t="s">
        <v>4383</v>
      </c>
      <c r="E1269" t="s">
        <v>4568</v>
      </c>
      <c r="F1269" t="s">
        <v>4582</v>
      </c>
      <c r="G1269" t="s">
        <v>4587</v>
      </c>
      <c r="H1269" t="s">
        <v>4606</v>
      </c>
      <c r="I1269">
        <v>5</v>
      </c>
      <c r="J1269" t="s">
        <v>5352</v>
      </c>
      <c r="L1269">
        <v>1.35</v>
      </c>
      <c r="M1269" t="s">
        <v>5466</v>
      </c>
      <c r="N1269" t="s">
        <v>5469</v>
      </c>
      <c r="O1269" t="s">
        <v>5477</v>
      </c>
    </row>
    <row r="1270" spans="1:15" x14ac:dyDescent="0.3">
      <c r="A1270" t="s">
        <v>1237</v>
      </c>
      <c r="B1270" t="s">
        <v>2486</v>
      </c>
      <c r="C1270" t="s">
        <v>3223</v>
      </c>
      <c r="D1270" t="s">
        <v>4384</v>
      </c>
      <c r="E1270" t="s">
        <v>4548</v>
      </c>
      <c r="F1270" t="s">
        <v>4578</v>
      </c>
      <c r="G1270" t="s">
        <v>4583</v>
      </c>
      <c r="H1270" t="s">
        <v>4604</v>
      </c>
      <c r="I1270">
        <v>1</v>
      </c>
      <c r="J1270" t="s">
        <v>5353</v>
      </c>
      <c r="K1270">
        <v>0.15</v>
      </c>
      <c r="L1270">
        <v>2.71</v>
      </c>
      <c r="M1270" t="s">
        <v>5465</v>
      </c>
      <c r="N1270" t="s">
        <v>5469</v>
      </c>
      <c r="O1270" t="s">
        <v>5479</v>
      </c>
    </row>
    <row r="1271" spans="1:15" x14ac:dyDescent="0.3">
      <c r="A1271" t="s">
        <v>1238</v>
      </c>
      <c r="B1271" t="s">
        <v>2487</v>
      </c>
      <c r="C1271" t="s">
        <v>2977</v>
      </c>
      <c r="D1271" t="s">
        <v>4385</v>
      </c>
      <c r="E1271" t="s">
        <v>4558</v>
      </c>
      <c r="F1271" t="s">
        <v>4572</v>
      </c>
      <c r="G1271" t="s">
        <v>4587</v>
      </c>
      <c r="H1271" t="s">
        <v>4606</v>
      </c>
      <c r="I1271">
        <v>5</v>
      </c>
      <c r="J1271" t="s">
        <v>5354</v>
      </c>
      <c r="K1271">
        <v>0.15</v>
      </c>
      <c r="L1271">
        <v>6.73</v>
      </c>
      <c r="M1271" t="s">
        <v>5463</v>
      </c>
      <c r="N1271" t="s">
        <v>5469</v>
      </c>
      <c r="O1271" t="s">
        <v>5477</v>
      </c>
    </row>
    <row r="1272" spans="1:15" x14ac:dyDescent="0.3">
      <c r="A1272" t="s">
        <v>1239</v>
      </c>
      <c r="B1272" t="s">
        <v>2488</v>
      </c>
      <c r="C1272" t="s">
        <v>2649</v>
      </c>
      <c r="D1272" t="s">
        <v>4386</v>
      </c>
      <c r="E1272" t="s">
        <v>4570</v>
      </c>
      <c r="F1272" t="s">
        <v>4574</v>
      </c>
      <c r="G1272" t="s">
        <v>4583</v>
      </c>
      <c r="H1272" t="s">
        <v>4588</v>
      </c>
      <c r="I1272">
        <v>4</v>
      </c>
      <c r="J1272">
        <v>39.9</v>
      </c>
      <c r="K1272">
        <v>0</v>
      </c>
      <c r="L1272">
        <v>12.13</v>
      </c>
      <c r="M1272" t="s">
        <v>5464</v>
      </c>
      <c r="N1272" t="s">
        <v>5469</v>
      </c>
      <c r="O1272" t="s">
        <v>5476</v>
      </c>
    </row>
    <row r="1273" spans="1:15" x14ac:dyDescent="0.3">
      <c r="A1273" t="s">
        <v>1240</v>
      </c>
      <c r="B1273" t="s">
        <v>2489</v>
      </c>
      <c r="C1273" t="s">
        <v>3224</v>
      </c>
      <c r="D1273" t="s">
        <v>4387</v>
      </c>
      <c r="E1273" t="s">
        <v>4556</v>
      </c>
      <c r="F1273" t="s">
        <v>4575</v>
      </c>
      <c r="G1273" t="s">
        <v>4584</v>
      </c>
      <c r="H1273" t="s">
        <v>4589</v>
      </c>
      <c r="I1273">
        <v>2</v>
      </c>
      <c r="J1273" t="s">
        <v>5355</v>
      </c>
      <c r="K1273">
        <v>0.1</v>
      </c>
      <c r="L1273">
        <v>4.37</v>
      </c>
      <c r="M1273" t="s">
        <v>5466</v>
      </c>
      <c r="N1273" t="s">
        <v>5474</v>
      </c>
      <c r="O1273" t="s">
        <v>5476</v>
      </c>
    </row>
    <row r="1274" spans="1:15" x14ac:dyDescent="0.3">
      <c r="A1274" t="s">
        <v>1241</v>
      </c>
      <c r="B1274" t="s">
        <v>2241</v>
      </c>
      <c r="C1274" t="s">
        <v>2765</v>
      </c>
      <c r="D1274" t="s">
        <v>4388</v>
      </c>
      <c r="E1274" t="s">
        <v>4561</v>
      </c>
      <c r="F1274" t="s">
        <v>4581</v>
      </c>
      <c r="G1274" t="s">
        <v>4583</v>
      </c>
      <c r="H1274" t="s">
        <v>4588</v>
      </c>
      <c r="I1274">
        <v>-1</v>
      </c>
      <c r="J1274" t="s">
        <v>5356</v>
      </c>
      <c r="K1274">
        <v>0.15</v>
      </c>
      <c r="L1274">
        <v>0</v>
      </c>
      <c r="M1274" t="s">
        <v>5463</v>
      </c>
      <c r="N1274" t="s">
        <v>5471</v>
      </c>
      <c r="O1274" t="s">
        <v>5480</v>
      </c>
    </row>
    <row r="1275" spans="1:15" x14ac:dyDescent="0.3">
      <c r="A1275" t="s">
        <v>1242</v>
      </c>
      <c r="B1275" t="s">
        <v>2490</v>
      </c>
      <c r="C1275" t="s">
        <v>3225</v>
      </c>
      <c r="D1275" t="s">
        <v>4389</v>
      </c>
      <c r="E1275" t="s">
        <v>4570</v>
      </c>
      <c r="F1275" t="s">
        <v>4573</v>
      </c>
      <c r="G1275" t="s">
        <v>4583</v>
      </c>
      <c r="H1275" t="s">
        <v>4610</v>
      </c>
      <c r="I1275">
        <v>2</v>
      </c>
      <c r="J1275">
        <v>82.97</v>
      </c>
      <c r="K1275" t="s">
        <v>5460</v>
      </c>
      <c r="L1275">
        <v>3.9</v>
      </c>
      <c r="M1275" t="s">
        <v>5466</v>
      </c>
      <c r="N1275" t="s">
        <v>5471</v>
      </c>
      <c r="O1275" t="s">
        <v>5480</v>
      </c>
    </row>
    <row r="1276" spans="1:15" x14ac:dyDescent="0.3">
      <c r="A1276" t="s">
        <v>1243</v>
      </c>
      <c r="B1276" t="s">
        <v>2491</v>
      </c>
      <c r="C1276" t="s">
        <v>2811</v>
      </c>
      <c r="D1276" t="s">
        <v>4390</v>
      </c>
      <c r="E1276" t="s">
        <v>4552</v>
      </c>
      <c r="F1276" t="s">
        <v>4579</v>
      </c>
      <c r="G1276" t="s">
        <v>4585</v>
      </c>
      <c r="H1276" t="s">
        <v>4590</v>
      </c>
      <c r="I1276">
        <v>2</v>
      </c>
      <c r="J1276" t="s">
        <v>5357</v>
      </c>
      <c r="K1276">
        <v>0</v>
      </c>
      <c r="L1276">
        <v>12.09</v>
      </c>
      <c r="M1276" t="s">
        <v>5463</v>
      </c>
      <c r="N1276" t="s">
        <v>5469</v>
      </c>
      <c r="O1276" t="s">
        <v>5477</v>
      </c>
    </row>
    <row r="1277" spans="1:15" x14ac:dyDescent="0.3">
      <c r="A1277" t="s">
        <v>1244</v>
      </c>
      <c r="B1277" t="s">
        <v>2450</v>
      </c>
      <c r="C1277" t="s">
        <v>2651</v>
      </c>
      <c r="D1277" t="s">
        <v>4391</v>
      </c>
      <c r="E1277" t="s">
        <v>4563</v>
      </c>
      <c r="F1277" t="s">
        <v>4578</v>
      </c>
      <c r="G1277" t="s">
        <v>4585</v>
      </c>
      <c r="H1277" t="s">
        <v>4591</v>
      </c>
      <c r="I1277">
        <v>1</v>
      </c>
      <c r="J1277" t="s">
        <v>5358</v>
      </c>
      <c r="K1277">
        <v>0</v>
      </c>
      <c r="L1277">
        <v>0.18</v>
      </c>
      <c r="N1277" t="s">
        <v>5474</v>
      </c>
      <c r="O1277" t="s">
        <v>5478</v>
      </c>
    </row>
    <row r="1278" spans="1:15" x14ac:dyDescent="0.3">
      <c r="A1278" t="s">
        <v>1245</v>
      </c>
      <c r="B1278" t="s">
        <v>2492</v>
      </c>
      <c r="C1278" t="s">
        <v>3086</v>
      </c>
      <c r="D1278" t="s">
        <v>4392</v>
      </c>
      <c r="E1278" t="s">
        <v>4569</v>
      </c>
      <c r="F1278" t="s">
        <v>4580</v>
      </c>
      <c r="G1278" t="s">
        <v>4584</v>
      </c>
      <c r="H1278" t="s">
        <v>4601</v>
      </c>
      <c r="I1278">
        <v>4</v>
      </c>
      <c r="J1278" t="s">
        <v>5359</v>
      </c>
      <c r="K1278" t="s">
        <v>5460</v>
      </c>
      <c r="L1278">
        <v>13</v>
      </c>
      <c r="M1278" t="s">
        <v>5466</v>
      </c>
      <c r="N1278" t="s">
        <v>5474</v>
      </c>
      <c r="O1278" t="s">
        <v>5477</v>
      </c>
    </row>
    <row r="1279" spans="1:15" x14ac:dyDescent="0.3">
      <c r="A1279" t="s">
        <v>1246</v>
      </c>
      <c r="B1279" t="s">
        <v>2493</v>
      </c>
      <c r="C1279" t="s">
        <v>3107</v>
      </c>
      <c r="D1279" t="s">
        <v>4393</v>
      </c>
      <c r="E1279" t="s">
        <v>4568</v>
      </c>
      <c r="F1279" t="s">
        <v>4577</v>
      </c>
      <c r="G1279" t="s">
        <v>4587</v>
      </c>
      <c r="H1279" t="s">
        <v>4600</v>
      </c>
      <c r="I1279">
        <v>-1</v>
      </c>
      <c r="J1279" t="s">
        <v>5360</v>
      </c>
      <c r="K1279">
        <v>0</v>
      </c>
      <c r="L1279">
        <v>9.23</v>
      </c>
      <c r="M1279" t="s">
        <v>5464</v>
      </c>
      <c r="N1279" t="s">
        <v>5474</v>
      </c>
      <c r="O1279" t="s">
        <v>5477</v>
      </c>
    </row>
    <row r="1280" spans="1:15" x14ac:dyDescent="0.3">
      <c r="A1280" t="s">
        <v>1247</v>
      </c>
      <c r="B1280" t="s">
        <v>2494</v>
      </c>
      <c r="C1280" t="s">
        <v>3226</v>
      </c>
      <c r="D1280" t="s">
        <v>4394</v>
      </c>
      <c r="E1280" t="s">
        <v>4549</v>
      </c>
      <c r="F1280" t="s">
        <v>4573</v>
      </c>
      <c r="G1280" t="s">
        <v>4585</v>
      </c>
      <c r="H1280" t="s">
        <v>4590</v>
      </c>
      <c r="I1280">
        <v>1</v>
      </c>
      <c r="J1280" t="s">
        <v>5361</v>
      </c>
      <c r="K1280" t="s">
        <v>5460</v>
      </c>
      <c r="L1280">
        <v>6.95</v>
      </c>
      <c r="M1280" t="s">
        <v>5463</v>
      </c>
      <c r="O1280" t="s">
        <v>5477</v>
      </c>
    </row>
    <row r="1281" spans="1:15" x14ac:dyDescent="0.3">
      <c r="A1281" t="s">
        <v>1248</v>
      </c>
      <c r="B1281" t="s">
        <v>1971</v>
      </c>
      <c r="C1281" t="s">
        <v>3164</v>
      </c>
      <c r="D1281" t="s">
        <v>4395</v>
      </c>
      <c r="E1281" t="s">
        <v>4556</v>
      </c>
      <c r="F1281" t="s">
        <v>4576</v>
      </c>
      <c r="G1281" t="s">
        <v>4585</v>
      </c>
      <c r="H1281" t="s">
        <v>4590</v>
      </c>
      <c r="I1281">
        <v>3</v>
      </c>
      <c r="J1281">
        <v>13.54</v>
      </c>
      <c r="K1281">
        <v>0.05</v>
      </c>
      <c r="L1281">
        <v>7.77</v>
      </c>
      <c r="M1281" t="s">
        <v>5466</v>
      </c>
      <c r="N1281" t="s">
        <v>5469</v>
      </c>
      <c r="O1281" t="s">
        <v>5480</v>
      </c>
    </row>
    <row r="1282" spans="1:15" x14ac:dyDescent="0.3">
      <c r="A1282" t="s">
        <v>1249</v>
      </c>
      <c r="B1282" t="s">
        <v>2495</v>
      </c>
      <c r="C1282" t="s">
        <v>2719</v>
      </c>
      <c r="D1282" t="s">
        <v>4396</v>
      </c>
      <c r="E1282" t="s">
        <v>4566</v>
      </c>
      <c r="F1282" t="s">
        <v>4577</v>
      </c>
      <c r="G1282" t="s">
        <v>4586</v>
      </c>
      <c r="H1282" t="s">
        <v>4593</v>
      </c>
      <c r="I1282">
        <v>3</v>
      </c>
      <c r="J1282">
        <v>112.41</v>
      </c>
      <c r="K1282">
        <v>0.15</v>
      </c>
      <c r="L1282">
        <v>7.87</v>
      </c>
      <c r="M1282" t="s">
        <v>5465</v>
      </c>
      <c r="N1282" t="s">
        <v>5470</v>
      </c>
      <c r="O1282" t="s">
        <v>5476</v>
      </c>
    </row>
    <row r="1283" spans="1:15" x14ac:dyDescent="0.3">
      <c r="A1283" t="s">
        <v>1250</v>
      </c>
      <c r="B1283" t="s">
        <v>1474</v>
      </c>
      <c r="C1283" t="s">
        <v>3227</v>
      </c>
      <c r="D1283" t="s">
        <v>4397</v>
      </c>
      <c r="E1283" t="s">
        <v>4562</v>
      </c>
      <c r="F1283" t="s">
        <v>4575</v>
      </c>
      <c r="G1283" t="s">
        <v>4585</v>
      </c>
      <c r="H1283" t="s">
        <v>4591</v>
      </c>
      <c r="I1283">
        <v>2</v>
      </c>
      <c r="J1283">
        <v>7.68</v>
      </c>
      <c r="K1283">
        <v>0.15</v>
      </c>
      <c r="L1283">
        <v>5.68</v>
      </c>
      <c r="M1283" t="s">
        <v>5462</v>
      </c>
      <c r="O1283" t="s">
        <v>5475</v>
      </c>
    </row>
    <row r="1284" spans="1:15" x14ac:dyDescent="0.3">
      <c r="A1284" t="s">
        <v>1251</v>
      </c>
      <c r="B1284" t="s">
        <v>2496</v>
      </c>
      <c r="C1284" t="s">
        <v>3184</v>
      </c>
      <c r="D1284" t="s">
        <v>4398</v>
      </c>
      <c r="E1284" t="s">
        <v>4560</v>
      </c>
      <c r="F1284" t="s">
        <v>4574</v>
      </c>
      <c r="G1284" t="s">
        <v>4585</v>
      </c>
      <c r="H1284" t="s">
        <v>4602</v>
      </c>
      <c r="I1284">
        <v>1</v>
      </c>
      <c r="J1284" t="s">
        <v>5362</v>
      </c>
      <c r="K1284">
        <v>0</v>
      </c>
      <c r="L1284">
        <v>9.35</v>
      </c>
      <c r="N1284" t="s">
        <v>5470</v>
      </c>
      <c r="O1284" t="s">
        <v>5476</v>
      </c>
    </row>
    <row r="1285" spans="1:15" x14ac:dyDescent="0.3">
      <c r="A1285" t="s">
        <v>1252</v>
      </c>
      <c r="B1285" t="s">
        <v>1617</v>
      </c>
      <c r="C1285" t="s">
        <v>2861</v>
      </c>
      <c r="D1285" t="s">
        <v>4399</v>
      </c>
      <c r="E1285" t="s">
        <v>4568</v>
      </c>
      <c r="F1285" t="s">
        <v>4573</v>
      </c>
      <c r="G1285" t="s">
        <v>4583</v>
      </c>
      <c r="H1285" t="s">
        <v>4588</v>
      </c>
      <c r="I1285">
        <v>1</v>
      </c>
      <c r="J1285" t="s">
        <v>5363</v>
      </c>
      <c r="K1285">
        <v>0.15</v>
      </c>
      <c r="L1285">
        <v>1.17</v>
      </c>
      <c r="N1285" t="s">
        <v>5469</v>
      </c>
      <c r="O1285" t="s">
        <v>5478</v>
      </c>
    </row>
    <row r="1286" spans="1:15" x14ac:dyDescent="0.3">
      <c r="A1286" t="s">
        <v>1253</v>
      </c>
      <c r="B1286" t="s">
        <v>2497</v>
      </c>
      <c r="C1286" t="s">
        <v>2680</v>
      </c>
      <c r="D1286" t="s">
        <v>4400</v>
      </c>
      <c r="E1286" t="s">
        <v>4548</v>
      </c>
      <c r="F1286" t="s">
        <v>4573</v>
      </c>
      <c r="G1286" t="s">
        <v>4584</v>
      </c>
      <c r="H1286" t="s">
        <v>4595</v>
      </c>
      <c r="I1286">
        <v>2</v>
      </c>
      <c r="J1286" t="s">
        <v>5364</v>
      </c>
      <c r="K1286" t="s">
        <v>5461</v>
      </c>
      <c r="L1286">
        <v>3.06</v>
      </c>
      <c r="N1286" t="s">
        <v>5472</v>
      </c>
      <c r="O1286" t="s">
        <v>5476</v>
      </c>
    </row>
    <row r="1287" spans="1:15" x14ac:dyDescent="0.3">
      <c r="A1287" t="s">
        <v>1254</v>
      </c>
      <c r="B1287" t="s">
        <v>2498</v>
      </c>
      <c r="C1287" t="s">
        <v>2735</v>
      </c>
      <c r="D1287" t="s">
        <v>4401</v>
      </c>
      <c r="E1287" t="s">
        <v>4568</v>
      </c>
      <c r="F1287" t="s">
        <v>4582</v>
      </c>
      <c r="G1287" t="s">
        <v>4586</v>
      </c>
      <c r="H1287" t="s">
        <v>4593</v>
      </c>
      <c r="I1287">
        <v>1</v>
      </c>
      <c r="J1287">
        <v>111.55</v>
      </c>
      <c r="L1287">
        <v>12.54</v>
      </c>
      <c r="N1287" t="s">
        <v>5470</v>
      </c>
      <c r="O1287" t="s">
        <v>5479</v>
      </c>
    </row>
    <row r="1288" spans="1:15" x14ac:dyDescent="0.3">
      <c r="A1288" t="s">
        <v>353</v>
      </c>
      <c r="B1288" t="s">
        <v>1745</v>
      </c>
      <c r="C1288" t="s">
        <v>2891</v>
      </c>
      <c r="D1288" t="s">
        <v>3578</v>
      </c>
      <c r="E1288" t="s">
        <v>4566</v>
      </c>
      <c r="F1288" t="s">
        <v>4577</v>
      </c>
      <c r="G1288" t="s">
        <v>4587</v>
      </c>
      <c r="H1288" t="s">
        <v>4594</v>
      </c>
      <c r="I1288">
        <v>5</v>
      </c>
      <c r="J1288">
        <v>62.33</v>
      </c>
      <c r="K1288">
        <v>0.1</v>
      </c>
      <c r="L1288">
        <v>8.39</v>
      </c>
      <c r="M1288" t="s">
        <v>5462</v>
      </c>
      <c r="N1288" t="s">
        <v>5473</v>
      </c>
      <c r="O1288" t="s">
        <v>5476</v>
      </c>
    </row>
    <row r="1289" spans="1:15" x14ac:dyDescent="0.3">
      <c r="A1289" t="s">
        <v>1255</v>
      </c>
      <c r="B1289" t="s">
        <v>2499</v>
      </c>
      <c r="C1289" t="s">
        <v>2707</v>
      </c>
      <c r="E1289" t="s">
        <v>4548</v>
      </c>
      <c r="F1289" t="s">
        <v>4578</v>
      </c>
      <c r="G1289" t="s">
        <v>4584</v>
      </c>
      <c r="H1289" t="s">
        <v>4607</v>
      </c>
      <c r="I1289">
        <v>5</v>
      </c>
      <c r="J1289">
        <v>25.67</v>
      </c>
      <c r="K1289">
        <v>0</v>
      </c>
      <c r="L1289">
        <v>3.29</v>
      </c>
      <c r="M1289" t="s">
        <v>5464</v>
      </c>
      <c r="N1289" t="s">
        <v>5470</v>
      </c>
      <c r="O1289" t="s">
        <v>5480</v>
      </c>
    </row>
    <row r="1290" spans="1:15" x14ac:dyDescent="0.3">
      <c r="A1290" t="s">
        <v>453</v>
      </c>
      <c r="B1290" t="s">
        <v>1835</v>
      </c>
      <c r="C1290" t="s">
        <v>3228</v>
      </c>
      <c r="D1290" t="s">
        <v>3670</v>
      </c>
      <c r="E1290" t="s">
        <v>4557</v>
      </c>
      <c r="F1290" t="s">
        <v>4581</v>
      </c>
      <c r="G1290" t="s">
        <v>4587</v>
      </c>
      <c r="H1290" t="s">
        <v>4596</v>
      </c>
      <c r="I1290">
        <v>1</v>
      </c>
      <c r="J1290">
        <v>14.92</v>
      </c>
      <c r="K1290">
        <v>0.05</v>
      </c>
      <c r="L1290">
        <v>0</v>
      </c>
      <c r="N1290" t="s">
        <v>5474</v>
      </c>
      <c r="O1290" t="s">
        <v>5477</v>
      </c>
    </row>
    <row r="1291" spans="1:15" x14ac:dyDescent="0.3">
      <c r="A1291" t="s">
        <v>1256</v>
      </c>
      <c r="B1291" t="s">
        <v>2500</v>
      </c>
      <c r="C1291" t="s">
        <v>3051</v>
      </c>
      <c r="D1291" t="s">
        <v>4402</v>
      </c>
      <c r="E1291" t="s">
        <v>4553</v>
      </c>
      <c r="F1291" t="s">
        <v>4577</v>
      </c>
      <c r="G1291" t="s">
        <v>4585</v>
      </c>
      <c r="H1291" t="s">
        <v>4592</v>
      </c>
      <c r="I1291">
        <v>3</v>
      </c>
      <c r="J1291" t="s">
        <v>5342</v>
      </c>
      <c r="K1291">
        <v>0.15</v>
      </c>
      <c r="L1291">
        <v>14.95</v>
      </c>
      <c r="O1291" t="s">
        <v>5480</v>
      </c>
    </row>
    <row r="1292" spans="1:15" x14ac:dyDescent="0.3">
      <c r="A1292" t="s">
        <v>1257</v>
      </c>
      <c r="B1292" t="s">
        <v>2501</v>
      </c>
      <c r="C1292" t="s">
        <v>2984</v>
      </c>
      <c r="D1292" t="s">
        <v>4403</v>
      </c>
      <c r="E1292" t="s">
        <v>4555</v>
      </c>
      <c r="F1292" t="s">
        <v>4578</v>
      </c>
      <c r="H1292" t="s">
        <v>4600</v>
      </c>
      <c r="I1292">
        <v>-1</v>
      </c>
      <c r="J1292" t="s">
        <v>5365</v>
      </c>
      <c r="K1292" t="s">
        <v>5461</v>
      </c>
      <c r="L1292">
        <v>9.0500000000000007</v>
      </c>
      <c r="M1292" t="s">
        <v>5463</v>
      </c>
      <c r="N1292" t="s">
        <v>5474</v>
      </c>
      <c r="O1292" t="s">
        <v>5475</v>
      </c>
    </row>
    <row r="1293" spans="1:15" x14ac:dyDescent="0.3">
      <c r="A1293" t="s">
        <v>1258</v>
      </c>
      <c r="B1293" t="s">
        <v>2502</v>
      </c>
      <c r="C1293" t="s">
        <v>2707</v>
      </c>
      <c r="D1293" t="s">
        <v>4404</v>
      </c>
      <c r="E1293" t="s">
        <v>4563</v>
      </c>
      <c r="G1293" t="s">
        <v>4583</v>
      </c>
      <c r="H1293" t="s">
        <v>4610</v>
      </c>
      <c r="I1293">
        <v>1</v>
      </c>
      <c r="J1293">
        <v>77.930000000000007</v>
      </c>
      <c r="K1293">
        <v>0</v>
      </c>
      <c r="L1293">
        <v>13.15</v>
      </c>
      <c r="N1293" t="s">
        <v>5472</v>
      </c>
      <c r="O1293" t="s">
        <v>5477</v>
      </c>
    </row>
    <row r="1294" spans="1:15" x14ac:dyDescent="0.3">
      <c r="A1294" t="s">
        <v>1259</v>
      </c>
      <c r="B1294" t="s">
        <v>2503</v>
      </c>
      <c r="C1294" t="s">
        <v>2730</v>
      </c>
      <c r="D1294" t="s">
        <v>4405</v>
      </c>
      <c r="E1294" t="s">
        <v>4556</v>
      </c>
      <c r="F1294" t="s">
        <v>4579</v>
      </c>
      <c r="G1294" t="s">
        <v>4585</v>
      </c>
      <c r="H1294" t="s">
        <v>4590</v>
      </c>
      <c r="I1294">
        <v>-1</v>
      </c>
      <c r="J1294" t="s">
        <v>4885</v>
      </c>
      <c r="K1294">
        <v>0.1</v>
      </c>
      <c r="L1294">
        <v>1.92</v>
      </c>
      <c r="M1294" t="s">
        <v>5463</v>
      </c>
      <c r="N1294" t="s">
        <v>5470</v>
      </c>
      <c r="O1294" t="s">
        <v>5475</v>
      </c>
    </row>
    <row r="1295" spans="1:15" x14ac:dyDescent="0.3">
      <c r="A1295" t="s">
        <v>1260</v>
      </c>
      <c r="B1295" t="s">
        <v>2504</v>
      </c>
      <c r="C1295" t="s">
        <v>2850</v>
      </c>
      <c r="D1295" t="s">
        <v>4406</v>
      </c>
      <c r="E1295" t="s">
        <v>4551</v>
      </c>
      <c r="F1295" t="s">
        <v>4579</v>
      </c>
      <c r="G1295" t="s">
        <v>4584</v>
      </c>
      <c r="H1295" t="s">
        <v>4607</v>
      </c>
      <c r="I1295">
        <v>4</v>
      </c>
      <c r="J1295" t="s">
        <v>5366</v>
      </c>
      <c r="K1295">
        <v>0</v>
      </c>
      <c r="L1295">
        <v>0</v>
      </c>
      <c r="N1295" t="s">
        <v>5473</v>
      </c>
      <c r="O1295" t="s">
        <v>5480</v>
      </c>
    </row>
    <row r="1296" spans="1:15" x14ac:dyDescent="0.3">
      <c r="A1296" t="s">
        <v>1261</v>
      </c>
      <c r="B1296" t="s">
        <v>2505</v>
      </c>
      <c r="C1296" t="s">
        <v>2748</v>
      </c>
      <c r="D1296" t="s">
        <v>4407</v>
      </c>
      <c r="E1296" t="s">
        <v>4562</v>
      </c>
      <c r="F1296" t="s">
        <v>4579</v>
      </c>
      <c r="G1296" t="s">
        <v>4586</v>
      </c>
      <c r="H1296" t="s">
        <v>4593</v>
      </c>
      <c r="I1296">
        <v>2</v>
      </c>
      <c r="J1296" t="s">
        <v>5367</v>
      </c>
      <c r="K1296" t="s">
        <v>5461</v>
      </c>
      <c r="L1296">
        <v>10.31</v>
      </c>
      <c r="M1296" t="s">
        <v>5465</v>
      </c>
      <c r="N1296" t="s">
        <v>5469</v>
      </c>
      <c r="O1296" t="s">
        <v>5477</v>
      </c>
    </row>
    <row r="1297" spans="1:15" x14ac:dyDescent="0.3">
      <c r="A1297" t="s">
        <v>1262</v>
      </c>
      <c r="B1297" t="s">
        <v>2506</v>
      </c>
      <c r="C1297" t="s">
        <v>3166</v>
      </c>
      <c r="D1297" t="s">
        <v>4408</v>
      </c>
      <c r="E1297" t="s">
        <v>4570</v>
      </c>
      <c r="F1297" t="s">
        <v>4573</v>
      </c>
      <c r="G1297" t="s">
        <v>4585</v>
      </c>
      <c r="H1297" t="s">
        <v>4591</v>
      </c>
      <c r="I1297">
        <v>2</v>
      </c>
      <c r="J1297" t="s">
        <v>5368</v>
      </c>
      <c r="K1297">
        <v>0</v>
      </c>
      <c r="L1297">
        <v>6.85</v>
      </c>
      <c r="M1297" t="s">
        <v>5462</v>
      </c>
      <c r="N1297" t="s">
        <v>5474</v>
      </c>
      <c r="O1297" t="s">
        <v>5476</v>
      </c>
    </row>
    <row r="1298" spans="1:15" x14ac:dyDescent="0.3">
      <c r="A1298" t="s">
        <v>1263</v>
      </c>
      <c r="B1298" t="s">
        <v>1958</v>
      </c>
      <c r="C1298" t="s">
        <v>3229</v>
      </c>
      <c r="D1298" t="s">
        <v>4409</v>
      </c>
      <c r="E1298" t="s">
        <v>4548</v>
      </c>
      <c r="F1298" t="s">
        <v>4573</v>
      </c>
      <c r="G1298" t="s">
        <v>4587</v>
      </c>
      <c r="H1298" t="s">
        <v>4600</v>
      </c>
      <c r="I1298">
        <v>2</v>
      </c>
      <c r="J1298" t="s">
        <v>5369</v>
      </c>
      <c r="K1298">
        <v>0.1</v>
      </c>
      <c r="L1298">
        <v>14.41</v>
      </c>
      <c r="N1298" t="s">
        <v>5470</v>
      </c>
      <c r="O1298" t="s">
        <v>5480</v>
      </c>
    </row>
    <row r="1299" spans="1:15" x14ac:dyDescent="0.3">
      <c r="A1299" t="s">
        <v>1264</v>
      </c>
      <c r="B1299" t="s">
        <v>2507</v>
      </c>
      <c r="C1299" t="s">
        <v>2702</v>
      </c>
      <c r="D1299" t="s">
        <v>4410</v>
      </c>
      <c r="E1299" t="s">
        <v>4566</v>
      </c>
      <c r="F1299" t="s">
        <v>4573</v>
      </c>
      <c r="G1299" t="s">
        <v>4586</v>
      </c>
      <c r="H1299" t="s">
        <v>4609</v>
      </c>
      <c r="I1299">
        <v>3</v>
      </c>
      <c r="J1299">
        <v>123.43</v>
      </c>
      <c r="K1299">
        <v>0.05</v>
      </c>
      <c r="L1299">
        <v>10.56</v>
      </c>
      <c r="M1299" t="s">
        <v>5468</v>
      </c>
      <c r="N1299" t="s">
        <v>5473</v>
      </c>
      <c r="O1299" t="s">
        <v>5478</v>
      </c>
    </row>
    <row r="1300" spans="1:15" x14ac:dyDescent="0.3">
      <c r="A1300" t="s">
        <v>1265</v>
      </c>
      <c r="B1300" t="s">
        <v>2508</v>
      </c>
      <c r="C1300" t="s">
        <v>2856</v>
      </c>
      <c r="D1300" t="s">
        <v>4411</v>
      </c>
      <c r="E1300" t="s">
        <v>4557</v>
      </c>
      <c r="G1300" t="s">
        <v>4583</v>
      </c>
      <c r="H1300" t="s">
        <v>4605</v>
      </c>
      <c r="I1300">
        <v>-1</v>
      </c>
      <c r="J1300" t="s">
        <v>5370</v>
      </c>
      <c r="L1300">
        <v>4.04</v>
      </c>
      <c r="M1300" t="s">
        <v>5467</v>
      </c>
      <c r="N1300" t="s">
        <v>5474</v>
      </c>
      <c r="O1300" t="s">
        <v>5477</v>
      </c>
    </row>
    <row r="1301" spans="1:15" x14ac:dyDescent="0.3">
      <c r="A1301" t="s">
        <v>1266</v>
      </c>
      <c r="B1301" t="s">
        <v>2509</v>
      </c>
      <c r="C1301" t="s">
        <v>3230</v>
      </c>
      <c r="D1301" t="s">
        <v>4412</v>
      </c>
      <c r="E1301" t="s">
        <v>4551</v>
      </c>
      <c r="F1301" t="s">
        <v>4576</v>
      </c>
      <c r="G1301" t="s">
        <v>4586</v>
      </c>
      <c r="H1301" t="s">
        <v>4609</v>
      </c>
      <c r="I1301">
        <v>5</v>
      </c>
      <c r="J1301">
        <v>134.30000000000001</v>
      </c>
      <c r="K1301">
        <v>0</v>
      </c>
      <c r="L1301">
        <v>0</v>
      </c>
      <c r="M1301" t="s">
        <v>5468</v>
      </c>
      <c r="N1301" t="s">
        <v>5474</v>
      </c>
      <c r="O1301" t="s">
        <v>5477</v>
      </c>
    </row>
    <row r="1302" spans="1:15" x14ac:dyDescent="0.3">
      <c r="A1302" t="s">
        <v>1267</v>
      </c>
      <c r="B1302" t="s">
        <v>2510</v>
      </c>
      <c r="C1302" t="s">
        <v>3159</v>
      </c>
      <c r="D1302" t="s">
        <v>4413</v>
      </c>
      <c r="E1302" t="s">
        <v>4563</v>
      </c>
      <c r="F1302" t="s">
        <v>4573</v>
      </c>
      <c r="G1302" t="s">
        <v>4585</v>
      </c>
      <c r="H1302" t="s">
        <v>4592</v>
      </c>
      <c r="I1302">
        <v>1</v>
      </c>
      <c r="J1302">
        <v>6.49</v>
      </c>
      <c r="K1302">
        <v>0.05</v>
      </c>
      <c r="L1302">
        <v>6.19</v>
      </c>
      <c r="M1302" t="s">
        <v>5463</v>
      </c>
      <c r="N1302" t="s">
        <v>5473</v>
      </c>
      <c r="O1302" t="s">
        <v>5477</v>
      </c>
    </row>
    <row r="1303" spans="1:15" x14ac:dyDescent="0.3">
      <c r="A1303" t="s">
        <v>1268</v>
      </c>
      <c r="B1303" t="s">
        <v>2511</v>
      </c>
      <c r="C1303" t="s">
        <v>2895</v>
      </c>
      <c r="D1303" t="s">
        <v>4414</v>
      </c>
      <c r="E1303" t="s">
        <v>4560</v>
      </c>
      <c r="F1303" t="s">
        <v>4574</v>
      </c>
      <c r="G1303" t="s">
        <v>4585</v>
      </c>
      <c r="H1303" t="s">
        <v>4590</v>
      </c>
      <c r="I1303">
        <v>10</v>
      </c>
      <c r="J1303" t="s">
        <v>5371</v>
      </c>
      <c r="K1303">
        <v>0</v>
      </c>
      <c r="L1303">
        <v>8.69</v>
      </c>
      <c r="M1303" t="s">
        <v>5465</v>
      </c>
      <c r="N1303" t="s">
        <v>5470</v>
      </c>
      <c r="O1303" t="s">
        <v>5477</v>
      </c>
    </row>
    <row r="1304" spans="1:15" x14ac:dyDescent="0.3">
      <c r="A1304" t="s">
        <v>1269</v>
      </c>
      <c r="B1304" t="s">
        <v>2431</v>
      </c>
      <c r="C1304" t="s">
        <v>3231</v>
      </c>
      <c r="D1304" t="s">
        <v>4415</v>
      </c>
      <c r="E1304" t="s">
        <v>4558</v>
      </c>
      <c r="F1304" t="s">
        <v>4581</v>
      </c>
      <c r="G1304" t="s">
        <v>4586</v>
      </c>
      <c r="H1304" t="s">
        <v>4599</v>
      </c>
      <c r="I1304">
        <v>10</v>
      </c>
      <c r="J1304">
        <v>241.5</v>
      </c>
      <c r="K1304">
        <v>0</v>
      </c>
      <c r="L1304">
        <v>0.15</v>
      </c>
      <c r="M1304" t="s">
        <v>5467</v>
      </c>
      <c r="N1304" t="s">
        <v>5474</v>
      </c>
      <c r="O1304" t="s">
        <v>5477</v>
      </c>
    </row>
    <row r="1305" spans="1:15" x14ac:dyDescent="0.3">
      <c r="A1305" t="s">
        <v>1270</v>
      </c>
      <c r="B1305" t="s">
        <v>2512</v>
      </c>
      <c r="C1305" t="s">
        <v>3232</v>
      </c>
      <c r="D1305" t="s">
        <v>4416</v>
      </c>
      <c r="E1305" t="s">
        <v>4556</v>
      </c>
      <c r="F1305" t="s">
        <v>4575</v>
      </c>
      <c r="G1305" t="s">
        <v>4585</v>
      </c>
      <c r="H1305" t="s">
        <v>4591</v>
      </c>
      <c r="I1305">
        <v>1</v>
      </c>
      <c r="J1305">
        <v>7.7</v>
      </c>
      <c r="K1305" t="s">
        <v>5460</v>
      </c>
      <c r="L1305">
        <v>9.0500000000000007</v>
      </c>
      <c r="M1305" t="s">
        <v>5463</v>
      </c>
      <c r="O1305" t="s">
        <v>5477</v>
      </c>
    </row>
    <row r="1306" spans="1:15" x14ac:dyDescent="0.3">
      <c r="A1306" t="s">
        <v>1271</v>
      </c>
      <c r="B1306" t="s">
        <v>2513</v>
      </c>
      <c r="C1306" t="s">
        <v>3233</v>
      </c>
      <c r="D1306" t="s">
        <v>4417</v>
      </c>
      <c r="E1306" t="s">
        <v>4549</v>
      </c>
      <c r="F1306" t="s">
        <v>4574</v>
      </c>
      <c r="G1306" t="s">
        <v>4584</v>
      </c>
      <c r="H1306" t="s">
        <v>4589</v>
      </c>
      <c r="I1306">
        <v>4</v>
      </c>
      <c r="J1306" t="s">
        <v>5372</v>
      </c>
      <c r="K1306" t="s">
        <v>5461</v>
      </c>
      <c r="L1306">
        <v>13.38</v>
      </c>
      <c r="M1306" t="s">
        <v>5463</v>
      </c>
      <c r="N1306" t="s">
        <v>5472</v>
      </c>
      <c r="O1306" t="s">
        <v>5477</v>
      </c>
    </row>
    <row r="1307" spans="1:15" x14ac:dyDescent="0.3">
      <c r="A1307" t="s">
        <v>1272</v>
      </c>
      <c r="B1307" t="s">
        <v>2514</v>
      </c>
      <c r="C1307" t="s">
        <v>2739</v>
      </c>
      <c r="D1307" t="s">
        <v>4418</v>
      </c>
      <c r="E1307" t="s">
        <v>4557</v>
      </c>
      <c r="F1307" t="s">
        <v>4581</v>
      </c>
      <c r="G1307" t="s">
        <v>4587</v>
      </c>
      <c r="H1307" t="s">
        <v>4606</v>
      </c>
      <c r="I1307">
        <v>2</v>
      </c>
      <c r="J1307" t="s">
        <v>5373</v>
      </c>
      <c r="K1307">
        <v>0.1</v>
      </c>
      <c r="L1307">
        <v>9.11</v>
      </c>
      <c r="M1307" t="s">
        <v>5462</v>
      </c>
      <c r="N1307" t="s">
        <v>5472</v>
      </c>
      <c r="O1307" t="s">
        <v>5478</v>
      </c>
    </row>
    <row r="1308" spans="1:15" x14ac:dyDescent="0.3">
      <c r="A1308" t="s">
        <v>1273</v>
      </c>
      <c r="B1308" t="s">
        <v>2515</v>
      </c>
      <c r="C1308" t="s">
        <v>2673</v>
      </c>
      <c r="D1308" t="s">
        <v>4419</v>
      </c>
      <c r="E1308" t="s">
        <v>4551</v>
      </c>
      <c r="F1308" t="s">
        <v>4575</v>
      </c>
      <c r="G1308" t="s">
        <v>4587</v>
      </c>
      <c r="H1308" t="s">
        <v>4594</v>
      </c>
      <c r="I1308">
        <v>3</v>
      </c>
      <c r="J1308" t="s">
        <v>5374</v>
      </c>
      <c r="K1308">
        <v>0</v>
      </c>
      <c r="L1308">
        <v>0</v>
      </c>
      <c r="M1308" t="s">
        <v>5464</v>
      </c>
      <c r="N1308" t="s">
        <v>5471</v>
      </c>
      <c r="O1308" t="s">
        <v>5477</v>
      </c>
    </row>
    <row r="1309" spans="1:15" x14ac:dyDescent="0.3">
      <c r="A1309" t="s">
        <v>1274</v>
      </c>
      <c r="B1309" t="s">
        <v>1906</v>
      </c>
      <c r="C1309" t="s">
        <v>2788</v>
      </c>
      <c r="D1309" t="s">
        <v>4420</v>
      </c>
      <c r="E1309" t="s">
        <v>4561</v>
      </c>
      <c r="F1309" t="s">
        <v>4572</v>
      </c>
      <c r="G1309" t="s">
        <v>4583</v>
      </c>
      <c r="H1309" t="s">
        <v>4604</v>
      </c>
      <c r="I1309">
        <v>2</v>
      </c>
      <c r="J1309" t="s">
        <v>5375</v>
      </c>
      <c r="K1309">
        <v>0.1</v>
      </c>
      <c r="L1309">
        <v>5.59</v>
      </c>
      <c r="M1309" t="s">
        <v>5468</v>
      </c>
      <c r="N1309" t="s">
        <v>5469</v>
      </c>
      <c r="O1309" t="s">
        <v>5477</v>
      </c>
    </row>
    <row r="1310" spans="1:15" x14ac:dyDescent="0.3">
      <c r="A1310" t="s">
        <v>1275</v>
      </c>
      <c r="B1310" t="s">
        <v>2516</v>
      </c>
      <c r="C1310" t="s">
        <v>2706</v>
      </c>
      <c r="D1310" t="s">
        <v>4421</v>
      </c>
      <c r="E1310" t="s">
        <v>4564</v>
      </c>
      <c r="F1310" t="s">
        <v>4573</v>
      </c>
      <c r="G1310" t="s">
        <v>4585</v>
      </c>
      <c r="H1310" t="s">
        <v>4592</v>
      </c>
      <c r="I1310">
        <v>1</v>
      </c>
      <c r="J1310">
        <v>6.79</v>
      </c>
      <c r="K1310">
        <v>0.15</v>
      </c>
      <c r="L1310">
        <v>6.02</v>
      </c>
      <c r="M1310" t="s">
        <v>5467</v>
      </c>
      <c r="N1310" t="s">
        <v>5469</v>
      </c>
      <c r="O1310" t="s">
        <v>5477</v>
      </c>
    </row>
    <row r="1311" spans="1:15" x14ac:dyDescent="0.3">
      <c r="A1311" t="s">
        <v>1276</v>
      </c>
      <c r="B1311" t="s">
        <v>2517</v>
      </c>
      <c r="C1311" t="s">
        <v>2647</v>
      </c>
      <c r="D1311" t="s">
        <v>4422</v>
      </c>
      <c r="E1311" t="s">
        <v>4547</v>
      </c>
      <c r="F1311" t="s">
        <v>4572</v>
      </c>
      <c r="G1311" t="s">
        <v>4583</v>
      </c>
      <c r="H1311" t="s">
        <v>4604</v>
      </c>
      <c r="I1311">
        <v>-1</v>
      </c>
      <c r="J1311" t="s">
        <v>5376</v>
      </c>
      <c r="K1311">
        <v>0.15</v>
      </c>
      <c r="L1311">
        <v>11.18</v>
      </c>
      <c r="M1311" t="s">
        <v>5462</v>
      </c>
      <c r="N1311" t="s">
        <v>5473</v>
      </c>
      <c r="O1311" t="s">
        <v>5477</v>
      </c>
    </row>
    <row r="1312" spans="1:15" x14ac:dyDescent="0.3">
      <c r="A1312" t="s">
        <v>1277</v>
      </c>
      <c r="B1312" t="s">
        <v>2518</v>
      </c>
      <c r="C1312" t="s">
        <v>2846</v>
      </c>
      <c r="D1312" t="s">
        <v>4423</v>
      </c>
      <c r="E1312" t="s">
        <v>4559</v>
      </c>
      <c r="F1312" t="s">
        <v>4573</v>
      </c>
      <c r="G1312" t="s">
        <v>4587</v>
      </c>
      <c r="H1312" t="s">
        <v>4606</v>
      </c>
      <c r="I1312">
        <v>2</v>
      </c>
      <c r="J1312" t="s">
        <v>5377</v>
      </c>
      <c r="K1312">
        <v>0.05</v>
      </c>
      <c r="L1312">
        <v>0.85</v>
      </c>
      <c r="M1312" t="s">
        <v>5467</v>
      </c>
      <c r="N1312" t="s">
        <v>5470</v>
      </c>
      <c r="O1312" t="s">
        <v>5477</v>
      </c>
    </row>
    <row r="1313" spans="1:15" x14ac:dyDescent="0.3">
      <c r="A1313" t="s">
        <v>1278</v>
      </c>
      <c r="B1313" t="s">
        <v>1772</v>
      </c>
      <c r="C1313" t="s">
        <v>2626</v>
      </c>
      <c r="D1313" t="s">
        <v>4424</v>
      </c>
      <c r="E1313" t="s">
        <v>4548</v>
      </c>
      <c r="F1313" t="s">
        <v>4578</v>
      </c>
      <c r="G1313" t="s">
        <v>4583</v>
      </c>
      <c r="H1313" t="s">
        <v>4604</v>
      </c>
      <c r="I1313">
        <v>2</v>
      </c>
      <c r="J1313" t="s">
        <v>4758</v>
      </c>
      <c r="K1313" t="s">
        <v>5461</v>
      </c>
      <c r="L1313">
        <v>13.14</v>
      </c>
      <c r="M1313" t="s">
        <v>5467</v>
      </c>
      <c r="N1313" t="s">
        <v>5470</v>
      </c>
      <c r="O1313" t="s">
        <v>5477</v>
      </c>
    </row>
    <row r="1314" spans="1:15" x14ac:dyDescent="0.3">
      <c r="A1314" t="s">
        <v>1279</v>
      </c>
      <c r="B1314" t="s">
        <v>2519</v>
      </c>
      <c r="C1314" t="s">
        <v>2947</v>
      </c>
      <c r="D1314" t="s">
        <v>4425</v>
      </c>
      <c r="E1314" t="s">
        <v>4566</v>
      </c>
      <c r="F1314" t="s">
        <v>4577</v>
      </c>
      <c r="G1314" t="s">
        <v>4585</v>
      </c>
      <c r="H1314" t="s">
        <v>4598</v>
      </c>
      <c r="I1314">
        <v>1</v>
      </c>
      <c r="J1314">
        <v>3.03</v>
      </c>
      <c r="K1314">
        <v>0.15</v>
      </c>
      <c r="L1314">
        <v>12.69</v>
      </c>
      <c r="M1314" t="s">
        <v>5462</v>
      </c>
      <c r="N1314" t="s">
        <v>5473</v>
      </c>
      <c r="O1314" t="s">
        <v>5477</v>
      </c>
    </row>
    <row r="1315" spans="1:15" x14ac:dyDescent="0.3">
      <c r="A1315" t="s">
        <v>1280</v>
      </c>
      <c r="B1315" t="s">
        <v>2520</v>
      </c>
      <c r="C1315" t="s">
        <v>2815</v>
      </c>
      <c r="D1315" t="s">
        <v>4426</v>
      </c>
      <c r="E1315" t="s">
        <v>4547</v>
      </c>
      <c r="F1315" t="s">
        <v>4580</v>
      </c>
      <c r="G1315" t="s">
        <v>4584</v>
      </c>
      <c r="H1315" t="s">
        <v>4601</v>
      </c>
      <c r="I1315">
        <v>3</v>
      </c>
      <c r="J1315" t="s">
        <v>5378</v>
      </c>
      <c r="K1315" t="s">
        <v>5461</v>
      </c>
      <c r="L1315">
        <v>8.25</v>
      </c>
      <c r="M1315" t="s">
        <v>5466</v>
      </c>
      <c r="N1315" t="s">
        <v>5474</v>
      </c>
      <c r="O1315" t="s">
        <v>5477</v>
      </c>
    </row>
    <row r="1316" spans="1:15" x14ac:dyDescent="0.3">
      <c r="A1316" t="s">
        <v>1281</v>
      </c>
      <c r="B1316" t="s">
        <v>2521</v>
      </c>
      <c r="C1316" t="s">
        <v>2926</v>
      </c>
      <c r="D1316" t="s">
        <v>4427</v>
      </c>
      <c r="E1316" t="s">
        <v>4555</v>
      </c>
      <c r="F1316" t="s">
        <v>4573</v>
      </c>
      <c r="G1316" t="s">
        <v>4587</v>
      </c>
      <c r="H1316" t="s">
        <v>4600</v>
      </c>
      <c r="I1316">
        <v>2</v>
      </c>
      <c r="J1316" t="s">
        <v>5379</v>
      </c>
      <c r="K1316">
        <v>0.05</v>
      </c>
      <c r="L1316">
        <v>11.77</v>
      </c>
      <c r="M1316" t="s">
        <v>5468</v>
      </c>
      <c r="N1316" t="s">
        <v>5469</v>
      </c>
      <c r="O1316" t="s">
        <v>5475</v>
      </c>
    </row>
    <row r="1317" spans="1:15" x14ac:dyDescent="0.3">
      <c r="A1317" t="s">
        <v>1282</v>
      </c>
      <c r="B1317" t="s">
        <v>2522</v>
      </c>
      <c r="C1317" t="s">
        <v>3082</v>
      </c>
      <c r="D1317" t="s">
        <v>4428</v>
      </c>
      <c r="E1317" t="s">
        <v>4564</v>
      </c>
      <c r="F1317" t="s">
        <v>4573</v>
      </c>
      <c r="G1317" t="s">
        <v>4587</v>
      </c>
      <c r="H1317" t="s">
        <v>4594</v>
      </c>
      <c r="I1317">
        <v>2</v>
      </c>
      <c r="J1317">
        <v>58.47</v>
      </c>
      <c r="K1317" t="s">
        <v>5460</v>
      </c>
      <c r="L1317">
        <v>11.17</v>
      </c>
      <c r="M1317" t="s">
        <v>5466</v>
      </c>
      <c r="N1317" t="s">
        <v>5472</v>
      </c>
      <c r="O1317" t="s">
        <v>5478</v>
      </c>
    </row>
    <row r="1318" spans="1:15" x14ac:dyDescent="0.3">
      <c r="A1318" t="s">
        <v>1283</v>
      </c>
      <c r="B1318" t="s">
        <v>1681</v>
      </c>
      <c r="C1318" t="s">
        <v>3076</v>
      </c>
      <c r="D1318" t="s">
        <v>4429</v>
      </c>
      <c r="E1318" t="s">
        <v>4563</v>
      </c>
      <c r="F1318" t="s">
        <v>4573</v>
      </c>
      <c r="G1318" t="s">
        <v>4584</v>
      </c>
      <c r="H1318" t="s">
        <v>4601</v>
      </c>
      <c r="I1318">
        <v>2</v>
      </c>
      <c r="J1318" t="s">
        <v>5380</v>
      </c>
      <c r="L1318">
        <v>8.18</v>
      </c>
      <c r="M1318" t="s">
        <v>5462</v>
      </c>
      <c r="N1318" t="s">
        <v>5472</v>
      </c>
      <c r="O1318" t="s">
        <v>5477</v>
      </c>
    </row>
    <row r="1319" spans="1:15" x14ac:dyDescent="0.3">
      <c r="A1319" t="s">
        <v>1284</v>
      </c>
      <c r="B1319" t="s">
        <v>2523</v>
      </c>
      <c r="C1319" t="s">
        <v>3234</v>
      </c>
      <c r="D1319" t="s">
        <v>4430</v>
      </c>
      <c r="E1319" t="s">
        <v>4558</v>
      </c>
      <c r="F1319" t="s">
        <v>4580</v>
      </c>
      <c r="G1319" t="s">
        <v>4587</v>
      </c>
      <c r="H1319" t="s">
        <v>4596</v>
      </c>
      <c r="I1319">
        <v>-1</v>
      </c>
      <c r="J1319" t="s">
        <v>5381</v>
      </c>
      <c r="K1319">
        <v>0.05</v>
      </c>
      <c r="L1319">
        <v>0.75</v>
      </c>
      <c r="M1319" t="s">
        <v>5468</v>
      </c>
      <c r="N1319" t="s">
        <v>5470</v>
      </c>
      <c r="O1319" t="s">
        <v>5479</v>
      </c>
    </row>
    <row r="1320" spans="1:15" x14ac:dyDescent="0.3">
      <c r="A1320" t="s">
        <v>1285</v>
      </c>
      <c r="B1320" t="s">
        <v>2524</v>
      </c>
      <c r="C1320" t="s">
        <v>3014</v>
      </c>
      <c r="D1320" t="s">
        <v>4431</v>
      </c>
      <c r="E1320" t="s">
        <v>4552</v>
      </c>
      <c r="F1320" t="s">
        <v>4576</v>
      </c>
      <c r="G1320" t="s">
        <v>4586</v>
      </c>
      <c r="H1320" t="s">
        <v>4599</v>
      </c>
      <c r="I1320">
        <v>5</v>
      </c>
      <c r="J1320" t="s">
        <v>5382</v>
      </c>
      <c r="K1320">
        <v>0.15</v>
      </c>
      <c r="L1320">
        <v>8.4499999999999993</v>
      </c>
      <c r="M1320" t="s">
        <v>5463</v>
      </c>
      <c r="N1320" t="s">
        <v>5473</v>
      </c>
      <c r="O1320" t="s">
        <v>5480</v>
      </c>
    </row>
    <row r="1321" spans="1:15" x14ac:dyDescent="0.3">
      <c r="A1321" t="s">
        <v>1286</v>
      </c>
      <c r="B1321" t="s">
        <v>2525</v>
      </c>
      <c r="C1321" t="s">
        <v>3235</v>
      </c>
      <c r="D1321" t="s">
        <v>4432</v>
      </c>
      <c r="E1321" t="s">
        <v>4555</v>
      </c>
      <c r="F1321" t="s">
        <v>4578</v>
      </c>
      <c r="G1321" t="s">
        <v>4585</v>
      </c>
      <c r="H1321" t="s">
        <v>4591</v>
      </c>
      <c r="I1321">
        <v>2</v>
      </c>
      <c r="J1321">
        <v>8.01</v>
      </c>
      <c r="K1321">
        <v>0.05</v>
      </c>
      <c r="L1321">
        <v>3.22</v>
      </c>
      <c r="O1321" t="s">
        <v>5479</v>
      </c>
    </row>
    <row r="1322" spans="1:15" x14ac:dyDescent="0.3">
      <c r="A1322" t="s">
        <v>1287</v>
      </c>
      <c r="B1322" t="s">
        <v>2526</v>
      </c>
      <c r="C1322" t="s">
        <v>3236</v>
      </c>
      <c r="D1322" t="s">
        <v>4433</v>
      </c>
      <c r="E1322" t="s">
        <v>4571</v>
      </c>
      <c r="F1322" t="s">
        <v>4578</v>
      </c>
      <c r="G1322" t="s">
        <v>4587</v>
      </c>
      <c r="H1322" t="s">
        <v>4600</v>
      </c>
      <c r="I1322">
        <v>2</v>
      </c>
      <c r="J1322" t="s">
        <v>5383</v>
      </c>
      <c r="K1322">
        <v>0</v>
      </c>
      <c r="L1322">
        <v>13.48</v>
      </c>
      <c r="M1322" t="s">
        <v>5467</v>
      </c>
      <c r="N1322" t="s">
        <v>5472</v>
      </c>
      <c r="O1322" t="s">
        <v>5477</v>
      </c>
    </row>
    <row r="1323" spans="1:15" x14ac:dyDescent="0.3">
      <c r="A1323" t="s">
        <v>516</v>
      </c>
      <c r="B1323" t="s">
        <v>1895</v>
      </c>
      <c r="C1323" t="s">
        <v>2918</v>
      </c>
      <c r="D1323" t="s">
        <v>3725</v>
      </c>
      <c r="E1323" t="s">
        <v>4571</v>
      </c>
      <c r="F1323" t="s">
        <v>4578</v>
      </c>
      <c r="G1323" t="s">
        <v>4585</v>
      </c>
      <c r="H1323" t="s">
        <v>4598</v>
      </c>
      <c r="I1323">
        <v>1</v>
      </c>
      <c r="J1323" t="s">
        <v>4932</v>
      </c>
      <c r="K1323">
        <v>0.1</v>
      </c>
      <c r="L1323">
        <v>2.6</v>
      </c>
      <c r="M1323" t="s">
        <v>5465</v>
      </c>
      <c r="N1323" t="s">
        <v>5474</v>
      </c>
      <c r="O1323" t="s">
        <v>5478</v>
      </c>
    </row>
    <row r="1324" spans="1:15" x14ac:dyDescent="0.3">
      <c r="A1324" t="s">
        <v>1288</v>
      </c>
      <c r="B1324" t="s">
        <v>1619</v>
      </c>
      <c r="C1324" t="s">
        <v>3105</v>
      </c>
      <c r="E1324" t="s">
        <v>4557</v>
      </c>
      <c r="F1324" t="s">
        <v>4572</v>
      </c>
      <c r="G1324" t="s">
        <v>4587</v>
      </c>
      <c r="H1324" t="s">
        <v>4606</v>
      </c>
      <c r="I1324">
        <v>10</v>
      </c>
      <c r="J1324">
        <v>29.75</v>
      </c>
      <c r="K1324">
        <v>0</v>
      </c>
      <c r="L1324">
        <v>13.63</v>
      </c>
      <c r="M1324" t="s">
        <v>5462</v>
      </c>
      <c r="N1324" t="s">
        <v>5470</v>
      </c>
      <c r="O1324" t="s">
        <v>5475</v>
      </c>
    </row>
    <row r="1325" spans="1:15" x14ac:dyDescent="0.3">
      <c r="A1325" t="s">
        <v>1289</v>
      </c>
      <c r="B1325" t="s">
        <v>2106</v>
      </c>
      <c r="C1325" t="s">
        <v>2854</v>
      </c>
      <c r="D1325" t="s">
        <v>4434</v>
      </c>
      <c r="E1325" t="s">
        <v>4554</v>
      </c>
      <c r="F1325" t="s">
        <v>4573</v>
      </c>
      <c r="G1325" t="s">
        <v>4584</v>
      </c>
      <c r="H1325" t="s">
        <v>4595</v>
      </c>
      <c r="I1325">
        <v>1</v>
      </c>
      <c r="J1325" t="s">
        <v>5384</v>
      </c>
      <c r="K1325" t="s">
        <v>5461</v>
      </c>
      <c r="L1325">
        <v>9.7799999999999994</v>
      </c>
      <c r="M1325" t="s">
        <v>5463</v>
      </c>
      <c r="N1325" t="s">
        <v>5471</v>
      </c>
      <c r="O1325" t="s">
        <v>5477</v>
      </c>
    </row>
    <row r="1326" spans="1:15" x14ac:dyDescent="0.3">
      <c r="A1326" t="s">
        <v>1290</v>
      </c>
      <c r="B1326" t="s">
        <v>2527</v>
      </c>
      <c r="C1326" t="s">
        <v>2885</v>
      </c>
      <c r="D1326" t="s">
        <v>4435</v>
      </c>
      <c r="E1326" t="s">
        <v>4570</v>
      </c>
      <c r="F1326" t="s">
        <v>4573</v>
      </c>
      <c r="H1326" t="s">
        <v>4593</v>
      </c>
      <c r="I1326">
        <v>5</v>
      </c>
      <c r="J1326" t="s">
        <v>5385</v>
      </c>
      <c r="K1326">
        <v>0</v>
      </c>
      <c r="L1326">
        <v>8.3000000000000007</v>
      </c>
      <c r="M1326" t="s">
        <v>5463</v>
      </c>
      <c r="N1326" t="s">
        <v>5474</v>
      </c>
      <c r="O1326" t="s">
        <v>5477</v>
      </c>
    </row>
    <row r="1327" spans="1:15" x14ac:dyDescent="0.3">
      <c r="A1327" t="s">
        <v>1291</v>
      </c>
      <c r="B1327" t="s">
        <v>2528</v>
      </c>
      <c r="C1327" t="s">
        <v>3237</v>
      </c>
      <c r="E1327" t="s">
        <v>4560</v>
      </c>
      <c r="F1327" t="s">
        <v>4573</v>
      </c>
      <c r="H1327" t="s">
        <v>4605</v>
      </c>
      <c r="I1327">
        <v>-1</v>
      </c>
      <c r="J1327" t="s">
        <v>5386</v>
      </c>
      <c r="K1327">
        <v>0</v>
      </c>
      <c r="L1327">
        <v>9.42</v>
      </c>
      <c r="M1327" t="s">
        <v>5463</v>
      </c>
      <c r="N1327" t="s">
        <v>5474</v>
      </c>
      <c r="O1327" t="s">
        <v>5478</v>
      </c>
    </row>
    <row r="1328" spans="1:15" x14ac:dyDescent="0.3">
      <c r="A1328" t="s">
        <v>1292</v>
      </c>
      <c r="B1328" t="s">
        <v>1768</v>
      </c>
      <c r="C1328" t="s">
        <v>2846</v>
      </c>
      <c r="D1328" t="s">
        <v>4436</v>
      </c>
      <c r="E1328" t="s">
        <v>4569</v>
      </c>
      <c r="F1328" t="s">
        <v>4581</v>
      </c>
      <c r="G1328" t="s">
        <v>4587</v>
      </c>
      <c r="H1328" t="s">
        <v>4594</v>
      </c>
      <c r="I1328">
        <v>1</v>
      </c>
      <c r="J1328">
        <v>60.28</v>
      </c>
      <c r="K1328">
        <v>0</v>
      </c>
      <c r="L1328">
        <v>9.9</v>
      </c>
      <c r="M1328" t="s">
        <v>5462</v>
      </c>
      <c r="O1328" t="s">
        <v>5479</v>
      </c>
    </row>
    <row r="1329" spans="1:15" x14ac:dyDescent="0.3">
      <c r="A1329" t="s">
        <v>1293</v>
      </c>
      <c r="B1329" t="s">
        <v>2529</v>
      </c>
      <c r="C1329" t="s">
        <v>3238</v>
      </c>
      <c r="D1329" t="s">
        <v>4437</v>
      </c>
      <c r="E1329" t="s">
        <v>4547</v>
      </c>
      <c r="F1329" t="s">
        <v>4581</v>
      </c>
      <c r="G1329" t="s">
        <v>4586</v>
      </c>
      <c r="H1329" t="s">
        <v>4609</v>
      </c>
      <c r="I1329">
        <v>1</v>
      </c>
      <c r="J1329" t="s">
        <v>5113</v>
      </c>
      <c r="L1329">
        <v>14.19</v>
      </c>
      <c r="M1329" t="s">
        <v>5462</v>
      </c>
      <c r="N1329" t="s">
        <v>5473</v>
      </c>
      <c r="O1329" t="s">
        <v>5477</v>
      </c>
    </row>
    <row r="1330" spans="1:15" x14ac:dyDescent="0.3">
      <c r="A1330" t="s">
        <v>1294</v>
      </c>
      <c r="B1330" t="s">
        <v>2530</v>
      </c>
      <c r="C1330" t="s">
        <v>3050</v>
      </c>
      <c r="E1330" t="s">
        <v>4571</v>
      </c>
      <c r="F1330" t="s">
        <v>4573</v>
      </c>
      <c r="G1330" t="s">
        <v>4583</v>
      </c>
      <c r="H1330" t="s">
        <v>4605</v>
      </c>
      <c r="I1330">
        <v>4</v>
      </c>
      <c r="J1330">
        <v>46.3</v>
      </c>
      <c r="K1330">
        <v>0</v>
      </c>
      <c r="L1330">
        <v>8.6199999999999992</v>
      </c>
      <c r="M1330" t="s">
        <v>5467</v>
      </c>
      <c r="N1330" t="s">
        <v>5473</v>
      </c>
      <c r="O1330" t="s">
        <v>5479</v>
      </c>
    </row>
    <row r="1331" spans="1:15" x14ac:dyDescent="0.3">
      <c r="A1331" t="s">
        <v>1295</v>
      </c>
      <c r="B1331" t="s">
        <v>2531</v>
      </c>
      <c r="C1331" t="s">
        <v>3009</v>
      </c>
      <c r="D1331" t="s">
        <v>4438</v>
      </c>
      <c r="E1331" t="s">
        <v>4548</v>
      </c>
      <c r="F1331" t="s">
        <v>4578</v>
      </c>
      <c r="G1331" t="s">
        <v>4583</v>
      </c>
      <c r="H1331" t="s">
        <v>4610</v>
      </c>
      <c r="I1331">
        <v>-1</v>
      </c>
      <c r="J1331">
        <v>81.55</v>
      </c>
      <c r="K1331">
        <v>0.05</v>
      </c>
      <c r="L1331">
        <v>0</v>
      </c>
      <c r="M1331" t="s">
        <v>5467</v>
      </c>
      <c r="N1331" t="s">
        <v>5472</v>
      </c>
      <c r="O1331" t="s">
        <v>5480</v>
      </c>
    </row>
    <row r="1332" spans="1:15" x14ac:dyDescent="0.3">
      <c r="A1332" t="s">
        <v>1296</v>
      </c>
      <c r="B1332" t="s">
        <v>2532</v>
      </c>
      <c r="C1332" t="s">
        <v>2784</v>
      </c>
      <c r="D1332" t="s">
        <v>4439</v>
      </c>
      <c r="E1332" t="s">
        <v>4547</v>
      </c>
      <c r="F1332" t="s">
        <v>4572</v>
      </c>
      <c r="G1332" t="s">
        <v>4586</v>
      </c>
      <c r="H1332" t="s">
        <v>4609</v>
      </c>
      <c r="I1332">
        <v>1</v>
      </c>
      <c r="J1332">
        <v>127.03</v>
      </c>
      <c r="K1332">
        <v>0.1</v>
      </c>
      <c r="L1332">
        <v>2.12</v>
      </c>
      <c r="M1332" t="s">
        <v>5463</v>
      </c>
      <c r="N1332" t="s">
        <v>5470</v>
      </c>
      <c r="O1332" t="s">
        <v>5480</v>
      </c>
    </row>
    <row r="1333" spans="1:15" x14ac:dyDescent="0.3">
      <c r="A1333" t="s">
        <v>1297</v>
      </c>
      <c r="B1333" t="s">
        <v>2533</v>
      </c>
      <c r="C1333" t="s">
        <v>2843</v>
      </c>
      <c r="D1333" t="s">
        <v>4440</v>
      </c>
      <c r="E1333" t="s">
        <v>4549</v>
      </c>
      <c r="F1333" t="s">
        <v>4574</v>
      </c>
      <c r="G1333" t="s">
        <v>4587</v>
      </c>
      <c r="H1333" t="s">
        <v>4596</v>
      </c>
      <c r="I1333">
        <v>2</v>
      </c>
      <c r="J1333" t="s">
        <v>5387</v>
      </c>
      <c r="K1333">
        <v>0</v>
      </c>
      <c r="M1333" t="s">
        <v>5462</v>
      </c>
      <c r="O1333" t="s">
        <v>5475</v>
      </c>
    </row>
    <row r="1334" spans="1:15" x14ac:dyDescent="0.3">
      <c r="A1334" t="s">
        <v>1298</v>
      </c>
      <c r="B1334" t="s">
        <v>2534</v>
      </c>
      <c r="C1334" t="s">
        <v>3239</v>
      </c>
      <c r="D1334" t="s">
        <v>4441</v>
      </c>
      <c r="E1334" t="s">
        <v>4561</v>
      </c>
      <c r="F1334" t="s">
        <v>4580</v>
      </c>
      <c r="H1334" t="s">
        <v>4609</v>
      </c>
      <c r="I1334">
        <v>1</v>
      </c>
      <c r="J1334">
        <v>124.45</v>
      </c>
      <c r="K1334">
        <v>0.05</v>
      </c>
      <c r="L1334">
        <v>3.18</v>
      </c>
      <c r="M1334" t="s">
        <v>5468</v>
      </c>
      <c r="N1334" t="s">
        <v>5470</v>
      </c>
      <c r="O1334" t="s">
        <v>5476</v>
      </c>
    </row>
    <row r="1335" spans="1:15" x14ac:dyDescent="0.3">
      <c r="A1335" t="s">
        <v>1299</v>
      </c>
      <c r="B1335" t="s">
        <v>2535</v>
      </c>
      <c r="C1335" t="s">
        <v>3240</v>
      </c>
      <c r="E1335" t="s">
        <v>4548</v>
      </c>
      <c r="F1335" t="s">
        <v>4578</v>
      </c>
      <c r="G1335" t="s">
        <v>4586</v>
      </c>
      <c r="H1335" t="s">
        <v>4597</v>
      </c>
      <c r="I1335">
        <v>5</v>
      </c>
      <c r="J1335" t="s">
        <v>5388</v>
      </c>
      <c r="K1335" t="s">
        <v>5461</v>
      </c>
      <c r="L1335">
        <v>13.6</v>
      </c>
      <c r="M1335" t="s">
        <v>5463</v>
      </c>
      <c r="N1335" t="s">
        <v>5470</v>
      </c>
      <c r="O1335" t="s">
        <v>5480</v>
      </c>
    </row>
    <row r="1336" spans="1:15" x14ac:dyDescent="0.3">
      <c r="A1336" t="s">
        <v>1300</v>
      </c>
      <c r="B1336" t="s">
        <v>2536</v>
      </c>
      <c r="C1336" t="s">
        <v>2946</v>
      </c>
      <c r="D1336" t="s">
        <v>4442</v>
      </c>
      <c r="E1336" t="s">
        <v>4567</v>
      </c>
      <c r="F1336" t="s">
        <v>4573</v>
      </c>
      <c r="G1336" t="s">
        <v>4587</v>
      </c>
      <c r="H1336" t="s">
        <v>4606</v>
      </c>
      <c r="I1336">
        <v>3</v>
      </c>
      <c r="J1336" t="s">
        <v>5389</v>
      </c>
      <c r="K1336">
        <v>0.1</v>
      </c>
      <c r="L1336">
        <v>8.1300000000000008</v>
      </c>
      <c r="M1336" t="s">
        <v>5467</v>
      </c>
      <c r="N1336" t="s">
        <v>5470</v>
      </c>
      <c r="O1336" t="s">
        <v>5477</v>
      </c>
    </row>
    <row r="1337" spans="1:15" x14ac:dyDescent="0.3">
      <c r="A1337" t="s">
        <v>1301</v>
      </c>
      <c r="B1337" t="s">
        <v>2537</v>
      </c>
      <c r="C1337" t="s">
        <v>2885</v>
      </c>
      <c r="D1337" t="s">
        <v>4443</v>
      </c>
      <c r="E1337" t="s">
        <v>4565</v>
      </c>
      <c r="F1337" t="s">
        <v>4575</v>
      </c>
      <c r="G1337" t="s">
        <v>4586</v>
      </c>
      <c r="H1337" t="s">
        <v>4597</v>
      </c>
      <c r="I1337">
        <v>10</v>
      </c>
      <c r="J1337" t="s">
        <v>5390</v>
      </c>
      <c r="K1337">
        <v>0.1</v>
      </c>
      <c r="L1337">
        <v>2.65</v>
      </c>
      <c r="M1337" t="s">
        <v>5467</v>
      </c>
      <c r="N1337" t="s">
        <v>5470</v>
      </c>
      <c r="O1337" t="s">
        <v>5477</v>
      </c>
    </row>
    <row r="1338" spans="1:15" x14ac:dyDescent="0.3">
      <c r="A1338" t="s">
        <v>1302</v>
      </c>
      <c r="B1338" t="s">
        <v>1462</v>
      </c>
      <c r="C1338" t="s">
        <v>2669</v>
      </c>
      <c r="D1338" t="s">
        <v>4444</v>
      </c>
      <c r="E1338" t="s">
        <v>4561</v>
      </c>
      <c r="F1338" t="s">
        <v>4581</v>
      </c>
      <c r="G1338" t="s">
        <v>4586</v>
      </c>
      <c r="H1338" t="s">
        <v>4593</v>
      </c>
      <c r="I1338">
        <v>1</v>
      </c>
      <c r="J1338" t="s">
        <v>5391</v>
      </c>
      <c r="K1338">
        <v>0.15</v>
      </c>
      <c r="L1338">
        <v>13.44</v>
      </c>
      <c r="M1338" t="s">
        <v>5467</v>
      </c>
      <c r="O1338" t="s">
        <v>5477</v>
      </c>
    </row>
    <row r="1339" spans="1:15" x14ac:dyDescent="0.3">
      <c r="A1339" t="s">
        <v>1303</v>
      </c>
      <c r="B1339" t="s">
        <v>2538</v>
      </c>
      <c r="C1339" t="s">
        <v>3088</v>
      </c>
      <c r="D1339" t="s">
        <v>4445</v>
      </c>
      <c r="E1339" t="s">
        <v>4565</v>
      </c>
      <c r="F1339" t="s">
        <v>4575</v>
      </c>
      <c r="G1339" t="s">
        <v>4586</v>
      </c>
      <c r="H1339" t="s">
        <v>4593</v>
      </c>
      <c r="I1339">
        <v>2</v>
      </c>
      <c r="J1339" t="s">
        <v>5392</v>
      </c>
      <c r="K1339" t="s">
        <v>5461</v>
      </c>
      <c r="L1339">
        <v>8.1199999999999992</v>
      </c>
      <c r="M1339" t="s">
        <v>5465</v>
      </c>
      <c r="N1339" t="s">
        <v>5471</v>
      </c>
      <c r="O1339" t="s">
        <v>5476</v>
      </c>
    </row>
    <row r="1340" spans="1:15" x14ac:dyDescent="0.3">
      <c r="A1340" t="s">
        <v>1304</v>
      </c>
      <c r="B1340" t="s">
        <v>2539</v>
      </c>
      <c r="C1340" t="s">
        <v>2705</v>
      </c>
      <c r="D1340" t="s">
        <v>4446</v>
      </c>
      <c r="E1340" t="s">
        <v>4549</v>
      </c>
      <c r="F1340" t="s">
        <v>4573</v>
      </c>
      <c r="G1340" t="s">
        <v>4586</v>
      </c>
      <c r="H1340" t="s">
        <v>4597</v>
      </c>
      <c r="I1340">
        <v>1</v>
      </c>
      <c r="J1340">
        <v>86.19</v>
      </c>
      <c r="L1340">
        <v>3.18</v>
      </c>
      <c r="M1340" t="s">
        <v>5466</v>
      </c>
      <c r="N1340" t="s">
        <v>5474</v>
      </c>
      <c r="O1340" t="s">
        <v>5477</v>
      </c>
    </row>
    <row r="1341" spans="1:15" x14ac:dyDescent="0.3">
      <c r="A1341" t="s">
        <v>1305</v>
      </c>
      <c r="B1341" t="s">
        <v>2540</v>
      </c>
      <c r="C1341" t="s">
        <v>3241</v>
      </c>
      <c r="E1341" t="s">
        <v>4549</v>
      </c>
      <c r="F1341" t="s">
        <v>4573</v>
      </c>
      <c r="G1341" t="s">
        <v>4583</v>
      </c>
      <c r="H1341" t="s">
        <v>4604</v>
      </c>
      <c r="I1341">
        <v>1</v>
      </c>
      <c r="J1341">
        <v>22.83</v>
      </c>
      <c r="K1341">
        <v>0</v>
      </c>
      <c r="L1341">
        <v>3.41</v>
      </c>
      <c r="M1341" t="s">
        <v>5462</v>
      </c>
      <c r="N1341" t="s">
        <v>5473</v>
      </c>
      <c r="O1341" t="s">
        <v>5476</v>
      </c>
    </row>
    <row r="1342" spans="1:15" x14ac:dyDescent="0.3">
      <c r="A1342" t="s">
        <v>1306</v>
      </c>
      <c r="B1342" t="s">
        <v>1816</v>
      </c>
      <c r="C1342" t="s">
        <v>3242</v>
      </c>
      <c r="D1342" t="s">
        <v>4447</v>
      </c>
      <c r="E1342" t="s">
        <v>4563</v>
      </c>
      <c r="F1342" t="s">
        <v>4578</v>
      </c>
      <c r="G1342" t="s">
        <v>4587</v>
      </c>
      <c r="H1342" t="s">
        <v>4594</v>
      </c>
      <c r="I1342">
        <v>1</v>
      </c>
      <c r="J1342">
        <v>62.79</v>
      </c>
      <c r="K1342">
        <v>0.15</v>
      </c>
      <c r="L1342">
        <v>13.05</v>
      </c>
      <c r="M1342" t="s">
        <v>5464</v>
      </c>
      <c r="N1342" t="s">
        <v>5471</v>
      </c>
      <c r="O1342" t="s">
        <v>5477</v>
      </c>
    </row>
    <row r="1343" spans="1:15" x14ac:dyDescent="0.3">
      <c r="A1343" t="s">
        <v>1307</v>
      </c>
      <c r="B1343" t="s">
        <v>1843</v>
      </c>
      <c r="C1343" t="s">
        <v>3145</v>
      </c>
      <c r="D1343" t="s">
        <v>4448</v>
      </c>
      <c r="E1343" t="s">
        <v>4560</v>
      </c>
      <c r="F1343" t="s">
        <v>4574</v>
      </c>
      <c r="G1343" t="s">
        <v>4585</v>
      </c>
      <c r="H1343" t="s">
        <v>4590</v>
      </c>
      <c r="I1343">
        <v>-1</v>
      </c>
      <c r="J1343" t="s">
        <v>5393</v>
      </c>
      <c r="L1343">
        <v>6.97</v>
      </c>
      <c r="M1343" t="s">
        <v>5468</v>
      </c>
      <c r="N1343" t="s">
        <v>5472</v>
      </c>
      <c r="O1343" t="s">
        <v>5477</v>
      </c>
    </row>
    <row r="1344" spans="1:15" x14ac:dyDescent="0.3">
      <c r="A1344" t="s">
        <v>1308</v>
      </c>
      <c r="B1344" t="s">
        <v>2193</v>
      </c>
      <c r="C1344" t="s">
        <v>2827</v>
      </c>
      <c r="E1344" t="s">
        <v>4566</v>
      </c>
      <c r="F1344" t="s">
        <v>4577</v>
      </c>
      <c r="G1344" t="s">
        <v>4584</v>
      </c>
      <c r="H1344" t="s">
        <v>4589</v>
      </c>
      <c r="I1344">
        <v>3</v>
      </c>
      <c r="J1344">
        <v>35.81</v>
      </c>
      <c r="K1344">
        <v>0.1</v>
      </c>
      <c r="L1344">
        <v>7.8</v>
      </c>
      <c r="M1344" t="s">
        <v>5465</v>
      </c>
      <c r="N1344" t="s">
        <v>5473</v>
      </c>
      <c r="O1344" t="s">
        <v>5477</v>
      </c>
    </row>
    <row r="1345" spans="1:15" x14ac:dyDescent="0.3">
      <c r="A1345" t="s">
        <v>1309</v>
      </c>
      <c r="B1345" t="s">
        <v>2541</v>
      </c>
      <c r="C1345" t="s">
        <v>3243</v>
      </c>
      <c r="D1345" t="s">
        <v>4449</v>
      </c>
      <c r="E1345" t="s">
        <v>4564</v>
      </c>
      <c r="F1345" t="s">
        <v>4573</v>
      </c>
      <c r="G1345" t="s">
        <v>4583</v>
      </c>
      <c r="H1345" t="s">
        <v>4604</v>
      </c>
      <c r="I1345">
        <v>10</v>
      </c>
      <c r="J1345" t="s">
        <v>5394</v>
      </c>
      <c r="K1345">
        <v>0</v>
      </c>
      <c r="L1345">
        <v>7.51</v>
      </c>
      <c r="M1345" t="s">
        <v>5464</v>
      </c>
      <c r="N1345" t="s">
        <v>5471</v>
      </c>
      <c r="O1345" t="s">
        <v>5477</v>
      </c>
    </row>
    <row r="1346" spans="1:15" x14ac:dyDescent="0.3">
      <c r="A1346" t="s">
        <v>1310</v>
      </c>
      <c r="B1346" t="s">
        <v>2542</v>
      </c>
      <c r="C1346" t="s">
        <v>3244</v>
      </c>
      <c r="D1346" t="s">
        <v>4450</v>
      </c>
      <c r="E1346" t="s">
        <v>4554</v>
      </c>
      <c r="F1346" t="s">
        <v>4574</v>
      </c>
      <c r="G1346" t="s">
        <v>4583</v>
      </c>
      <c r="H1346" t="s">
        <v>4588</v>
      </c>
      <c r="I1346">
        <v>10</v>
      </c>
      <c r="J1346" t="s">
        <v>5395</v>
      </c>
      <c r="L1346">
        <v>0</v>
      </c>
      <c r="M1346" t="s">
        <v>5462</v>
      </c>
      <c r="N1346" t="s">
        <v>5473</v>
      </c>
      <c r="O1346" t="s">
        <v>5477</v>
      </c>
    </row>
    <row r="1347" spans="1:15" x14ac:dyDescent="0.3">
      <c r="A1347" t="s">
        <v>1311</v>
      </c>
      <c r="B1347" t="s">
        <v>2543</v>
      </c>
      <c r="C1347" t="s">
        <v>2844</v>
      </c>
      <c r="D1347" t="s">
        <v>4451</v>
      </c>
      <c r="E1347" t="s">
        <v>4566</v>
      </c>
      <c r="F1347" t="s">
        <v>4573</v>
      </c>
      <c r="G1347" t="s">
        <v>4586</v>
      </c>
      <c r="H1347" t="s">
        <v>4593</v>
      </c>
      <c r="I1347">
        <v>4</v>
      </c>
      <c r="J1347" t="s">
        <v>5396</v>
      </c>
      <c r="L1347">
        <v>9.2200000000000006</v>
      </c>
      <c r="M1347" t="s">
        <v>5467</v>
      </c>
      <c r="N1347" t="s">
        <v>5474</v>
      </c>
      <c r="O1347" t="s">
        <v>5477</v>
      </c>
    </row>
    <row r="1348" spans="1:15" x14ac:dyDescent="0.3">
      <c r="A1348" t="s">
        <v>1312</v>
      </c>
      <c r="B1348" t="s">
        <v>2544</v>
      </c>
      <c r="C1348" t="s">
        <v>2803</v>
      </c>
      <c r="D1348" t="s">
        <v>4452</v>
      </c>
      <c r="E1348" t="s">
        <v>4559</v>
      </c>
      <c r="F1348" t="s">
        <v>4577</v>
      </c>
      <c r="G1348" t="s">
        <v>4583</v>
      </c>
      <c r="H1348" t="s">
        <v>4605</v>
      </c>
      <c r="I1348">
        <v>1</v>
      </c>
      <c r="J1348" t="s">
        <v>5397</v>
      </c>
      <c r="K1348">
        <v>0.05</v>
      </c>
      <c r="M1348" t="s">
        <v>5467</v>
      </c>
      <c r="N1348" t="s">
        <v>5474</v>
      </c>
      <c r="O1348" t="s">
        <v>5478</v>
      </c>
    </row>
    <row r="1349" spans="1:15" x14ac:dyDescent="0.3">
      <c r="A1349" t="s">
        <v>1313</v>
      </c>
      <c r="B1349" t="s">
        <v>2258</v>
      </c>
      <c r="C1349" t="s">
        <v>3245</v>
      </c>
      <c r="D1349" t="s">
        <v>4453</v>
      </c>
      <c r="E1349" t="s">
        <v>4571</v>
      </c>
      <c r="F1349" t="s">
        <v>4573</v>
      </c>
      <c r="G1349" t="s">
        <v>4586</v>
      </c>
      <c r="H1349" t="s">
        <v>4597</v>
      </c>
      <c r="I1349">
        <v>10</v>
      </c>
      <c r="J1349" t="s">
        <v>5398</v>
      </c>
      <c r="K1349">
        <v>0</v>
      </c>
      <c r="L1349">
        <v>5.32</v>
      </c>
      <c r="M1349" t="s">
        <v>5468</v>
      </c>
      <c r="N1349" t="s">
        <v>5473</v>
      </c>
      <c r="O1349" t="s">
        <v>5476</v>
      </c>
    </row>
    <row r="1350" spans="1:15" x14ac:dyDescent="0.3">
      <c r="A1350" t="s">
        <v>1314</v>
      </c>
      <c r="B1350" t="s">
        <v>2545</v>
      </c>
      <c r="C1350" t="s">
        <v>3225</v>
      </c>
      <c r="D1350" t="s">
        <v>4454</v>
      </c>
      <c r="E1350" t="s">
        <v>4548</v>
      </c>
      <c r="F1350" t="s">
        <v>4573</v>
      </c>
      <c r="G1350" t="s">
        <v>4585</v>
      </c>
      <c r="H1350" t="s">
        <v>4598</v>
      </c>
      <c r="I1350">
        <v>2</v>
      </c>
      <c r="J1350" t="s">
        <v>5399</v>
      </c>
      <c r="K1350">
        <v>0</v>
      </c>
      <c r="L1350">
        <v>13.07</v>
      </c>
      <c r="N1350" t="s">
        <v>5471</v>
      </c>
      <c r="O1350" t="s">
        <v>5475</v>
      </c>
    </row>
    <row r="1351" spans="1:15" x14ac:dyDescent="0.3">
      <c r="A1351" t="s">
        <v>1315</v>
      </c>
      <c r="B1351" t="s">
        <v>2130</v>
      </c>
      <c r="C1351" t="s">
        <v>3246</v>
      </c>
      <c r="D1351" t="s">
        <v>4455</v>
      </c>
      <c r="E1351" t="s">
        <v>4566</v>
      </c>
      <c r="F1351" t="s">
        <v>4573</v>
      </c>
      <c r="G1351" t="s">
        <v>4585</v>
      </c>
      <c r="H1351" t="s">
        <v>4591</v>
      </c>
      <c r="I1351">
        <v>1</v>
      </c>
      <c r="J1351" t="s">
        <v>5400</v>
      </c>
      <c r="K1351">
        <v>0</v>
      </c>
      <c r="L1351">
        <v>5.65</v>
      </c>
      <c r="M1351" t="s">
        <v>5462</v>
      </c>
      <c r="N1351" t="s">
        <v>5471</v>
      </c>
      <c r="O1351" t="s">
        <v>5476</v>
      </c>
    </row>
    <row r="1352" spans="1:15" x14ac:dyDescent="0.3">
      <c r="A1352" t="s">
        <v>1316</v>
      </c>
      <c r="B1352" t="s">
        <v>2546</v>
      </c>
      <c r="C1352" t="s">
        <v>3149</v>
      </c>
      <c r="D1352" t="s">
        <v>4456</v>
      </c>
      <c r="E1352" t="s">
        <v>4560</v>
      </c>
      <c r="F1352" t="s">
        <v>4574</v>
      </c>
      <c r="G1352" t="s">
        <v>4584</v>
      </c>
      <c r="H1352" t="s">
        <v>4608</v>
      </c>
      <c r="I1352">
        <v>2</v>
      </c>
      <c r="J1352">
        <v>18.66</v>
      </c>
      <c r="K1352">
        <v>0.15</v>
      </c>
      <c r="L1352">
        <v>0</v>
      </c>
      <c r="M1352" t="s">
        <v>5468</v>
      </c>
      <c r="N1352" t="s">
        <v>5470</v>
      </c>
      <c r="O1352" t="s">
        <v>5477</v>
      </c>
    </row>
    <row r="1353" spans="1:15" x14ac:dyDescent="0.3">
      <c r="A1353" t="s">
        <v>1317</v>
      </c>
      <c r="B1353" t="s">
        <v>2547</v>
      </c>
      <c r="C1353" t="s">
        <v>3073</v>
      </c>
      <c r="D1353" t="s">
        <v>4457</v>
      </c>
      <c r="E1353" t="s">
        <v>4558</v>
      </c>
      <c r="F1353" t="s">
        <v>4572</v>
      </c>
      <c r="G1353" t="s">
        <v>4586</v>
      </c>
      <c r="H1353" t="s">
        <v>4593</v>
      </c>
      <c r="I1353">
        <v>1</v>
      </c>
      <c r="J1353">
        <v>113.89</v>
      </c>
      <c r="K1353">
        <v>0</v>
      </c>
      <c r="L1353">
        <v>0</v>
      </c>
      <c r="M1353" t="s">
        <v>5464</v>
      </c>
      <c r="N1353" t="s">
        <v>5469</v>
      </c>
      <c r="O1353" t="s">
        <v>5477</v>
      </c>
    </row>
    <row r="1354" spans="1:15" x14ac:dyDescent="0.3">
      <c r="A1354" t="s">
        <v>1318</v>
      </c>
      <c r="B1354" t="s">
        <v>2548</v>
      </c>
      <c r="C1354" t="s">
        <v>3247</v>
      </c>
      <c r="D1354" t="s">
        <v>4458</v>
      </c>
      <c r="E1354" t="s">
        <v>4559</v>
      </c>
      <c r="F1354" t="s">
        <v>4573</v>
      </c>
      <c r="G1354" t="s">
        <v>4585</v>
      </c>
      <c r="H1354" t="s">
        <v>4602</v>
      </c>
      <c r="I1354">
        <v>1</v>
      </c>
      <c r="J1354" t="s">
        <v>5401</v>
      </c>
      <c r="K1354">
        <v>0</v>
      </c>
      <c r="L1354">
        <v>12.49</v>
      </c>
      <c r="M1354" t="s">
        <v>5465</v>
      </c>
      <c r="N1354" t="s">
        <v>5470</v>
      </c>
      <c r="O1354" t="s">
        <v>5477</v>
      </c>
    </row>
    <row r="1355" spans="1:15" x14ac:dyDescent="0.3">
      <c r="A1355" t="s">
        <v>1319</v>
      </c>
      <c r="B1355" t="s">
        <v>2549</v>
      </c>
      <c r="C1355" t="s">
        <v>3248</v>
      </c>
      <c r="D1355" t="s">
        <v>4459</v>
      </c>
      <c r="E1355" t="s">
        <v>4558</v>
      </c>
      <c r="F1355" t="s">
        <v>4572</v>
      </c>
      <c r="G1355" t="s">
        <v>4587</v>
      </c>
      <c r="H1355" t="s">
        <v>4600</v>
      </c>
      <c r="I1355">
        <v>5</v>
      </c>
      <c r="J1355" t="s">
        <v>5402</v>
      </c>
      <c r="K1355">
        <v>0.05</v>
      </c>
      <c r="L1355">
        <v>0</v>
      </c>
      <c r="M1355" t="s">
        <v>5464</v>
      </c>
      <c r="N1355" t="s">
        <v>5473</v>
      </c>
      <c r="O1355" t="s">
        <v>5479</v>
      </c>
    </row>
    <row r="1356" spans="1:15" x14ac:dyDescent="0.3">
      <c r="A1356" t="s">
        <v>1320</v>
      </c>
      <c r="B1356" t="s">
        <v>2550</v>
      </c>
      <c r="C1356" t="s">
        <v>2961</v>
      </c>
      <c r="D1356" t="s">
        <v>4460</v>
      </c>
      <c r="E1356" t="s">
        <v>4565</v>
      </c>
      <c r="F1356" t="s">
        <v>4579</v>
      </c>
      <c r="G1356" t="s">
        <v>4584</v>
      </c>
      <c r="H1356" t="s">
        <v>4607</v>
      </c>
      <c r="I1356">
        <v>1</v>
      </c>
      <c r="J1356">
        <v>25.6</v>
      </c>
      <c r="K1356">
        <v>0</v>
      </c>
      <c r="L1356">
        <v>3.66</v>
      </c>
      <c r="N1356" t="s">
        <v>5469</v>
      </c>
      <c r="O1356" t="s">
        <v>5477</v>
      </c>
    </row>
    <row r="1357" spans="1:15" x14ac:dyDescent="0.3">
      <c r="A1357" t="s">
        <v>1321</v>
      </c>
      <c r="B1357" t="s">
        <v>1500</v>
      </c>
      <c r="C1357" t="s">
        <v>3249</v>
      </c>
      <c r="D1357" t="s">
        <v>4461</v>
      </c>
      <c r="E1357" t="s">
        <v>4568</v>
      </c>
      <c r="F1357" t="s">
        <v>4577</v>
      </c>
      <c r="G1357" t="s">
        <v>4584</v>
      </c>
      <c r="H1357" t="s">
        <v>4589</v>
      </c>
      <c r="I1357">
        <v>1</v>
      </c>
      <c r="J1357">
        <v>35.26</v>
      </c>
      <c r="K1357">
        <v>0</v>
      </c>
      <c r="L1357">
        <v>6.92</v>
      </c>
      <c r="M1357" t="s">
        <v>5468</v>
      </c>
      <c r="N1357" t="s">
        <v>5469</v>
      </c>
      <c r="O1357" t="s">
        <v>5477</v>
      </c>
    </row>
    <row r="1358" spans="1:15" x14ac:dyDescent="0.3">
      <c r="A1358" t="s">
        <v>1322</v>
      </c>
      <c r="B1358" t="s">
        <v>1435</v>
      </c>
      <c r="C1358" t="s">
        <v>2757</v>
      </c>
      <c r="D1358" t="s">
        <v>4462</v>
      </c>
      <c r="E1358" t="s">
        <v>4554</v>
      </c>
      <c r="F1358" t="s">
        <v>4573</v>
      </c>
      <c r="G1358" t="s">
        <v>4586</v>
      </c>
      <c r="H1358" t="s">
        <v>4599</v>
      </c>
      <c r="I1358">
        <v>3</v>
      </c>
      <c r="J1358" t="s">
        <v>5403</v>
      </c>
      <c r="K1358">
        <v>0.15</v>
      </c>
      <c r="L1358">
        <v>14.58</v>
      </c>
      <c r="N1358" t="s">
        <v>5469</v>
      </c>
      <c r="O1358" t="s">
        <v>5475</v>
      </c>
    </row>
    <row r="1359" spans="1:15" x14ac:dyDescent="0.3">
      <c r="A1359" t="s">
        <v>1323</v>
      </c>
      <c r="B1359" t="s">
        <v>2551</v>
      </c>
      <c r="C1359" t="s">
        <v>3250</v>
      </c>
      <c r="D1359" t="s">
        <v>4463</v>
      </c>
      <c r="E1359" t="s">
        <v>4564</v>
      </c>
      <c r="G1359" t="s">
        <v>4587</v>
      </c>
      <c r="H1359" t="s">
        <v>4600</v>
      </c>
      <c r="I1359">
        <v>5</v>
      </c>
      <c r="J1359">
        <v>13.45</v>
      </c>
      <c r="K1359">
        <v>0</v>
      </c>
      <c r="L1359">
        <v>0.06</v>
      </c>
      <c r="M1359" t="s">
        <v>5466</v>
      </c>
      <c r="N1359" t="s">
        <v>5472</v>
      </c>
      <c r="O1359" t="s">
        <v>5477</v>
      </c>
    </row>
    <row r="1360" spans="1:15" x14ac:dyDescent="0.3">
      <c r="A1360" t="s">
        <v>1324</v>
      </c>
      <c r="B1360" t="s">
        <v>2483</v>
      </c>
      <c r="C1360" t="s">
        <v>2779</v>
      </c>
      <c r="D1360" t="s">
        <v>4464</v>
      </c>
      <c r="E1360" t="s">
        <v>4550</v>
      </c>
      <c r="F1360" t="s">
        <v>4573</v>
      </c>
      <c r="G1360" t="s">
        <v>4585</v>
      </c>
      <c r="H1360" t="s">
        <v>4590</v>
      </c>
      <c r="I1360">
        <v>5</v>
      </c>
      <c r="J1360" t="s">
        <v>5404</v>
      </c>
      <c r="K1360">
        <v>0</v>
      </c>
      <c r="L1360">
        <v>3.59</v>
      </c>
      <c r="M1360" t="s">
        <v>5464</v>
      </c>
      <c r="N1360" t="s">
        <v>5472</v>
      </c>
      <c r="O1360" t="s">
        <v>5480</v>
      </c>
    </row>
    <row r="1361" spans="1:15" x14ac:dyDescent="0.3">
      <c r="A1361" t="s">
        <v>1325</v>
      </c>
      <c r="B1361" t="s">
        <v>2024</v>
      </c>
      <c r="C1361" t="s">
        <v>2979</v>
      </c>
      <c r="D1361" t="s">
        <v>4465</v>
      </c>
      <c r="E1361" t="s">
        <v>4548</v>
      </c>
      <c r="F1361" t="s">
        <v>4573</v>
      </c>
      <c r="G1361" t="s">
        <v>4587</v>
      </c>
      <c r="H1361" t="s">
        <v>4596</v>
      </c>
      <c r="I1361">
        <v>10</v>
      </c>
      <c r="J1361" t="s">
        <v>5405</v>
      </c>
      <c r="K1361" t="s">
        <v>5460</v>
      </c>
      <c r="L1361">
        <v>11.89</v>
      </c>
      <c r="M1361" t="s">
        <v>5464</v>
      </c>
      <c r="N1361" t="s">
        <v>5474</v>
      </c>
      <c r="O1361" t="s">
        <v>5475</v>
      </c>
    </row>
    <row r="1362" spans="1:15" x14ac:dyDescent="0.3">
      <c r="A1362" t="s">
        <v>1326</v>
      </c>
      <c r="B1362" t="s">
        <v>2552</v>
      </c>
      <c r="C1362" t="s">
        <v>2861</v>
      </c>
      <c r="D1362" t="s">
        <v>4466</v>
      </c>
      <c r="E1362" t="s">
        <v>4565</v>
      </c>
      <c r="F1362" t="s">
        <v>4575</v>
      </c>
      <c r="G1362" t="s">
        <v>4587</v>
      </c>
      <c r="H1362" t="s">
        <v>4596</v>
      </c>
      <c r="I1362">
        <v>2</v>
      </c>
      <c r="J1362">
        <v>15.41</v>
      </c>
      <c r="K1362">
        <v>0.1</v>
      </c>
      <c r="L1362">
        <v>5.39</v>
      </c>
      <c r="M1362" t="s">
        <v>5463</v>
      </c>
      <c r="N1362" t="s">
        <v>5471</v>
      </c>
      <c r="O1362" t="s">
        <v>5477</v>
      </c>
    </row>
    <row r="1363" spans="1:15" x14ac:dyDescent="0.3">
      <c r="A1363" t="s">
        <v>1327</v>
      </c>
      <c r="B1363" t="s">
        <v>2553</v>
      </c>
      <c r="C1363" t="s">
        <v>3047</v>
      </c>
      <c r="D1363" t="s">
        <v>4467</v>
      </c>
      <c r="E1363" t="s">
        <v>4560</v>
      </c>
      <c r="F1363" t="s">
        <v>4574</v>
      </c>
      <c r="G1363" t="s">
        <v>4584</v>
      </c>
      <c r="H1363" t="s">
        <v>4603</v>
      </c>
      <c r="I1363">
        <v>1</v>
      </c>
      <c r="J1363" t="s">
        <v>5406</v>
      </c>
      <c r="K1363" t="s">
        <v>5460</v>
      </c>
      <c r="L1363">
        <v>0.69</v>
      </c>
      <c r="M1363" t="s">
        <v>5467</v>
      </c>
      <c r="N1363" t="s">
        <v>5472</v>
      </c>
      <c r="O1363" t="s">
        <v>5477</v>
      </c>
    </row>
    <row r="1364" spans="1:15" x14ac:dyDescent="0.3">
      <c r="A1364" t="s">
        <v>276</v>
      </c>
      <c r="B1364" t="s">
        <v>1671</v>
      </c>
      <c r="C1364" t="s">
        <v>2842</v>
      </c>
      <c r="D1364" t="s">
        <v>3506</v>
      </c>
      <c r="E1364" t="s">
        <v>4556</v>
      </c>
      <c r="F1364" t="s">
        <v>4576</v>
      </c>
      <c r="G1364" t="s">
        <v>4587</v>
      </c>
      <c r="H1364" t="s">
        <v>4596</v>
      </c>
      <c r="I1364">
        <v>10</v>
      </c>
      <c r="J1364">
        <v>14.97</v>
      </c>
      <c r="K1364">
        <v>0.05</v>
      </c>
      <c r="L1364">
        <v>0.22</v>
      </c>
      <c r="M1364" t="s">
        <v>5465</v>
      </c>
      <c r="O1364" t="s">
        <v>5475</v>
      </c>
    </row>
    <row r="1365" spans="1:15" x14ac:dyDescent="0.3">
      <c r="A1365" t="s">
        <v>1328</v>
      </c>
      <c r="B1365" t="s">
        <v>2554</v>
      </c>
      <c r="C1365" t="s">
        <v>3251</v>
      </c>
      <c r="D1365" t="s">
        <v>4468</v>
      </c>
      <c r="E1365" t="s">
        <v>4561</v>
      </c>
      <c r="F1365" t="s">
        <v>4580</v>
      </c>
      <c r="G1365" t="s">
        <v>4586</v>
      </c>
      <c r="H1365" t="s">
        <v>4609</v>
      </c>
      <c r="I1365">
        <v>-1</v>
      </c>
      <c r="J1365" t="s">
        <v>5407</v>
      </c>
      <c r="K1365">
        <v>0.15</v>
      </c>
      <c r="L1365">
        <v>13.94</v>
      </c>
      <c r="M1365" t="s">
        <v>5463</v>
      </c>
      <c r="N1365" t="s">
        <v>5472</v>
      </c>
      <c r="O1365" t="s">
        <v>5477</v>
      </c>
    </row>
    <row r="1366" spans="1:15" x14ac:dyDescent="0.3">
      <c r="A1366" t="s">
        <v>1329</v>
      </c>
      <c r="B1366" t="s">
        <v>2555</v>
      </c>
      <c r="C1366" t="s">
        <v>2651</v>
      </c>
      <c r="E1366" t="s">
        <v>4550</v>
      </c>
      <c r="F1366" t="s">
        <v>4573</v>
      </c>
      <c r="G1366" t="s">
        <v>4584</v>
      </c>
      <c r="H1366" t="s">
        <v>4595</v>
      </c>
      <c r="I1366">
        <v>-1</v>
      </c>
      <c r="J1366" t="s">
        <v>5408</v>
      </c>
      <c r="K1366">
        <v>0</v>
      </c>
      <c r="L1366">
        <v>2.89</v>
      </c>
      <c r="M1366" t="s">
        <v>5462</v>
      </c>
      <c r="N1366" t="s">
        <v>5470</v>
      </c>
      <c r="O1366" t="s">
        <v>5475</v>
      </c>
    </row>
    <row r="1367" spans="1:15" x14ac:dyDescent="0.3">
      <c r="A1367" t="s">
        <v>1330</v>
      </c>
      <c r="B1367" t="s">
        <v>2556</v>
      </c>
      <c r="C1367" t="s">
        <v>2711</v>
      </c>
      <c r="D1367" t="s">
        <v>4469</v>
      </c>
      <c r="E1367" t="s">
        <v>4569</v>
      </c>
      <c r="F1367" t="s">
        <v>4580</v>
      </c>
      <c r="G1367" t="s">
        <v>4585</v>
      </c>
      <c r="H1367" t="s">
        <v>4602</v>
      </c>
      <c r="I1367">
        <v>1</v>
      </c>
      <c r="J1367">
        <v>4.2699999999999996</v>
      </c>
      <c r="K1367" t="s">
        <v>5461</v>
      </c>
      <c r="L1367">
        <v>3.97</v>
      </c>
      <c r="M1367" t="s">
        <v>5463</v>
      </c>
      <c r="N1367" t="s">
        <v>5473</v>
      </c>
      <c r="O1367" t="s">
        <v>5477</v>
      </c>
    </row>
    <row r="1368" spans="1:15" x14ac:dyDescent="0.3">
      <c r="A1368" t="s">
        <v>1331</v>
      </c>
      <c r="B1368" t="s">
        <v>2557</v>
      </c>
      <c r="C1368" t="s">
        <v>3116</v>
      </c>
      <c r="D1368" t="s">
        <v>4470</v>
      </c>
      <c r="E1368" t="s">
        <v>4549</v>
      </c>
      <c r="F1368" t="s">
        <v>4573</v>
      </c>
      <c r="G1368" t="s">
        <v>4584</v>
      </c>
      <c r="H1368" t="s">
        <v>4595</v>
      </c>
      <c r="I1368">
        <v>-1</v>
      </c>
      <c r="J1368">
        <v>40.21</v>
      </c>
      <c r="K1368">
        <v>0.05</v>
      </c>
      <c r="L1368">
        <v>13.42</v>
      </c>
      <c r="M1368" t="s">
        <v>5465</v>
      </c>
      <c r="N1368" t="s">
        <v>5474</v>
      </c>
      <c r="O1368" t="s">
        <v>5477</v>
      </c>
    </row>
    <row r="1369" spans="1:15" x14ac:dyDescent="0.3">
      <c r="A1369" t="s">
        <v>1332</v>
      </c>
      <c r="B1369" t="s">
        <v>2558</v>
      </c>
      <c r="C1369" t="s">
        <v>2637</v>
      </c>
      <c r="D1369" t="s">
        <v>4471</v>
      </c>
      <c r="E1369" t="s">
        <v>4556</v>
      </c>
      <c r="F1369" t="s">
        <v>4579</v>
      </c>
      <c r="G1369" t="s">
        <v>4585</v>
      </c>
      <c r="H1369" t="s">
        <v>4598</v>
      </c>
      <c r="I1369">
        <v>2</v>
      </c>
      <c r="J1369">
        <v>2.95</v>
      </c>
      <c r="K1369">
        <v>0</v>
      </c>
      <c r="L1369">
        <v>11.36</v>
      </c>
      <c r="M1369" t="s">
        <v>5467</v>
      </c>
      <c r="N1369" t="s">
        <v>5474</v>
      </c>
      <c r="O1369" t="s">
        <v>5477</v>
      </c>
    </row>
    <row r="1370" spans="1:15" x14ac:dyDescent="0.3">
      <c r="A1370" t="s">
        <v>1333</v>
      </c>
      <c r="B1370" t="s">
        <v>2559</v>
      </c>
      <c r="C1370" t="s">
        <v>2743</v>
      </c>
      <c r="D1370" t="s">
        <v>4472</v>
      </c>
      <c r="E1370" t="s">
        <v>4560</v>
      </c>
      <c r="F1370" t="s">
        <v>4573</v>
      </c>
      <c r="G1370" t="s">
        <v>4583</v>
      </c>
      <c r="H1370" t="s">
        <v>4610</v>
      </c>
      <c r="I1370">
        <v>3</v>
      </c>
      <c r="J1370">
        <v>81.41</v>
      </c>
      <c r="L1370">
        <v>3.78</v>
      </c>
      <c r="M1370" t="s">
        <v>5467</v>
      </c>
      <c r="N1370" t="s">
        <v>5469</v>
      </c>
      <c r="O1370" t="s">
        <v>5477</v>
      </c>
    </row>
    <row r="1371" spans="1:15" x14ac:dyDescent="0.3">
      <c r="A1371" t="s">
        <v>1334</v>
      </c>
      <c r="B1371" t="s">
        <v>2560</v>
      </c>
      <c r="C1371" t="s">
        <v>2821</v>
      </c>
      <c r="D1371" t="s">
        <v>4473</v>
      </c>
      <c r="E1371" t="s">
        <v>4570</v>
      </c>
      <c r="F1371" t="s">
        <v>4573</v>
      </c>
      <c r="G1371" t="s">
        <v>4585</v>
      </c>
      <c r="H1371" t="s">
        <v>4592</v>
      </c>
      <c r="I1371">
        <v>1</v>
      </c>
      <c r="J1371">
        <v>6.54</v>
      </c>
      <c r="K1371" t="s">
        <v>5460</v>
      </c>
      <c r="L1371">
        <v>14.7</v>
      </c>
      <c r="N1371" t="s">
        <v>5473</v>
      </c>
      <c r="O1371" t="s">
        <v>5477</v>
      </c>
    </row>
    <row r="1372" spans="1:15" x14ac:dyDescent="0.3">
      <c r="A1372" t="s">
        <v>1335</v>
      </c>
      <c r="B1372" t="s">
        <v>2561</v>
      </c>
      <c r="C1372" t="s">
        <v>3170</v>
      </c>
      <c r="D1372" t="s">
        <v>4474</v>
      </c>
      <c r="E1372" t="s">
        <v>4550</v>
      </c>
      <c r="F1372" t="s">
        <v>4573</v>
      </c>
      <c r="G1372" t="s">
        <v>4586</v>
      </c>
      <c r="H1372" t="s">
        <v>4597</v>
      </c>
      <c r="I1372">
        <v>-1</v>
      </c>
      <c r="J1372" t="s">
        <v>5409</v>
      </c>
      <c r="K1372" t="s">
        <v>5460</v>
      </c>
      <c r="L1372">
        <v>4.34</v>
      </c>
      <c r="M1372" t="s">
        <v>5463</v>
      </c>
      <c r="N1372" t="s">
        <v>5470</v>
      </c>
      <c r="O1372" t="s">
        <v>5478</v>
      </c>
    </row>
    <row r="1373" spans="1:15" x14ac:dyDescent="0.3">
      <c r="A1373" t="s">
        <v>1336</v>
      </c>
      <c r="B1373" t="s">
        <v>1468</v>
      </c>
      <c r="C1373" t="s">
        <v>2960</v>
      </c>
      <c r="D1373" t="s">
        <v>4475</v>
      </c>
      <c r="E1373" t="s">
        <v>4571</v>
      </c>
      <c r="F1373" t="s">
        <v>4573</v>
      </c>
      <c r="G1373" t="s">
        <v>4584</v>
      </c>
      <c r="H1373" t="s">
        <v>4601</v>
      </c>
      <c r="I1373">
        <v>4</v>
      </c>
      <c r="J1373" t="s">
        <v>5410</v>
      </c>
      <c r="K1373" t="s">
        <v>5461</v>
      </c>
      <c r="L1373">
        <v>3.78</v>
      </c>
      <c r="M1373" t="s">
        <v>5466</v>
      </c>
      <c r="N1373" t="s">
        <v>5474</v>
      </c>
      <c r="O1373" t="s">
        <v>5479</v>
      </c>
    </row>
    <row r="1374" spans="1:15" x14ac:dyDescent="0.3">
      <c r="A1374" t="s">
        <v>1337</v>
      </c>
      <c r="B1374" t="s">
        <v>2562</v>
      </c>
      <c r="C1374" t="s">
        <v>3252</v>
      </c>
      <c r="D1374" t="s">
        <v>4476</v>
      </c>
      <c r="E1374" t="s">
        <v>4570</v>
      </c>
      <c r="F1374" t="s">
        <v>4573</v>
      </c>
      <c r="G1374" t="s">
        <v>4584</v>
      </c>
      <c r="H1374" t="s">
        <v>4589</v>
      </c>
      <c r="I1374">
        <v>3</v>
      </c>
      <c r="J1374" t="s">
        <v>5411</v>
      </c>
      <c r="K1374">
        <v>0.05</v>
      </c>
      <c r="L1374">
        <v>5.79</v>
      </c>
      <c r="M1374" t="s">
        <v>5468</v>
      </c>
      <c r="N1374" t="s">
        <v>5470</v>
      </c>
      <c r="O1374" t="s">
        <v>5480</v>
      </c>
    </row>
    <row r="1375" spans="1:15" x14ac:dyDescent="0.3">
      <c r="A1375" t="s">
        <v>1338</v>
      </c>
      <c r="B1375" t="s">
        <v>2415</v>
      </c>
      <c r="C1375" t="s">
        <v>3010</v>
      </c>
      <c r="D1375" t="s">
        <v>4477</v>
      </c>
      <c r="E1375" t="s">
        <v>4550</v>
      </c>
      <c r="F1375" t="s">
        <v>4573</v>
      </c>
      <c r="G1375" t="s">
        <v>4586</v>
      </c>
      <c r="H1375" t="s">
        <v>4599</v>
      </c>
      <c r="I1375">
        <v>1</v>
      </c>
      <c r="J1375" t="s">
        <v>5412</v>
      </c>
      <c r="K1375">
        <v>0</v>
      </c>
      <c r="L1375">
        <v>4.91</v>
      </c>
      <c r="N1375" t="s">
        <v>5473</v>
      </c>
      <c r="O1375" t="s">
        <v>5478</v>
      </c>
    </row>
    <row r="1376" spans="1:15" x14ac:dyDescent="0.3">
      <c r="A1376" t="s">
        <v>1339</v>
      </c>
      <c r="B1376" t="s">
        <v>2563</v>
      </c>
      <c r="C1376" t="s">
        <v>3181</v>
      </c>
      <c r="D1376" t="s">
        <v>4478</v>
      </c>
      <c r="E1376" t="s">
        <v>4564</v>
      </c>
      <c r="F1376" t="s">
        <v>4573</v>
      </c>
      <c r="G1376" t="s">
        <v>4587</v>
      </c>
      <c r="H1376" t="s">
        <v>4606</v>
      </c>
      <c r="I1376">
        <v>1</v>
      </c>
      <c r="J1376">
        <v>31.02</v>
      </c>
      <c r="K1376">
        <v>0</v>
      </c>
      <c r="L1376">
        <v>0</v>
      </c>
      <c r="M1376" t="s">
        <v>5468</v>
      </c>
      <c r="N1376" t="s">
        <v>5469</v>
      </c>
      <c r="O1376" t="s">
        <v>5477</v>
      </c>
    </row>
    <row r="1377" spans="1:15" x14ac:dyDescent="0.3">
      <c r="A1377" t="s">
        <v>1340</v>
      </c>
      <c r="B1377" t="s">
        <v>2564</v>
      </c>
      <c r="C1377" t="s">
        <v>3196</v>
      </c>
      <c r="D1377" t="s">
        <v>4479</v>
      </c>
      <c r="E1377" t="s">
        <v>4569</v>
      </c>
      <c r="F1377" t="s">
        <v>4572</v>
      </c>
      <c r="G1377" t="s">
        <v>4587</v>
      </c>
      <c r="H1377" t="s">
        <v>4606</v>
      </c>
      <c r="I1377">
        <v>-1</v>
      </c>
      <c r="J1377">
        <v>29.01</v>
      </c>
      <c r="K1377" t="s">
        <v>5460</v>
      </c>
      <c r="L1377">
        <v>2.38</v>
      </c>
      <c r="M1377" t="s">
        <v>5467</v>
      </c>
      <c r="O1377" t="s">
        <v>5477</v>
      </c>
    </row>
    <row r="1378" spans="1:15" x14ac:dyDescent="0.3">
      <c r="A1378" t="s">
        <v>1341</v>
      </c>
      <c r="B1378" t="s">
        <v>2214</v>
      </c>
      <c r="C1378" t="s">
        <v>2849</v>
      </c>
      <c r="D1378" t="s">
        <v>4480</v>
      </c>
      <c r="E1378" t="s">
        <v>4569</v>
      </c>
      <c r="F1378" t="s">
        <v>4572</v>
      </c>
      <c r="G1378" t="s">
        <v>4585</v>
      </c>
      <c r="H1378" t="s">
        <v>4591</v>
      </c>
      <c r="I1378">
        <v>3</v>
      </c>
      <c r="J1378" t="s">
        <v>5413</v>
      </c>
      <c r="K1378">
        <v>0</v>
      </c>
      <c r="L1378">
        <v>14.8</v>
      </c>
      <c r="M1378" t="s">
        <v>5463</v>
      </c>
      <c r="O1378" t="s">
        <v>5476</v>
      </c>
    </row>
    <row r="1379" spans="1:15" x14ac:dyDescent="0.3">
      <c r="A1379" t="s">
        <v>1342</v>
      </c>
      <c r="B1379" t="s">
        <v>2565</v>
      </c>
      <c r="C1379" t="s">
        <v>2890</v>
      </c>
      <c r="D1379" t="s">
        <v>4481</v>
      </c>
      <c r="E1379" t="s">
        <v>4570</v>
      </c>
      <c r="F1379" t="s">
        <v>4574</v>
      </c>
      <c r="G1379" t="s">
        <v>4587</v>
      </c>
      <c r="H1379" t="s">
        <v>4600</v>
      </c>
      <c r="I1379">
        <v>1</v>
      </c>
      <c r="J1379">
        <v>12.38</v>
      </c>
      <c r="K1379">
        <v>0.1</v>
      </c>
      <c r="L1379">
        <v>2.94</v>
      </c>
      <c r="M1379" t="s">
        <v>5465</v>
      </c>
      <c r="O1379" t="s">
        <v>5479</v>
      </c>
    </row>
    <row r="1380" spans="1:15" x14ac:dyDescent="0.3">
      <c r="A1380" t="s">
        <v>1343</v>
      </c>
      <c r="B1380" t="s">
        <v>2566</v>
      </c>
      <c r="C1380" t="s">
        <v>2966</v>
      </c>
      <c r="D1380" t="s">
        <v>4482</v>
      </c>
      <c r="E1380" t="s">
        <v>4562</v>
      </c>
      <c r="F1380" t="s">
        <v>4576</v>
      </c>
      <c r="G1380" t="s">
        <v>4585</v>
      </c>
      <c r="H1380" t="s">
        <v>4592</v>
      </c>
      <c r="I1380">
        <v>1</v>
      </c>
      <c r="J1380" t="s">
        <v>5131</v>
      </c>
      <c r="K1380">
        <v>0.1</v>
      </c>
      <c r="L1380">
        <v>8.09</v>
      </c>
      <c r="M1380" t="s">
        <v>5465</v>
      </c>
      <c r="N1380" t="s">
        <v>5470</v>
      </c>
      <c r="O1380" t="s">
        <v>5480</v>
      </c>
    </row>
    <row r="1381" spans="1:15" x14ac:dyDescent="0.3">
      <c r="A1381" t="s">
        <v>1344</v>
      </c>
      <c r="B1381" t="s">
        <v>2529</v>
      </c>
      <c r="C1381" t="s">
        <v>3214</v>
      </c>
      <c r="D1381" t="s">
        <v>4483</v>
      </c>
      <c r="E1381" t="s">
        <v>4565</v>
      </c>
      <c r="G1381" t="s">
        <v>4587</v>
      </c>
      <c r="H1381" t="s">
        <v>4600</v>
      </c>
      <c r="I1381">
        <v>10</v>
      </c>
      <c r="J1381" t="s">
        <v>5414</v>
      </c>
      <c r="K1381">
        <v>0</v>
      </c>
      <c r="L1381">
        <v>13.12</v>
      </c>
      <c r="M1381" t="s">
        <v>5468</v>
      </c>
      <c r="N1381" t="s">
        <v>5474</v>
      </c>
      <c r="O1381" t="s">
        <v>5478</v>
      </c>
    </row>
    <row r="1382" spans="1:15" x14ac:dyDescent="0.3">
      <c r="A1382" t="s">
        <v>1345</v>
      </c>
      <c r="B1382" t="s">
        <v>2567</v>
      </c>
      <c r="C1382" t="s">
        <v>2789</v>
      </c>
      <c r="D1382" t="s">
        <v>4484</v>
      </c>
      <c r="E1382" t="s">
        <v>4570</v>
      </c>
      <c r="F1382" t="s">
        <v>4573</v>
      </c>
      <c r="G1382" t="s">
        <v>4587</v>
      </c>
      <c r="H1382" t="s">
        <v>4594</v>
      </c>
      <c r="I1382">
        <v>2</v>
      </c>
      <c r="J1382" t="s">
        <v>5415</v>
      </c>
      <c r="K1382" t="s">
        <v>5461</v>
      </c>
      <c r="L1382">
        <v>14.37</v>
      </c>
      <c r="N1382" t="s">
        <v>5469</v>
      </c>
      <c r="O1382" t="s">
        <v>5480</v>
      </c>
    </row>
    <row r="1383" spans="1:15" x14ac:dyDescent="0.3">
      <c r="A1383" t="s">
        <v>1346</v>
      </c>
      <c r="B1383" t="s">
        <v>2568</v>
      </c>
      <c r="C1383" t="s">
        <v>2912</v>
      </c>
      <c r="D1383" t="s">
        <v>4485</v>
      </c>
      <c r="E1383" t="s">
        <v>4559</v>
      </c>
      <c r="F1383" t="s">
        <v>4573</v>
      </c>
      <c r="G1383" t="s">
        <v>4583</v>
      </c>
      <c r="H1383" t="s">
        <v>4588</v>
      </c>
      <c r="I1383">
        <v>5</v>
      </c>
      <c r="J1383" t="s">
        <v>5416</v>
      </c>
      <c r="K1383">
        <v>0.05</v>
      </c>
      <c r="L1383">
        <v>11.02</v>
      </c>
      <c r="M1383" t="s">
        <v>5464</v>
      </c>
      <c r="O1383" t="s">
        <v>5478</v>
      </c>
    </row>
    <row r="1384" spans="1:15" x14ac:dyDescent="0.3">
      <c r="A1384" t="s">
        <v>1347</v>
      </c>
      <c r="B1384" t="s">
        <v>2569</v>
      </c>
      <c r="C1384" t="s">
        <v>2958</v>
      </c>
      <c r="D1384" t="s">
        <v>4486</v>
      </c>
      <c r="E1384" t="s">
        <v>4553</v>
      </c>
      <c r="G1384" t="s">
        <v>4583</v>
      </c>
      <c r="H1384" t="s">
        <v>4604</v>
      </c>
      <c r="I1384">
        <v>1</v>
      </c>
      <c r="J1384" t="s">
        <v>5417</v>
      </c>
      <c r="L1384">
        <v>4.47</v>
      </c>
      <c r="M1384" t="s">
        <v>5462</v>
      </c>
      <c r="N1384" t="s">
        <v>5474</v>
      </c>
      <c r="O1384" t="s">
        <v>5477</v>
      </c>
    </row>
    <row r="1385" spans="1:15" x14ac:dyDescent="0.3">
      <c r="A1385" t="s">
        <v>1348</v>
      </c>
      <c r="B1385" t="s">
        <v>2570</v>
      </c>
      <c r="C1385" t="s">
        <v>2742</v>
      </c>
      <c r="D1385" t="s">
        <v>4487</v>
      </c>
      <c r="E1385" t="s">
        <v>4566</v>
      </c>
      <c r="F1385" t="s">
        <v>4573</v>
      </c>
      <c r="H1385" t="s">
        <v>4597</v>
      </c>
      <c r="I1385">
        <v>1</v>
      </c>
      <c r="J1385" t="s">
        <v>5418</v>
      </c>
      <c r="K1385">
        <v>0</v>
      </c>
      <c r="L1385">
        <v>8.8800000000000008</v>
      </c>
      <c r="M1385" t="s">
        <v>5463</v>
      </c>
      <c r="N1385" t="s">
        <v>5470</v>
      </c>
      <c r="O1385" t="s">
        <v>5476</v>
      </c>
    </row>
    <row r="1386" spans="1:15" x14ac:dyDescent="0.3">
      <c r="A1386" t="s">
        <v>1349</v>
      </c>
      <c r="B1386" t="s">
        <v>2049</v>
      </c>
      <c r="C1386" t="s">
        <v>2963</v>
      </c>
      <c r="D1386" t="s">
        <v>4488</v>
      </c>
      <c r="E1386" t="s">
        <v>4559</v>
      </c>
      <c r="F1386" t="s">
        <v>4577</v>
      </c>
      <c r="G1386" t="s">
        <v>4583</v>
      </c>
      <c r="H1386" t="s">
        <v>4604</v>
      </c>
      <c r="I1386">
        <v>1</v>
      </c>
      <c r="J1386" t="s">
        <v>5317</v>
      </c>
      <c r="K1386" t="s">
        <v>5461</v>
      </c>
      <c r="L1386">
        <v>5.83</v>
      </c>
      <c r="M1386" t="s">
        <v>5467</v>
      </c>
      <c r="N1386" t="s">
        <v>5469</v>
      </c>
      <c r="O1386" t="s">
        <v>5477</v>
      </c>
    </row>
    <row r="1387" spans="1:15" x14ac:dyDescent="0.3">
      <c r="A1387" t="s">
        <v>1350</v>
      </c>
      <c r="B1387" t="s">
        <v>2571</v>
      </c>
      <c r="C1387" t="s">
        <v>2974</v>
      </c>
      <c r="D1387" t="s">
        <v>4489</v>
      </c>
      <c r="E1387" t="s">
        <v>4564</v>
      </c>
      <c r="F1387" t="s">
        <v>4573</v>
      </c>
      <c r="G1387" t="s">
        <v>4586</v>
      </c>
      <c r="H1387" t="s">
        <v>4597</v>
      </c>
      <c r="I1387">
        <v>1</v>
      </c>
      <c r="J1387" t="s">
        <v>5419</v>
      </c>
      <c r="K1387">
        <v>0</v>
      </c>
      <c r="L1387">
        <v>3.18</v>
      </c>
      <c r="M1387" t="s">
        <v>5464</v>
      </c>
      <c r="N1387" t="s">
        <v>5473</v>
      </c>
      <c r="O1387" t="s">
        <v>5477</v>
      </c>
    </row>
    <row r="1388" spans="1:15" x14ac:dyDescent="0.3">
      <c r="A1388" t="s">
        <v>1351</v>
      </c>
      <c r="B1388" t="s">
        <v>2572</v>
      </c>
      <c r="C1388" t="s">
        <v>2759</v>
      </c>
      <c r="D1388" t="s">
        <v>4490</v>
      </c>
      <c r="E1388" t="s">
        <v>4564</v>
      </c>
      <c r="F1388" t="s">
        <v>4578</v>
      </c>
      <c r="G1388" t="s">
        <v>4586</v>
      </c>
      <c r="H1388" t="s">
        <v>4593</v>
      </c>
      <c r="I1388">
        <v>2</v>
      </c>
      <c r="J1388">
        <v>109.5</v>
      </c>
      <c r="K1388">
        <v>0.1</v>
      </c>
      <c r="L1388">
        <v>5.05</v>
      </c>
      <c r="M1388" t="s">
        <v>5462</v>
      </c>
      <c r="N1388" t="s">
        <v>5469</v>
      </c>
      <c r="O1388" t="s">
        <v>5477</v>
      </c>
    </row>
    <row r="1389" spans="1:15" x14ac:dyDescent="0.3">
      <c r="A1389" t="s">
        <v>1352</v>
      </c>
      <c r="B1389" t="s">
        <v>2573</v>
      </c>
      <c r="C1389" t="s">
        <v>3225</v>
      </c>
      <c r="D1389" t="s">
        <v>4491</v>
      </c>
      <c r="E1389" t="s">
        <v>4558</v>
      </c>
      <c r="F1389" t="s">
        <v>4572</v>
      </c>
      <c r="G1389" t="s">
        <v>4583</v>
      </c>
      <c r="H1389" t="s">
        <v>4605</v>
      </c>
      <c r="I1389">
        <v>2</v>
      </c>
      <c r="J1389" t="s">
        <v>5420</v>
      </c>
      <c r="K1389" t="s">
        <v>5460</v>
      </c>
      <c r="L1389">
        <v>12.45</v>
      </c>
      <c r="M1389" t="s">
        <v>5467</v>
      </c>
      <c r="N1389" t="s">
        <v>5469</v>
      </c>
      <c r="O1389" t="s">
        <v>5479</v>
      </c>
    </row>
    <row r="1390" spans="1:15" x14ac:dyDescent="0.3">
      <c r="A1390" t="s">
        <v>1353</v>
      </c>
      <c r="B1390" t="s">
        <v>2574</v>
      </c>
      <c r="C1390" t="s">
        <v>2720</v>
      </c>
      <c r="D1390" t="s">
        <v>4492</v>
      </c>
      <c r="E1390" t="s">
        <v>4559</v>
      </c>
      <c r="F1390" t="s">
        <v>4573</v>
      </c>
      <c r="G1390" t="s">
        <v>4584</v>
      </c>
      <c r="H1390" t="s">
        <v>4607</v>
      </c>
      <c r="I1390">
        <v>5</v>
      </c>
      <c r="J1390" t="s">
        <v>5421</v>
      </c>
      <c r="K1390">
        <v>0.15</v>
      </c>
      <c r="L1390">
        <v>0.8</v>
      </c>
      <c r="M1390" t="s">
        <v>5464</v>
      </c>
      <c r="O1390" t="s">
        <v>5479</v>
      </c>
    </row>
    <row r="1391" spans="1:15" x14ac:dyDescent="0.3">
      <c r="A1391" t="s">
        <v>1354</v>
      </c>
      <c r="B1391" t="s">
        <v>2575</v>
      </c>
      <c r="C1391" t="s">
        <v>2867</v>
      </c>
      <c r="D1391" t="s">
        <v>4493</v>
      </c>
      <c r="E1391" t="s">
        <v>4570</v>
      </c>
      <c r="F1391" t="s">
        <v>4574</v>
      </c>
      <c r="G1391" t="s">
        <v>4584</v>
      </c>
      <c r="H1391" t="s">
        <v>4607</v>
      </c>
      <c r="I1391">
        <v>2</v>
      </c>
      <c r="J1391" t="s">
        <v>5422</v>
      </c>
      <c r="K1391">
        <v>0.1</v>
      </c>
      <c r="L1391">
        <v>7.22</v>
      </c>
      <c r="N1391" t="s">
        <v>5474</v>
      </c>
      <c r="O1391" t="s">
        <v>5477</v>
      </c>
    </row>
    <row r="1392" spans="1:15" x14ac:dyDescent="0.3">
      <c r="A1392" t="s">
        <v>1355</v>
      </c>
      <c r="B1392" t="s">
        <v>1509</v>
      </c>
      <c r="C1392" t="s">
        <v>2979</v>
      </c>
      <c r="D1392" t="s">
        <v>4494</v>
      </c>
      <c r="E1392" t="s">
        <v>4569</v>
      </c>
      <c r="F1392" t="s">
        <v>4581</v>
      </c>
      <c r="G1392" t="s">
        <v>4586</v>
      </c>
      <c r="H1392" t="s">
        <v>4599</v>
      </c>
      <c r="I1392">
        <v>1</v>
      </c>
      <c r="J1392" t="s">
        <v>5423</v>
      </c>
      <c r="K1392" t="s">
        <v>5460</v>
      </c>
      <c r="L1392">
        <v>5.78</v>
      </c>
      <c r="M1392" t="s">
        <v>5462</v>
      </c>
      <c r="N1392" t="s">
        <v>5471</v>
      </c>
      <c r="O1392" t="s">
        <v>5479</v>
      </c>
    </row>
    <row r="1393" spans="1:15" x14ac:dyDescent="0.3">
      <c r="A1393" t="s">
        <v>1356</v>
      </c>
      <c r="B1393" t="s">
        <v>2576</v>
      </c>
      <c r="C1393" t="s">
        <v>2841</v>
      </c>
      <c r="D1393" t="s">
        <v>4495</v>
      </c>
      <c r="E1393" t="s">
        <v>4564</v>
      </c>
      <c r="G1393" t="s">
        <v>4586</v>
      </c>
      <c r="H1393" t="s">
        <v>4609</v>
      </c>
      <c r="I1393">
        <v>1</v>
      </c>
      <c r="J1393" t="s">
        <v>5424</v>
      </c>
      <c r="K1393">
        <v>0.05</v>
      </c>
      <c r="L1393">
        <v>9.8800000000000008</v>
      </c>
      <c r="M1393" t="s">
        <v>5468</v>
      </c>
      <c r="N1393" t="s">
        <v>5470</v>
      </c>
      <c r="O1393" t="s">
        <v>5475</v>
      </c>
    </row>
    <row r="1394" spans="1:15" x14ac:dyDescent="0.3">
      <c r="A1394" t="s">
        <v>1357</v>
      </c>
      <c r="B1394" t="s">
        <v>2577</v>
      </c>
      <c r="C1394" t="s">
        <v>3023</v>
      </c>
      <c r="D1394" t="s">
        <v>4496</v>
      </c>
      <c r="E1394" t="s">
        <v>4563</v>
      </c>
      <c r="F1394" t="s">
        <v>4573</v>
      </c>
      <c r="G1394" t="s">
        <v>4585</v>
      </c>
      <c r="H1394" t="s">
        <v>4592</v>
      </c>
      <c r="I1394">
        <v>10</v>
      </c>
      <c r="J1394" t="s">
        <v>5425</v>
      </c>
      <c r="K1394">
        <v>0</v>
      </c>
      <c r="L1394">
        <v>9.57</v>
      </c>
      <c r="M1394" t="s">
        <v>5463</v>
      </c>
      <c r="O1394" t="s">
        <v>5477</v>
      </c>
    </row>
    <row r="1395" spans="1:15" x14ac:dyDescent="0.3">
      <c r="A1395" t="s">
        <v>1358</v>
      </c>
      <c r="B1395" t="s">
        <v>2578</v>
      </c>
      <c r="C1395" t="s">
        <v>2707</v>
      </c>
      <c r="E1395" t="s">
        <v>4548</v>
      </c>
      <c r="F1395" t="s">
        <v>4573</v>
      </c>
      <c r="G1395" t="s">
        <v>4585</v>
      </c>
      <c r="H1395" t="s">
        <v>4598</v>
      </c>
      <c r="I1395">
        <v>2</v>
      </c>
      <c r="J1395">
        <v>3.15</v>
      </c>
      <c r="K1395">
        <v>0.1</v>
      </c>
      <c r="L1395">
        <v>6.24</v>
      </c>
      <c r="M1395" t="s">
        <v>5466</v>
      </c>
      <c r="N1395" t="s">
        <v>5471</v>
      </c>
      <c r="O1395" t="s">
        <v>5479</v>
      </c>
    </row>
    <row r="1396" spans="1:15" x14ac:dyDescent="0.3">
      <c r="A1396" t="s">
        <v>1359</v>
      </c>
      <c r="B1396" t="s">
        <v>2579</v>
      </c>
      <c r="C1396" t="s">
        <v>3145</v>
      </c>
      <c r="D1396" t="s">
        <v>4497</v>
      </c>
      <c r="E1396" t="s">
        <v>4548</v>
      </c>
      <c r="F1396" t="s">
        <v>4578</v>
      </c>
      <c r="G1396" t="s">
        <v>4583</v>
      </c>
      <c r="H1396" t="s">
        <v>4610</v>
      </c>
      <c r="I1396">
        <v>1</v>
      </c>
      <c r="J1396" t="s">
        <v>5426</v>
      </c>
      <c r="K1396">
        <v>0.1</v>
      </c>
      <c r="L1396">
        <v>12.76</v>
      </c>
      <c r="M1396" t="s">
        <v>5462</v>
      </c>
      <c r="N1396" t="s">
        <v>5474</v>
      </c>
      <c r="O1396" t="s">
        <v>5477</v>
      </c>
    </row>
    <row r="1397" spans="1:15" x14ac:dyDescent="0.3">
      <c r="A1397" t="s">
        <v>1360</v>
      </c>
      <c r="B1397" t="s">
        <v>2580</v>
      </c>
      <c r="C1397" t="s">
        <v>3196</v>
      </c>
      <c r="D1397" t="s">
        <v>4498</v>
      </c>
      <c r="E1397" t="s">
        <v>4559</v>
      </c>
      <c r="F1397" t="s">
        <v>4573</v>
      </c>
      <c r="G1397" t="s">
        <v>4583</v>
      </c>
      <c r="H1397" t="s">
        <v>4605</v>
      </c>
      <c r="I1397">
        <v>1</v>
      </c>
      <c r="J1397">
        <v>44.27</v>
      </c>
      <c r="K1397" t="s">
        <v>5460</v>
      </c>
      <c r="L1397">
        <v>0</v>
      </c>
      <c r="M1397" t="s">
        <v>5462</v>
      </c>
      <c r="N1397" t="s">
        <v>5471</v>
      </c>
      <c r="O1397" t="s">
        <v>5478</v>
      </c>
    </row>
    <row r="1398" spans="1:15" x14ac:dyDescent="0.3">
      <c r="A1398" t="s">
        <v>1361</v>
      </c>
      <c r="B1398" t="s">
        <v>2581</v>
      </c>
      <c r="C1398" t="s">
        <v>2963</v>
      </c>
      <c r="D1398" t="s">
        <v>4499</v>
      </c>
      <c r="E1398" t="s">
        <v>4566</v>
      </c>
      <c r="F1398" t="s">
        <v>4582</v>
      </c>
      <c r="G1398" t="s">
        <v>4587</v>
      </c>
      <c r="H1398" t="s">
        <v>4600</v>
      </c>
      <c r="I1398">
        <v>-1</v>
      </c>
      <c r="J1398" t="s">
        <v>5427</v>
      </c>
      <c r="L1398">
        <v>12.78</v>
      </c>
      <c r="M1398" t="s">
        <v>5463</v>
      </c>
      <c r="N1398" t="s">
        <v>5471</v>
      </c>
      <c r="O1398" t="s">
        <v>5477</v>
      </c>
    </row>
    <row r="1399" spans="1:15" x14ac:dyDescent="0.3">
      <c r="A1399" t="s">
        <v>1362</v>
      </c>
      <c r="B1399" t="s">
        <v>2582</v>
      </c>
      <c r="C1399" t="s">
        <v>3013</v>
      </c>
      <c r="D1399" t="s">
        <v>4500</v>
      </c>
      <c r="E1399" t="s">
        <v>4570</v>
      </c>
      <c r="F1399" t="s">
        <v>4573</v>
      </c>
      <c r="G1399" t="s">
        <v>4584</v>
      </c>
      <c r="H1399" t="s">
        <v>4595</v>
      </c>
      <c r="I1399">
        <v>3</v>
      </c>
      <c r="J1399" t="s">
        <v>5428</v>
      </c>
      <c r="K1399">
        <v>0</v>
      </c>
      <c r="L1399">
        <v>9.42</v>
      </c>
      <c r="M1399" t="s">
        <v>5463</v>
      </c>
      <c r="N1399" t="s">
        <v>5472</v>
      </c>
      <c r="O1399" t="s">
        <v>5479</v>
      </c>
    </row>
    <row r="1400" spans="1:15" x14ac:dyDescent="0.3">
      <c r="A1400" t="s">
        <v>1363</v>
      </c>
      <c r="B1400" t="s">
        <v>2583</v>
      </c>
      <c r="C1400" t="s">
        <v>2731</v>
      </c>
      <c r="D1400" t="s">
        <v>4501</v>
      </c>
      <c r="E1400" t="s">
        <v>4547</v>
      </c>
      <c r="F1400" t="s">
        <v>4581</v>
      </c>
      <c r="G1400" t="s">
        <v>4586</v>
      </c>
      <c r="H1400" t="s">
        <v>4593</v>
      </c>
      <c r="I1400">
        <v>1</v>
      </c>
      <c r="J1400" t="s">
        <v>5429</v>
      </c>
      <c r="L1400">
        <v>14.36</v>
      </c>
      <c r="M1400" t="s">
        <v>5465</v>
      </c>
      <c r="N1400" t="s">
        <v>5473</v>
      </c>
      <c r="O1400" t="s">
        <v>5477</v>
      </c>
    </row>
    <row r="1401" spans="1:15" x14ac:dyDescent="0.3">
      <c r="A1401" t="s">
        <v>1364</v>
      </c>
      <c r="B1401" t="s">
        <v>2584</v>
      </c>
      <c r="C1401" t="s">
        <v>3063</v>
      </c>
      <c r="D1401" t="s">
        <v>4502</v>
      </c>
      <c r="E1401" t="s">
        <v>4551</v>
      </c>
      <c r="F1401" t="s">
        <v>4579</v>
      </c>
      <c r="G1401" t="s">
        <v>4585</v>
      </c>
      <c r="H1401" t="s">
        <v>4602</v>
      </c>
      <c r="I1401">
        <v>2</v>
      </c>
      <c r="J1401">
        <v>4.38</v>
      </c>
      <c r="L1401">
        <v>10.96</v>
      </c>
      <c r="M1401" t="s">
        <v>5464</v>
      </c>
      <c r="N1401" t="s">
        <v>5470</v>
      </c>
      <c r="O1401" t="s">
        <v>5480</v>
      </c>
    </row>
    <row r="1402" spans="1:15" x14ac:dyDescent="0.3">
      <c r="A1402" t="s">
        <v>1365</v>
      </c>
      <c r="B1402" t="s">
        <v>2585</v>
      </c>
      <c r="C1402" t="s">
        <v>2627</v>
      </c>
      <c r="D1402" t="s">
        <v>4503</v>
      </c>
      <c r="E1402" t="s">
        <v>4564</v>
      </c>
      <c r="F1402" t="s">
        <v>4578</v>
      </c>
      <c r="G1402" t="s">
        <v>4586</v>
      </c>
      <c r="H1402" t="s">
        <v>4593</v>
      </c>
      <c r="I1402">
        <v>1</v>
      </c>
      <c r="J1402">
        <v>105.61</v>
      </c>
      <c r="L1402">
        <v>13.62</v>
      </c>
      <c r="M1402" t="s">
        <v>5466</v>
      </c>
      <c r="N1402" t="s">
        <v>5471</v>
      </c>
      <c r="O1402" t="s">
        <v>5477</v>
      </c>
    </row>
    <row r="1403" spans="1:15" x14ac:dyDescent="0.3">
      <c r="A1403" t="s">
        <v>1366</v>
      </c>
      <c r="B1403" t="s">
        <v>2586</v>
      </c>
      <c r="C1403" t="s">
        <v>3009</v>
      </c>
      <c r="D1403" t="s">
        <v>4504</v>
      </c>
      <c r="E1403" t="s">
        <v>4566</v>
      </c>
      <c r="F1403" t="s">
        <v>4582</v>
      </c>
      <c r="G1403" t="s">
        <v>4584</v>
      </c>
      <c r="H1403" t="s">
        <v>4589</v>
      </c>
      <c r="I1403">
        <v>-1</v>
      </c>
      <c r="J1403">
        <v>35.29</v>
      </c>
      <c r="K1403">
        <v>0.05</v>
      </c>
      <c r="L1403">
        <v>2.76</v>
      </c>
      <c r="M1403" t="s">
        <v>5465</v>
      </c>
      <c r="N1403" t="s">
        <v>5473</v>
      </c>
      <c r="O1403" t="s">
        <v>5477</v>
      </c>
    </row>
    <row r="1404" spans="1:15" x14ac:dyDescent="0.3">
      <c r="A1404" t="s">
        <v>1367</v>
      </c>
      <c r="B1404" t="s">
        <v>2587</v>
      </c>
      <c r="C1404" t="s">
        <v>3012</v>
      </c>
      <c r="D1404" t="s">
        <v>4505</v>
      </c>
      <c r="E1404" t="s">
        <v>4548</v>
      </c>
      <c r="F1404" t="s">
        <v>4573</v>
      </c>
      <c r="G1404" t="s">
        <v>4585</v>
      </c>
      <c r="H1404" t="s">
        <v>4592</v>
      </c>
      <c r="I1404">
        <v>5</v>
      </c>
      <c r="J1404">
        <v>6.34</v>
      </c>
      <c r="K1404">
        <v>0</v>
      </c>
      <c r="L1404">
        <v>1.98</v>
      </c>
      <c r="N1404" t="s">
        <v>5470</v>
      </c>
      <c r="O1404" t="s">
        <v>5480</v>
      </c>
    </row>
    <row r="1405" spans="1:15" x14ac:dyDescent="0.3">
      <c r="A1405" t="s">
        <v>1368</v>
      </c>
      <c r="B1405" t="s">
        <v>2588</v>
      </c>
      <c r="C1405" t="s">
        <v>2832</v>
      </c>
      <c r="E1405" t="s">
        <v>4548</v>
      </c>
      <c r="F1405" t="s">
        <v>4573</v>
      </c>
      <c r="G1405" t="s">
        <v>4583</v>
      </c>
      <c r="H1405" t="s">
        <v>4610</v>
      </c>
      <c r="I1405">
        <v>2</v>
      </c>
      <c r="J1405">
        <v>81.3</v>
      </c>
      <c r="K1405">
        <v>0.05</v>
      </c>
      <c r="L1405">
        <v>7.05</v>
      </c>
      <c r="M1405" t="s">
        <v>5463</v>
      </c>
      <c r="N1405" t="s">
        <v>5471</v>
      </c>
      <c r="O1405" t="s">
        <v>5478</v>
      </c>
    </row>
    <row r="1406" spans="1:15" x14ac:dyDescent="0.3">
      <c r="A1406" t="s">
        <v>1369</v>
      </c>
      <c r="B1406" t="s">
        <v>2589</v>
      </c>
      <c r="C1406" t="s">
        <v>2651</v>
      </c>
      <c r="E1406" t="s">
        <v>4563</v>
      </c>
      <c r="G1406" t="s">
        <v>4583</v>
      </c>
      <c r="H1406" t="s">
        <v>4604</v>
      </c>
      <c r="I1406">
        <v>10</v>
      </c>
      <c r="J1406" t="s">
        <v>5430</v>
      </c>
      <c r="K1406">
        <v>0</v>
      </c>
      <c r="L1406">
        <v>0.36</v>
      </c>
      <c r="M1406" t="s">
        <v>5467</v>
      </c>
      <c r="N1406" t="s">
        <v>5469</v>
      </c>
      <c r="O1406" t="s">
        <v>5475</v>
      </c>
    </row>
    <row r="1407" spans="1:15" x14ac:dyDescent="0.3">
      <c r="A1407" t="s">
        <v>1370</v>
      </c>
      <c r="B1407" t="s">
        <v>1427</v>
      </c>
      <c r="C1407" t="s">
        <v>2688</v>
      </c>
      <c r="D1407" t="s">
        <v>4506</v>
      </c>
      <c r="E1407" t="s">
        <v>4568</v>
      </c>
      <c r="G1407" t="s">
        <v>4584</v>
      </c>
      <c r="H1407" t="s">
        <v>4601</v>
      </c>
      <c r="I1407">
        <v>1</v>
      </c>
      <c r="J1407">
        <v>194.08</v>
      </c>
      <c r="K1407">
        <v>0</v>
      </c>
      <c r="L1407">
        <v>9.9700000000000006</v>
      </c>
      <c r="M1407" t="s">
        <v>5462</v>
      </c>
      <c r="N1407" t="s">
        <v>5474</v>
      </c>
      <c r="O1407" t="s">
        <v>5475</v>
      </c>
    </row>
    <row r="1408" spans="1:15" x14ac:dyDescent="0.3">
      <c r="A1408" t="s">
        <v>1371</v>
      </c>
      <c r="B1408" t="s">
        <v>2453</v>
      </c>
      <c r="C1408" t="s">
        <v>2705</v>
      </c>
      <c r="D1408" t="s">
        <v>4507</v>
      </c>
      <c r="E1408" t="s">
        <v>4570</v>
      </c>
      <c r="F1408" t="s">
        <v>4574</v>
      </c>
      <c r="G1408" t="s">
        <v>4583</v>
      </c>
      <c r="H1408" t="s">
        <v>4604</v>
      </c>
      <c r="I1408">
        <v>2</v>
      </c>
      <c r="J1408" t="s">
        <v>5431</v>
      </c>
      <c r="L1408">
        <v>8.69</v>
      </c>
      <c r="M1408" t="s">
        <v>5463</v>
      </c>
      <c r="N1408" t="s">
        <v>5474</v>
      </c>
      <c r="O1408" t="s">
        <v>5475</v>
      </c>
    </row>
    <row r="1409" spans="1:15" x14ac:dyDescent="0.3">
      <c r="A1409" t="s">
        <v>1372</v>
      </c>
      <c r="B1409" t="s">
        <v>2590</v>
      </c>
      <c r="C1409" t="s">
        <v>2886</v>
      </c>
      <c r="D1409" t="s">
        <v>4508</v>
      </c>
      <c r="E1409" t="s">
        <v>4562</v>
      </c>
      <c r="F1409" t="s">
        <v>4579</v>
      </c>
      <c r="G1409" t="s">
        <v>4585</v>
      </c>
      <c r="H1409" t="s">
        <v>4598</v>
      </c>
      <c r="I1409">
        <v>10</v>
      </c>
      <c r="J1409" t="s">
        <v>5432</v>
      </c>
      <c r="K1409" t="s">
        <v>5460</v>
      </c>
      <c r="L1409">
        <v>6.86</v>
      </c>
      <c r="M1409" t="s">
        <v>5466</v>
      </c>
      <c r="N1409" t="s">
        <v>5469</v>
      </c>
      <c r="O1409" t="s">
        <v>5480</v>
      </c>
    </row>
    <row r="1410" spans="1:15" x14ac:dyDescent="0.3">
      <c r="A1410" t="s">
        <v>32</v>
      </c>
      <c r="B1410" t="s">
        <v>1432</v>
      </c>
      <c r="C1410" t="s">
        <v>3253</v>
      </c>
      <c r="D1410" t="s">
        <v>3279</v>
      </c>
      <c r="E1410" t="s">
        <v>4560</v>
      </c>
      <c r="F1410" t="s">
        <v>4574</v>
      </c>
      <c r="G1410" t="s">
        <v>4586</v>
      </c>
      <c r="H1410" t="s">
        <v>4599</v>
      </c>
      <c r="I1410">
        <v>-1</v>
      </c>
      <c r="J1410" t="s">
        <v>4621</v>
      </c>
      <c r="K1410">
        <v>0.15</v>
      </c>
      <c r="L1410">
        <v>11.3</v>
      </c>
      <c r="M1410" t="s">
        <v>5467</v>
      </c>
      <c r="N1410" t="s">
        <v>5474</v>
      </c>
      <c r="O1410" t="s">
        <v>5477</v>
      </c>
    </row>
    <row r="1411" spans="1:15" x14ac:dyDescent="0.3">
      <c r="A1411" t="s">
        <v>1373</v>
      </c>
      <c r="B1411" t="s">
        <v>2591</v>
      </c>
      <c r="C1411" t="s">
        <v>3159</v>
      </c>
      <c r="D1411" t="s">
        <v>4509</v>
      </c>
      <c r="E1411" t="s">
        <v>4558</v>
      </c>
      <c r="F1411" t="s">
        <v>4572</v>
      </c>
      <c r="G1411" t="s">
        <v>4586</v>
      </c>
      <c r="H1411" t="s">
        <v>4599</v>
      </c>
      <c r="I1411">
        <v>2</v>
      </c>
      <c r="J1411" t="s">
        <v>5433</v>
      </c>
      <c r="K1411">
        <v>0</v>
      </c>
      <c r="L1411">
        <v>10.4</v>
      </c>
      <c r="M1411" t="s">
        <v>5465</v>
      </c>
      <c r="N1411" t="s">
        <v>5469</v>
      </c>
      <c r="O1411" t="s">
        <v>5480</v>
      </c>
    </row>
    <row r="1412" spans="1:15" x14ac:dyDescent="0.3">
      <c r="A1412" t="s">
        <v>1374</v>
      </c>
      <c r="B1412" t="s">
        <v>2592</v>
      </c>
      <c r="C1412" t="s">
        <v>2635</v>
      </c>
      <c r="D1412" t="s">
        <v>4510</v>
      </c>
      <c r="E1412" t="s">
        <v>4567</v>
      </c>
      <c r="F1412" t="s">
        <v>4573</v>
      </c>
      <c r="G1412" t="s">
        <v>4583</v>
      </c>
      <c r="H1412" t="s">
        <v>4604</v>
      </c>
      <c r="I1412">
        <v>2</v>
      </c>
      <c r="J1412" t="s">
        <v>5434</v>
      </c>
      <c r="L1412">
        <v>14.58</v>
      </c>
      <c r="M1412" t="s">
        <v>5466</v>
      </c>
      <c r="N1412" t="s">
        <v>5469</v>
      </c>
      <c r="O1412" t="s">
        <v>5479</v>
      </c>
    </row>
    <row r="1413" spans="1:15" x14ac:dyDescent="0.3">
      <c r="A1413" t="s">
        <v>1375</v>
      </c>
      <c r="B1413" t="s">
        <v>2593</v>
      </c>
      <c r="C1413" t="s">
        <v>2958</v>
      </c>
      <c r="D1413" t="s">
        <v>4511</v>
      </c>
      <c r="E1413" t="s">
        <v>4567</v>
      </c>
      <c r="F1413" t="s">
        <v>4582</v>
      </c>
      <c r="G1413" t="s">
        <v>4584</v>
      </c>
      <c r="H1413" t="s">
        <v>4607</v>
      </c>
      <c r="I1413">
        <v>2</v>
      </c>
      <c r="J1413" t="s">
        <v>5435</v>
      </c>
      <c r="K1413">
        <v>0</v>
      </c>
      <c r="L1413">
        <v>9.1199999999999992</v>
      </c>
      <c r="M1413" t="s">
        <v>5468</v>
      </c>
      <c r="N1413" t="s">
        <v>5470</v>
      </c>
      <c r="O1413" t="s">
        <v>5475</v>
      </c>
    </row>
    <row r="1414" spans="1:15" x14ac:dyDescent="0.3">
      <c r="A1414" t="s">
        <v>1376</v>
      </c>
      <c r="B1414" t="s">
        <v>2594</v>
      </c>
      <c r="C1414" t="s">
        <v>3254</v>
      </c>
      <c r="E1414" t="s">
        <v>4560</v>
      </c>
      <c r="F1414" t="s">
        <v>4574</v>
      </c>
      <c r="G1414" t="s">
        <v>4583</v>
      </c>
      <c r="H1414" t="s">
        <v>4610</v>
      </c>
      <c r="I1414">
        <v>1</v>
      </c>
      <c r="J1414" t="s">
        <v>4907</v>
      </c>
      <c r="L1414">
        <v>13.32</v>
      </c>
      <c r="M1414" t="s">
        <v>5465</v>
      </c>
      <c r="N1414" t="s">
        <v>5469</v>
      </c>
      <c r="O1414" t="s">
        <v>5477</v>
      </c>
    </row>
    <row r="1415" spans="1:15" x14ac:dyDescent="0.3">
      <c r="A1415" t="s">
        <v>1377</v>
      </c>
      <c r="B1415" t="s">
        <v>2595</v>
      </c>
      <c r="C1415" t="s">
        <v>2741</v>
      </c>
      <c r="D1415" t="s">
        <v>4512</v>
      </c>
      <c r="E1415" t="s">
        <v>4563</v>
      </c>
      <c r="F1415" t="s">
        <v>4578</v>
      </c>
      <c r="G1415" t="s">
        <v>4586</v>
      </c>
      <c r="H1415" t="s">
        <v>4593</v>
      </c>
      <c r="I1415">
        <v>-1</v>
      </c>
      <c r="J1415" t="s">
        <v>5436</v>
      </c>
      <c r="K1415">
        <v>0.1</v>
      </c>
      <c r="L1415">
        <v>3.64</v>
      </c>
      <c r="N1415" t="s">
        <v>5470</v>
      </c>
      <c r="O1415" t="s">
        <v>5475</v>
      </c>
    </row>
    <row r="1416" spans="1:15" x14ac:dyDescent="0.3">
      <c r="A1416" t="s">
        <v>1378</v>
      </c>
      <c r="B1416" t="s">
        <v>2596</v>
      </c>
      <c r="C1416" t="s">
        <v>3145</v>
      </c>
      <c r="D1416" t="s">
        <v>4513</v>
      </c>
      <c r="E1416" t="s">
        <v>4558</v>
      </c>
      <c r="F1416" t="s">
        <v>4580</v>
      </c>
      <c r="G1416" t="s">
        <v>4585</v>
      </c>
      <c r="H1416" t="s">
        <v>4602</v>
      </c>
      <c r="I1416">
        <v>1</v>
      </c>
      <c r="J1416" t="s">
        <v>5437</v>
      </c>
      <c r="K1416">
        <v>0</v>
      </c>
      <c r="L1416">
        <v>6.03</v>
      </c>
      <c r="M1416" t="s">
        <v>5462</v>
      </c>
      <c r="N1416" t="s">
        <v>5471</v>
      </c>
      <c r="O1416" t="s">
        <v>5478</v>
      </c>
    </row>
    <row r="1417" spans="1:15" x14ac:dyDescent="0.3">
      <c r="A1417" t="s">
        <v>1379</v>
      </c>
      <c r="B1417" t="s">
        <v>2507</v>
      </c>
      <c r="C1417" t="s">
        <v>3222</v>
      </c>
      <c r="D1417" t="s">
        <v>4514</v>
      </c>
      <c r="E1417" t="s">
        <v>4552</v>
      </c>
      <c r="F1417" t="s">
        <v>4579</v>
      </c>
      <c r="G1417" t="s">
        <v>4585</v>
      </c>
      <c r="H1417" t="s">
        <v>4591</v>
      </c>
      <c r="I1417">
        <v>2</v>
      </c>
      <c r="J1417" t="s">
        <v>5438</v>
      </c>
      <c r="K1417">
        <v>0</v>
      </c>
      <c r="L1417">
        <v>13.62</v>
      </c>
      <c r="M1417" t="s">
        <v>5462</v>
      </c>
      <c r="N1417" t="s">
        <v>5469</v>
      </c>
      <c r="O1417" t="s">
        <v>5476</v>
      </c>
    </row>
    <row r="1418" spans="1:15" x14ac:dyDescent="0.3">
      <c r="A1418" t="s">
        <v>1380</v>
      </c>
      <c r="B1418" t="s">
        <v>2597</v>
      </c>
      <c r="C1418" t="s">
        <v>3255</v>
      </c>
      <c r="D1418" t="s">
        <v>4515</v>
      </c>
      <c r="E1418" t="s">
        <v>4571</v>
      </c>
      <c r="F1418" t="s">
        <v>4578</v>
      </c>
      <c r="G1418" t="s">
        <v>4584</v>
      </c>
      <c r="H1418" t="s">
        <v>4603</v>
      </c>
      <c r="I1418">
        <v>10</v>
      </c>
      <c r="J1418" t="s">
        <v>5439</v>
      </c>
      <c r="K1418" t="s">
        <v>5461</v>
      </c>
      <c r="L1418">
        <v>6.18</v>
      </c>
      <c r="M1418" t="s">
        <v>5467</v>
      </c>
      <c r="N1418" t="s">
        <v>5471</v>
      </c>
      <c r="O1418" t="s">
        <v>5479</v>
      </c>
    </row>
    <row r="1419" spans="1:15" x14ac:dyDescent="0.3">
      <c r="A1419" t="s">
        <v>1381</v>
      </c>
      <c r="B1419" t="s">
        <v>2598</v>
      </c>
      <c r="C1419" t="s">
        <v>3256</v>
      </c>
      <c r="D1419" t="s">
        <v>4516</v>
      </c>
      <c r="E1419" t="s">
        <v>4562</v>
      </c>
      <c r="F1419" t="s">
        <v>4576</v>
      </c>
      <c r="G1419" t="s">
        <v>4583</v>
      </c>
      <c r="H1419" t="s">
        <v>4588</v>
      </c>
      <c r="I1419">
        <v>1</v>
      </c>
      <c r="J1419" t="s">
        <v>5440</v>
      </c>
      <c r="K1419">
        <v>0.1</v>
      </c>
      <c r="L1419">
        <v>0</v>
      </c>
      <c r="M1419" t="s">
        <v>5465</v>
      </c>
      <c r="N1419" t="s">
        <v>5471</v>
      </c>
      <c r="O1419" t="s">
        <v>5477</v>
      </c>
    </row>
    <row r="1420" spans="1:15" x14ac:dyDescent="0.3">
      <c r="A1420" t="s">
        <v>1382</v>
      </c>
      <c r="B1420" t="s">
        <v>2599</v>
      </c>
      <c r="C1420" t="s">
        <v>2626</v>
      </c>
      <c r="E1420" t="s">
        <v>4560</v>
      </c>
      <c r="F1420" t="s">
        <v>4573</v>
      </c>
      <c r="G1420" t="s">
        <v>4586</v>
      </c>
      <c r="H1420" t="s">
        <v>4609</v>
      </c>
      <c r="I1420">
        <v>5</v>
      </c>
      <c r="J1420">
        <v>129.72</v>
      </c>
      <c r="K1420" t="s">
        <v>5460</v>
      </c>
      <c r="L1420">
        <v>10.119999999999999</v>
      </c>
      <c r="M1420" t="s">
        <v>5462</v>
      </c>
      <c r="N1420" t="s">
        <v>5469</v>
      </c>
      <c r="O1420" t="s">
        <v>5477</v>
      </c>
    </row>
    <row r="1421" spans="1:15" x14ac:dyDescent="0.3">
      <c r="A1421" t="s">
        <v>1383</v>
      </c>
      <c r="B1421" t="s">
        <v>2600</v>
      </c>
      <c r="C1421" t="s">
        <v>2626</v>
      </c>
      <c r="D1421" t="s">
        <v>4517</v>
      </c>
      <c r="E1421" t="s">
        <v>4557</v>
      </c>
      <c r="F1421" t="s">
        <v>4572</v>
      </c>
      <c r="H1421" t="s">
        <v>4607</v>
      </c>
      <c r="I1421">
        <v>2</v>
      </c>
      <c r="J1421" t="s">
        <v>5441</v>
      </c>
      <c r="K1421" t="s">
        <v>5460</v>
      </c>
      <c r="L1421">
        <v>9.48</v>
      </c>
      <c r="N1421" t="s">
        <v>5474</v>
      </c>
      <c r="O1421" t="s">
        <v>5478</v>
      </c>
    </row>
    <row r="1422" spans="1:15" x14ac:dyDescent="0.3">
      <c r="A1422" t="s">
        <v>1384</v>
      </c>
      <c r="B1422" t="s">
        <v>1588</v>
      </c>
      <c r="C1422" t="s">
        <v>2855</v>
      </c>
      <c r="D1422" t="s">
        <v>4518</v>
      </c>
      <c r="E1422" t="s">
        <v>4568</v>
      </c>
      <c r="F1422" t="s">
        <v>4573</v>
      </c>
      <c r="G1422" t="s">
        <v>4583</v>
      </c>
      <c r="H1422" t="s">
        <v>4588</v>
      </c>
      <c r="I1422">
        <v>1</v>
      </c>
      <c r="J1422" t="s">
        <v>5442</v>
      </c>
      <c r="L1422">
        <v>2.56</v>
      </c>
      <c r="M1422" t="s">
        <v>5468</v>
      </c>
      <c r="N1422" t="s">
        <v>5470</v>
      </c>
      <c r="O1422" t="s">
        <v>5477</v>
      </c>
    </row>
    <row r="1423" spans="1:15" x14ac:dyDescent="0.3">
      <c r="A1423" t="s">
        <v>1385</v>
      </c>
      <c r="B1423" t="s">
        <v>2601</v>
      </c>
      <c r="C1423" t="s">
        <v>3105</v>
      </c>
      <c r="D1423" t="s">
        <v>4519</v>
      </c>
      <c r="E1423" t="s">
        <v>4568</v>
      </c>
      <c r="F1423" t="s">
        <v>4577</v>
      </c>
      <c r="G1423" t="s">
        <v>4587</v>
      </c>
      <c r="H1423" t="s">
        <v>4596</v>
      </c>
      <c r="I1423">
        <v>5</v>
      </c>
      <c r="J1423">
        <v>15.3</v>
      </c>
      <c r="K1423">
        <v>0</v>
      </c>
      <c r="M1423" t="s">
        <v>5465</v>
      </c>
      <c r="N1423" t="s">
        <v>5471</v>
      </c>
      <c r="O1423" t="s">
        <v>5479</v>
      </c>
    </row>
    <row r="1424" spans="1:15" x14ac:dyDescent="0.3">
      <c r="A1424" t="s">
        <v>1386</v>
      </c>
      <c r="B1424" t="s">
        <v>2602</v>
      </c>
      <c r="C1424" t="s">
        <v>2803</v>
      </c>
      <c r="D1424" t="s">
        <v>4520</v>
      </c>
      <c r="E1424" t="s">
        <v>4555</v>
      </c>
      <c r="F1424" t="s">
        <v>4578</v>
      </c>
      <c r="G1424" t="s">
        <v>4587</v>
      </c>
      <c r="H1424" t="s">
        <v>4606</v>
      </c>
      <c r="I1424">
        <v>2</v>
      </c>
      <c r="J1424">
        <v>30.77</v>
      </c>
      <c r="K1424">
        <v>0</v>
      </c>
      <c r="L1424">
        <v>6.94</v>
      </c>
      <c r="M1424" t="s">
        <v>5467</v>
      </c>
      <c r="N1424" t="s">
        <v>5471</v>
      </c>
      <c r="O1424" t="s">
        <v>5476</v>
      </c>
    </row>
    <row r="1425" spans="1:15" x14ac:dyDescent="0.3">
      <c r="A1425" t="s">
        <v>1387</v>
      </c>
      <c r="B1425" t="s">
        <v>2603</v>
      </c>
      <c r="C1425" t="s">
        <v>3178</v>
      </c>
      <c r="D1425" t="s">
        <v>4521</v>
      </c>
      <c r="E1425" t="s">
        <v>4563</v>
      </c>
      <c r="F1425" t="s">
        <v>4573</v>
      </c>
      <c r="G1425" t="s">
        <v>4587</v>
      </c>
      <c r="H1425" t="s">
        <v>4594</v>
      </c>
      <c r="I1425">
        <v>3</v>
      </c>
      <c r="J1425" t="s">
        <v>5443</v>
      </c>
      <c r="K1425">
        <v>0</v>
      </c>
      <c r="L1425">
        <v>12.13</v>
      </c>
      <c r="M1425" t="s">
        <v>5466</v>
      </c>
      <c r="N1425" t="s">
        <v>5474</v>
      </c>
      <c r="O1425" t="s">
        <v>5475</v>
      </c>
    </row>
    <row r="1426" spans="1:15" x14ac:dyDescent="0.3">
      <c r="A1426" t="s">
        <v>1388</v>
      </c>
      <c r="B1426" t="s">
        <v>1729</v>
      </c>
      <c r="C1426" t="s">
        <v>2724</v>
      </c>
      <c r="D1426" t="s">
        <v>4522</v>
      </c>
      <c r="E1426" t="s">
        <v>4553</v>
      </c>
      <c r="F1426" t="s">
        <v>4577</v>
      </c>
      <c r="G1426" t="s">
        <v>4586</v>
      </c>
      <c r="H1426" t="s">
        <v>4609</v>
      </c>
      <c r="I1426">
        <v>3</v>
      </c>
      <c r="J1426" t="s">
        <v>5444</v>
      </c>
      <c r="K1426" t="s">
        <v>5460</v>
      </c>
      <c r="L1426">
        <v>0.24</v>
      </c>
      <c r="N1426" t="s">
        <v>5472</v>
      </c>
      <c r="O1426" t="s">
        <v>5477</v>
      </c>
    </row>
    <row r="1427" spans="1:15" x14ac:dyDescent="0.3">
      <c r="A1427" t="s">
        <v>1389</v>
      </c>
      <c r="B1427" t="s">
        <v>1807</v>
      </c>
      <c r="C1427" t="s">
        <v>2813</v>
      </c>
      <c r="D1427" t="s">
        <v>4523</v>
      </c>
      <c r="E1427" t="s">
        <v>4550</v>
      </c>
      <c r="F1427" t="s">
        <v>4574</v>
      </c>
      <c r="G1427" t="s">
        <v>4587</v>
      </c>
      <c r="H1427" t="s">
        <v>4600</v>
      </c>
      <c r="I1427">
        <v>10</v>
      </c>
      <c r="J1427">
        <v>13.01</v>
      </c>
      <c r="K1427">
        <v>0.15</v>
      </c>
      <c r="L1427">
        <v>4.87</v>
      </c>
      <c r="M1427" t="s">
        <v>5466</v>
      </c>
      <c r="N1427" t="s">
        <v>5472</v>
      </c>
      <c r="O1427" t="s">
        <v>5477</v>
      </c>
    </row>
    <row r="1428" spans="1:15" x14ac:dyDescent="0.3">
      <c r="A1428" t="s">
        <v>1390</v>
      </c>
      <c r="B1428" t="s">
        <v>2604</v>
      </c>
      <c r="C1428" t="s">
        <v>2916</v>
      </c>
      <c r="D1428" t="s">
        <v>4524</v>
      </c>
      <c r="E1428" t="s">
        <v>4563</v>
      </c>
      <c r="F1428" t="s">
        <v>4578</v>
      </c>
      <c r="G1428" t="s">
        <v>4585</v>
      </c>
      <c r="H1428" t="s">
        <v>4591</v>
      </c>
      <c r="I1428">
        <v>1</v>
      </c>
      <c r="J1428">
        <v>8.09</v>
      </c>
      <c r="K1428">
        <v>0</v>
      </c>
      <c r="L1428">
        <v>14.07</v>
      </c>
      <c r="M1428" t="s">
        <v>5468</v>
      </c>
      <c r="N1428" t="s">
        <v>5473</v>
      </c>
      <c r="O1428" t="s">
        <v>5479</v>
      </c>
    </row>
    <row r="1429" spans="1:15" x14ac:dyDescent="0.3">
      <c r="A1429" t="s">
        <v>1391</v>
      </c>
      <c r="B1429" t="s">
        <v>2605</v>
      </c>
      <c r="C1429" t="s">
        <v>3040</v>
      </c>
      <c r="D1429" t="s">
        <v>4525</v>
      </c>
      <c r="E1429" t="s">
        <v>4562</v>
      </c>
      <c r="F1429" t="s">
        <v>4576</v>
      </c>
      <c r="G1429" t="s">
        <v>4586</v>
      </c>
      <c r="H1429" t="s">
        <v>4599</v>
      </c>
      <c r="I1429">
        <v>1</v>
      </c>
      <c r="J1429" t="s">
        <v>5445</v>
      </c>
      <c r="L1429">
        <v>13.41</v>
      </c>
      <c r="M1429" t="s">
        <v>5462</v>
      </c>
      <c r="O1429" t="s">
        <v>5476</v>
      </c>
    </row>
    <row r="1430" spans="1:15" x14ac:dyDescent="0.3">
      <c r="A1430" t="s">
        <v>1392</v>
      </c>
      <c r="B1430" t="s">
        <v>2606</v>
      </c>
      <c r="C1430" t="s">
        <v>2930</v>
      </c>
      <c r="D1430" t="s">
        <v>4526</v>
      </c>
      <c r="E1430" t="s">
        <v>4560</v>
      </c>
      <c r="F1430" t="s">
        <v>4573</v>
      </c>
      <c r="H1430" t="s">
        <v>4593</v>
      </c>
      <c r="I1430">
        <v>2</v>
      </c>
      <c r="J1430" t="s">
        <v>5446</v>
      </c>
      <c r="K1430" t="s">
        <v>5460</v>
      </c>
      <c r="L1430">
        <v>2.14</v>
      </c>
      <c r="M1430" t="s">
        <v>5467</v>
      </c>
      <c r="N1430" t="s">
        <v>5472</v>
      </c>
      <c r="O1430" t="s">
        <v>5475</v>
      </c>
    </row>
    <row r="1431" spans="1:15" x14ac:dyDescent="0.3">
      <c r="A1431" t="s">
        <v>1393</v>
      </c>
      <c r="B1431" t="s">
        <v>1778</v>
      </c>
      <c r="C1431" t="s">
        <v>3179</v>
      </c>
      <c r="E1431" t="s">
        <v>4569</v>
      </c>
      <c r="F1431" t="s">
        <v>4581</v>
      </c>
      <c r="G1431" t="s">
        <v>4585</v>
      </c>
      <c r="H1431" t="s">
        <v>4598</v>
      </c>
      <c r="I1431">
        <v>2</v>
      </c>
      <c r="J1431" t="s">
        <v>5447</v>
      </c>
      <c r="K1431" t="s">
        <v>5461</v>
      </c>
      <c r="L1431">
        <v>0</v>
      </c>
      <c r="M1431" t="s">
        <v>5462</v>
      </c>
      <c r="N1431" t="s">
        <v>5471</v>
      </c>
      <c r="O1431" t="s">
        <v>5478</v>
      </c>
    </row>
    <row r="1432" spans="1:15" x14ac:dyDescent="0.3">
      <c r="A1432" t="s">
        <v>1394</v>
      </c>
      <c r="B1432" t="s">
        <v>2607</v>
      </c>
      <c r="C1432" t="s">
        <v>3234</v>
      </c>
      <c r="D1432" t="s">
        <v>4527</v>
      </c>
      <c r="E1432" t="s">
        <v>4568</v>
      </c>
      <c r="F1432" t="s">
        <v>4577</v>
      </c>
      <c r="G1432" t="s">
        <v>4585</v>
      </c>
      <c r="H1432" t="s">
        <v>4590</v>
      </c>
      <c r="I1432">
        <v>4</v>
      </c>
      <c r="J1432">
        <v>13.42</v>
      </c>
      <c r="K1432">
        <v>0</v>
      </c>
      <c r="L1432">
        <v>9.25</v>
      </c>
      <c r="M1432" t="s">
        <v>5466</v>
      </c>
      <c r="O1432" t="s">
        <v>5479</v>
      </c>
    </row>
    <row r="1433" spans="1:15" x14ac:dyDescent="0.3">
      <c r="A1433" t="s">
        <v>1395</v>
      </c>
      <c r="B1433" t="s">
        <v>2608</v>
      </c>
      <c r="C1433" t="s">
        <v>2668</v>
      </c>
      <c r="D1433" t="s">
        <v>4528</v>
      </c>
      <c r="E1433" t="s">
        <v>4566</v>
      </c>
      <c r="F1433" t="s">
        <v>4573</v>
      </c>
      <c r="G1433" t="s">
        <v>4586</v>
      </c>
      <c r="H1433" t="s">
        <v>4597</v>
      </c>
      <c r="I1433">
        <v>1</v>
      </c>
      <c r="J1433" t="s">
        <v>5448</v>
      </c>
      <c r="K1433" t="s">
        <v>5460</v>
      </c>
      <c r="L1433">
        <v>7.45</v>
      </c>
      <c r="M1433" t="s">
        <v>5463</v>
      </c>
      <c r="N1433" t="s">
        <v>5469</v>
      </c>
      <c r="O1433" t="s">
        <v>5478</v>
      </c>
    </row>
    <row r="1434" spans="1:15" x14ac:dyDescent="0.3">
      <c r="A1434" t="s">
        <v>1396</v>
      </c>
      <c r="B1434" t="s">
        <v>2609</v>
      </c>
      <c r="C1434" t="s">
        <v>2938</v>
      </c>
      <c r="D1434" t="s">
        <v>4529</v>
      </c>
      <c r="E1434" t="s">
        <v>4564</v>
      </c>
      <c r="F1434" t="s">
        <v>4578</v>
      </c>
      <c r="G1434" t="s">
        <v>4586</v>
      </c>
      <c r="H1434" t="s">
        <v>4609</v>
      </c>
      <c r="I1434">
        <v>10</v>
      </c>
      <c r="J1434" t="s">
        <v>5449</v>
      </c>
      <c r="K1434">
        <v>0</v>
      </c>
      <c r="L1434">
        <v>11.54</v>
      </c>
      <c r="M1434" t="s">
        <v>5467</v>
      </c>
      <c r="N1434" t="s">
        <v>5473</v>
      </c>
      <c r="O1434" t="s">
        <v>5479</v>
      </c>
    </row>
    <row r="1435" spans="1:15" x14ac:dyDescent="0.3">
      <c r="A1435" t="s">
        <v>1397</v>
      </c>
      <c r="B1435" t="s">
        <v>2610</v>
      </c>
      <c r="C1435" t="s">
        <v>3010</v>
      </c>
      <c r="D1435" t="s">
        <v>4530</v>
      </c>
      <c r="E1435" t="s">
        <v>4570</v>
      </c>
      <c r="F1435" t="s">
        <v>4574</v>
      </c>
      <c r="G1435" t="s">
        <v>4585</v>
      </c>
      <c r="H1435" t="s">
        <v>4590</v>
      </c>
      <c r="I1435">
        <v>10</v>
      </c>
      <c r="J1435" t="s">
        <v>5213</v>
      </c>
      <c r="K1435">
        <v>0</v>
      </c>
      <c r="L1435">
        <v>10.7</v>
      </c>
      <c r="M1435" t="s">
        <v>5462</v>
      </c>
      <c r="O1435" t="s">
        <v>5477</v>
      </c>
    </row>
    <row r="1436" spans="1:15" x14ac:dyDescent="0.3">
      <c r="A1436" t="s">
        <v>1398</v>
      </c>
      <c r="B1436" t="s">
        <v>2611</v>
      </c>
      <c r="C1436" t="s">
        <v>2942</v>
      </c>
      <c r="D1436" t="s">
        <v>4531</v>
      </c>
      <c r="E1436" t="s">
        <v>4561</v>
      </c>
      <c r="F1436" t="s">
        <v>4581</v>
      </c>
      <c r="G1436" t="s">
        <v>4587</v>
      </c>
      <c r="H1436" t="s">
        <v>4600</v>
      </c>
      <c r="I1436">
        <v>2</v>
      </c>
      <c r="J1436" t="s">
        <v>5450</v>
      </c>
      <c r="K1436">
        <v>0.15</v>
      </c>
      <c r="L1436">
        <v>8.61</v>
      </c>
      <c r="M1436" t="s">
        <v>5462</v>
      </c>
      <c r="O1436" t="s">
        <v>5477</v>
      </c>
    </row>
    <row r="1437" spans="1:15" x14ac:dyDescent="0.3">
      <c r="A1437" t="s">
        <v>1399</v>
      </c>
      <c r="B1437" t="s">
        <v>2612</v>
      </c>
      <c r="C1437" t="s">
        <v>2946</v>
      </c>
      <c r="D1437" t="s">
        <v>4532</v>
      </c>
      <c r="E1437" t="s">
        <v>4570</v>
      </c>
      <c r="G1437" t="s">
        <v>4583</v>
      </c>
      <c r="H1437" t="s">
        <v>4604</v>
      </c>
      <c r="I1437">
        <v>1</v>
      </c>
      <c r="J1437" t="s">
        <v>5451</v>
      </c>
      <c r="K1437" t="s">
        <v>5461</v>
      </c>
      <c r="L1437">
        <v>0</v>
      </c>
      <c r="M1437" t="s">
        <v>5466</v>
      </c>
      <c r="O1437" t="s">
        <v>5479</v>
      </c>
    </row>
    <row r="1438" spans="1:15" x14ac:dyDescent="0.3">
      <c r="A1438" t="s">
        <v>1400</v>
      </c>
      <c r="B1438" t="s">
        <v>2566</v>
      </c>
      <c r="C1438" t="s">
        <v>2857</v>
      </c>
      <c r="D1438" t="s">
        <v>4533</v>
      </c>
      <c r="E1438" t="s">
        <v>4562</v>
      </c>
      <c r="F1438" t="s">
        <v>4576</v>
      </c>
      <c r="G1438" t="s">
        <v>4587</v>
      </c>
      <c r="H1438" t="s">
        <v>4594</v>
      </c>
      <c r="I1438">
        <v>1</v>
      </c>
      <c r="J1438">
        <v>59.77</v>
      </c>
      <c r="K1438">
        <v>0.1</v>
      </c>
      <c r="L1438">
        <v>11</v>
      </c>
      <c r="N1438" t="s">
        <v>5473</v>
      </c>
      <c r="O1438" t="s">
        <v>5477</v>
      </c>
    </row>
    <row r="1439" spans="1:15" x14ac:dyDescent="0.3">
      <c r="A1439" t="s">
        <v>1401</v>
      </c>
      <c r="B1439" t="s">
        <v>2613</v>
      </c>
      <c r="C1439" t="s">
        <v>2853</v>
      </c>
      <c r="D1439" t="s">
        <v>4534</v>
      </c>
      <c r="E1439" t="s">
        <v>4549</v>
      </c>
      <c r="F1439" t="s">
        <v>4574</v>
      </c>
      <c r="G1439" t="s">
        <v>4585</v>
      </c>
      <c r="H1439" t="s">
        <v>4592</v>
      </c>
      <c r="I1439">
        <v>-1</v>
      </c>
      <c r="J1439">
        <v>6.7</v>
      </c>
      <c r="K1439">
        <v>0</v>
      </c>
      <c r="L1439">
        <v>3.19</v>
      </c>
      <c r="M1439" t="s">
        <v>5464</v>
      </c>
      <c r="N1439" t="s">
        <v>5474</v>
      </c>
      <c r="O1439" t="s">
        <v>5476</v>
      </c>
    </row>
    <row r="1440" spans="1:15" x14ac:dyDescent="0.3">
      <c r="A1440" t="s">
        <v>1402</v>
      </c>
      <c r="B1440" t="s">
        <v>2614</v>
      </c>
      <c r="C1440" t="s">
        <v>3120</v>
      </c>
      <c r="D1440" t="s">
        <v>4535</v>
      </c>
      <c r="E1440" t="s">
        <v>4557</v>
      </c>
      <c r="F1440" t="s">
        <v>4581</v>
      </c>
      <c r="G1440" t="s">
        <v>4584</v>
      </c>
      <c r="H1440" t="s">
        <v>4601</v>
      </c>
      <c r="I1440">
        <v>1</v>
      </c>
      <c r="J1440" t="s">
        <v>5452</v>
      </c>
      <c r="L1440">
        <v>0.92</v>
      </c>
      <c r="M1440" t="s">
        <v>5467</v>
      </c>
      <c r="N1440" t="s">
        <v>5472</v>
      </c>
      <c r="O1440" t="s">
        <v>5477</v>
      </c>
    </row>
    <row r="1441" spans="1:15" x14ac:dyDescent="0.3">
      <c r="A1441" t="s">
        <v>1403</v>
      </c>
      <c r="B1441" t="s">
        <v>1974</v>
      </c>
      <c r="C1441" t="s">
        <v>3012</v>
      </c>
      <c r="D1441" t="s">
        <v>4536</v>
      </c>
      <c r="E1441" t="s">
        <v>4555</v>
      </c>
      <c r="F1441" t="s">
        <v>4573</v>
      </c>
      <c r="G1441" t="s">
        <v>4585</v>
      </c>
      <c r="H1441" t="s">
        <v>4592</v>
      </c>
      <c r="I1441">
        <v>1</v>
      </c>
      <c r="J1441" t="s">
        <v>5453</v>
      </c>
      <c r="K1441">
        <v>0</v>
      </c>
      <c r="L1441">
        <v>8.57</v>
      </c>
      <c r="M1441" t="s">
        <v>5468</v>
      </c>
      <c r="N1441" t="s">
        <v>5470</v>
      </c>
      <c r="O1441" t="s">
        <v>5476</v>
      </c>
    </row>
    <row r="1442" spans="1:15" x14ac:dyDescent="0.3">
      <c r="A1442" t="s">
        <v>1404</v>
      </c>
      <c r="B1442" t="s">
        <v>2083</v>
      </c>
      <c r="C1442" t="s">
        <v>3257</v>
      </c>
      <c r="D1442" t="s">
        <v>4537</v>
      </c>
      <c r="E1442" t="s">
        <v>4562</v>
      </c>
      <c r="F1442" t="s">
        <v>4579</v>
      </c>
      <c r="G1442" t="s">
        <v>4585</v>
      </c>
      <c r="H1442" t="s">
        <v>4590</v>
      </c>
      <c r="I1442">
        <v>4</v>
      </c>
      <c r="J1442">
        <v>14.5</v>
      </c>
      <c r="K1442">
        <v>0.1</v>
      </c>
      <c r="L1442">
        <v>12.22</v>
      </c>
      <c r="M1442" t="s">
        <v>5466</v>
      </c>
      <c r="N1442" t="s">
        <v>5471</v>
      </c>
      <c r="O1442" t="s">
        <v>5477</v>
      </c>
    </row>
    <row r="1443" spans="1:15" x14ac:dyDescent="0.3">
      <c r="A1443" t="s">
        <v>1405</v>
      </c>
      <c r="B1443" t="s">
        <v>2615</v>
      </c>
      <c r="C1443" t="s">
        <v>3258</v>
      </c>
      <c r="D1443" t="s">
        <v>4538</v>
      </c>
      <c r="E1443" t="s">
        <v>4548</v>
      </c>
      <c r="F1443" t="s">
        <v>4578</v>
      </c>
      <c r="G1443" t="s">
        <v>4587</v>
      </c>
      <c r="H1443" t="s">
        <v>4600</v>
      </c>
      <c r="I1443">
        <v>2</v>
      </c>
      <c r="J1443">
        <v>13.48</v>
      </c>
      <c r="K1443">
        <v>0.05</v>
      </c>
      <c r="L1443">
        <v>2.82</v>
      </c>
      <c r="M1443" t="s">
        <v>5463</v>
      </c>
      <c r="N1443" t="s">
        <v>5474</v>
      </c>
      <c r="O1443" t="s">
        <v>5479</v>
      </c>
    </row>
    <row r="1444" spans="1:15" x14ac:dyDescent="0.3">
      <c r="A1444" t="s">
        <v>1406</v>
      </c>
      <c r="B1444" t="s">
        <v>2616</v>
      </c>
      <c r="C1444" t="s">
        <v>3259</v>
      </c>
      <c r="D1444" t="s">
        <v>4539</v>
      </c>
      <c r="E1444" t="s">
        <v>4549</v>
      </c>
      <c r="F1444" t="s">
        <v>4573</v>
      </c>
      <c r="G1444" t="s">
        <v>4585</v>
      </c>
      <c r="H1444" t="s">
        <v>4598</v>
      </c>
      <c r="I1444">
        <v>2</v>
      </c>
      <c r="J1444">
        <v>3.11</v>
      </c>
      <c r="L1444">
        <v>0</v>
      </c>
      <c r="N1444" t="s">
        <v>5472</v>
      </c>
      <c r="O1444" t="s">
        <v>5479</v>
      </c>
    </row>
    <row r="1445" spans="1:15" x14ac:dyDescent="0.3">
      <c r="A1445" t="s">
        <v>1407</v>
      </c>
      <c r="B1445" t="s">
        <v>2617</v>
      </c>
      <c r="C1445" t="s">
        <v>3129</v>
      </c>
      <c r="D1445" t="s">
        <v>4540</v>
      </c>
      <c r="E1445" t="s">
        <v>4569</v>
      </c>
      <c r="F1445" t="s">
        <v>4580</v>
      </c>
      <c r="G1445" t="s">
        <v>4585</v>
      </c>
      <c r="H1445" t="s">
        <v>4592</v>
      </c>
      <c r="I1445">
        <v>2</v>
      </c>
      <c r="J1445">
        <v>6.3</v>
      </c>
      <c r="K1445">
        <v>0</v>
      </c>
      <c r="L1445">
        <v>2.2200000000000002</v>
      </c>
      <c r="M1445" t="s">
        <v>5468</v>
      </c>
      <c r="N1445" t="s">
        <v>5469</v>
      </c>
      <c r="O1445" t="s">
        <v>5477</v>
      </c>
    </row>
    <row r="1446" spans="1:15" x14ac:dyDescent="0.3">
      <c r="A1446" t="s">
        <v>440</v>
      </c>
      <c r="B1446" t="s">
        <v>1823</v>
      </c>
      <c r="C1446" t="s">
        <v>3187</v>
      </c>
      <c r="D1446" t="s">
        <v>3658</v>
      </c>
      <c r="E1446" t="s">
        <v>4550</v>
      </c>
      <c r="F1446" t="s">
        <v>4574</v>
      </c>
      <c r="G1446" t="s">
        <v>4585</v>
      </c>
      <c r="H1446" t="s">
        <v>4592</v>
      </c>
      <c r="I1446">
        <v>2</v>
      </c>
      <c r="J1446" t="s">
        <v>4889</v>
      </c>
      <c r="K1446" t="s">
        <v>5461</v>
      </c>
      <c r="L1446">
        <v>4.0199999999999996</v>
      </c>
      <c r="M1446" t="s">
        <v>5463</v>
      </c>
      <c r="N1446" t="s">
        <v>5472</v>
      </c>
      <c r="O1446" t="s">
        <v>5477</v>
      </c>
    </row>
    <row r="1447" spans="1:15" x14ac:dyDescent="0.3">
      <c r="A1447" t="s">
        <v>221</v>
      </c>
      <c r="B1447" t="s">
        <v>1618</v>
      </c>
      <c r="C1447" t="s">
        <v>2798</v>
      </c>
      <c r="D1447" t="s">
        <v>3453</v>
      </c>
      <c r="E1447" t="s">
        <v>4562</v>
      </c>
      <c r="F1447" t="s">
        <v>4576</v>
      </c>
      <c r="G1447" t="s">
        <v>4586</v>
      </c>
      <c r="H1447" t="s">
        <v>4609</v>
      </c>
      <c r="I1447">
        <v>4</v>
      </c>
      <c r="J1447" t="s">
        <v>4750</v>
      </c>
      <c r="K1447">
        <v>0</v>
      </c>
      <c r="L1447">
        <v>6.09</v>
      </c>
      <c r="M1447" t="s">
        <v>5463</v>
      </c>
      <c r="N1447" t="s">
        <v>5471</v>
      </c>
      <c r="O1447" t="s">
        <v>5477</v>
      </c>
    </row>
    <row r="1448" spans="1:15" x14ac:dyDescent="0.3">
      <c r="A1448" t="s">
        <v>1408</v>
      </c>
      <c r="B1448" t="s">
        <v>2618</v>
      </c>
      <c r="C1448" t="s">
        <v>3260</v>
      </c>
      <c r="D1448" t="s">
        <v>4541</v>
      </c>
      <c r="E1448" t="s">
        <v>4551</v>
      </c>
      <c r="F1448" t="s">
        <v>4575</v>
      </c>
      <c r="G1448" t="s">
        <v>4586</v>
      </c>
      <c r="H1448" t="s">
        <v>4599</v>
      </c>
      <c r="I1448">
        <v>4</v>
      </c>
      <c r="J1448" t="s">
        <v>5454</v>
      </c>
      <c r="K1448">
        <v>0</v>
      </c>
      <c r="L1448">
        <v>7.8</v>
      </c>
      <c r="M1448" t="s">
        <v>5465</v>
      </c>
      <c r="O1448" t="s">
        <v>5479</v>
      </c>
    </row>
    <row r="1449" spans="1:15" x14ac:dyDescent="0.3">
      <c r="A1449" t="s">
        <v>1409</v>
      </c>
      <c r="B1449" t="s">
        <v>2619</v>
      </c>
      <c r="C1449" t="s">
        <v>2768</v>
      </c>
      <c r="D1449" t="s">
        <v>4542</v>
      </c>
      <c r="E1449" t="s">
        <v>4550</v>
      </c>
      <c r="F1449" t="s">
        <v>4573</v>
      </c>
      <c r="G1449" t="s">
        <v>4583</v>
      </c>
      <c r="H1449" t="s">
        <v>4604</v>
      </c>
      <c r="I1449">
        <v>1</v>
      </c>
      <c r="J1449" t="s">
        <v>5455</v>
      </c>
      <c r="K1449" t="s">
        <v>5461</v>
      </c>
      <c r="L1449">
        <v>0</v>
      </c>
      <c r="M1449" t="s">
        <v>5466</v>
      </c>
      <c r="N1449" t="s">
        <v>5472</v>
      </c>
      <c r="O1449" t="s">
        <v>5477</v>
      </c>
    </row>
    <row r="1450" spans="1:15" x14ac:dyDescent="0.3">
      <c r="A1450" t="s">
        <v>1269</v>
      </c>
      <c r="B1450" t="s">
        <v>2431</v>
      </c>
      <c r="C1450" t="s">
        <v>3231</v>
      </c>
      <c r="D1450" t="s">
        <v>4415</v>
      </c>
      <c r="E1450" t="s">
        <v>4558</v>
      </c>
      <c r="F1450" t="s">
        <v>4581</v>
      </c>
      <c r="G1450" t="s">
        <v>4586</v>
      </c>
      <c r="H1450" t="s">
        <v>4599</v>
      </c>
      <c r="I1450">
        <v>10</v>
      </c>
      <c r="J1450">
        <v>241.5</v>
      </c>
      <c r="K1450">
        <v>0</v>
      </c>
      <c r="L1450">
        <v>0.15</v>
      </c>
      <c r="M1450" t="s">
        <v>5467</v>
      </c>
      <c r="N1450" t="s">
        <v>5474</v>
      </c>
      <c r="O1450" t="s">
        <v>5477</v>
      </c>
    </row>
    <row r="1451" spans="1:15" x14ac:dyDescent="0.3">
      <c r="A1451" t="s">
        <v>1410</v>
      </c>
      <c r="B1451" t="s">
        <v>1578</v>
      </c>
      <c r="C1451" t="s">
        <v>2861</v>
      </c>
      <c r="D1451" t="s">
        <v>4543</v>
      </c>
      <c r="E1451" t="s">
        <v>4555</v>
      </c>
      <c r="F1451" t="s">
        <v>4578</v>
      </c>
      <c r="H1451" t="s">
        <v>4607</v>
      </c>
      <c r="I1451">
        <v>3</v>
      </c>
      <c r="J1451" t="s">
        <v>5456</v>
      </c>
      <c r="K1451">
        <v>0.15</v>
      </c>
      <c r="L1451">
        <v>3.1</v>
      </c>
      <c r="M1451" t="s">
        <v>5463</v>
      </c>
      <c r="O1451" t="s">
        <v>5477</v>
      </c>
    </row>
    <row r="1452" spans="1:15" x14ac:dyDescent="0.3">
      <c r="A1452" t="s">
        <v>1411</v>
      </c>
      <c r="B1452" t="s">
        <v>2112</v>
      </c>
      <c r="C1452" t="s">
        <v>3261</v>
      </c>
      <c r="E1452" t="s">
        <v>4550</v>
      </c>
      <c r="F1452" t="s">
        <v>4573</v>
      </c>
      <c r="G1452" t="s">
        <v>4587</v>
      </c>
      <c r="H1452" t="s">
        <v>4594</v>
      </c>
      <c r="I1452">
        <v>1</v>
      </c>
      <c r="J1452">
        <v>61.87</v>
      </c>
      <c r="K1452">
        <v>0.1</v>
      </c>
      <c r="L1452">
        <v>13.62</v>
      </c>
      <c r="M1452" t="s">
        <v>5465</v>
      </c>
      <c r="N1452" t="s">
        <v>5474</v>
      </c>
      <c r="O1452" t="s">
        <v>5478</v>
      </c>
    </row>
    <row r="1453" spans="1:15" x14ac:dyDescent="0.3">
      <c r="A1453" t="s">
        <v>1412</v>
      </c>
      <c r="B1453" t="s">
        <v>2620</v>
      </c>
      <c r="C1453" t="s">
        <v>3035</v>
      </c>
      <c r="D1453" t="s">
        <v>4544</v>
      </c>
      <c r="E1453" t="s">
        <v>4551</v>
      </c>
      <c r="F1453" t="s">
        <v>4579</v>
      </c>
      <c r="G1453" t="s">
        <v>4583</v>
      </c>
      <c r="H1453" t="s">
        <v>4588</v>
      </c>
      <c r="I1453">
        <v>4</v>
      </c>
      <c r="J1453" t="s">
        <v>5457</v>
      </c>
      <c r="K1453">
        <v>0.05</v>
      </c>
      <c r="L1453">
        <v>0</v>
      </c>
      <c r="M1453" t="s">
        <v>5466</v>
      </c>
      <c r="N1453" t="s">
        <v>5470</v>
      </c>
      <c r="O1453" t="s">
        <v>5476</v>
      </c>
    </row>
    <row r="1454" spans="1:15" x14ac:dyDescent="0.3">
      <c r="A1454" t="s">
        <v>1413</v>
      </c>
      <c r="B1454" t="s">
        <v>2621</v>
      </c>
      <c r="C1454" t="s">
        <v>2793</v>
      </c>
      <c r="D1454" t="s">
        <v>4545</v>
      </c>
      <c r="E1454" t="s">
        <v>4552</v>
      </c>
      <c r="F1454" t="s">
        <v>4575</v>
      </c>
      <c r="G1454" t="s">
        <v>4586</v>
      </c>
      <c r="H1454" t="s">
        <v>4597</v>
      </c>
      <c r="I1454">
        <v>2</v>
      </c>
      <c r="J1454" t="s">
        <v>5458</v>
      </c>
      <c r="K1454">
        <v>0.1</v>
      </c>
      <c r="M1454" t="s">
        <v>5462</v>
      </c>
      <c r="N1454" t="s">
        <v>5470</v>
      </c>
      <c r="O1454" t="s">
        <v>5477</v>
      </c>
    </row>
    <row r="1455" spans="1:15" x14ac:dyDescent="0.3">
      <c r="A1455" t="s">
        <v>1414</v>
      </c>
      <c r="B1455" t="s">
        <v>2060</v>
      </c>
      <c r="C1455" t="s">
        <v>3196</v>
      </c>
      <c r="D1455" t="s">
        <v>4546</v>
      </c>
      <c r="E1455" t="s">
        <v>4550</v>
      </c>
      <c r="F1455" t="s">
        <v>4574</v>
      </c>
      <c r="G1455" t="s">
        <v>4585</v>
      </c>
      <c r="H1455" t="s">
        <v>4592</v>
      </c>
      <c r="I1455">
        <v>1</v>
      </c>
      <c r="J1455" t="s">
        <v>5459</v>
      </c>
      <c r="K1455">
        <v>0</v>
      </c>
      <c r="L1455">
        <v>0.43</v>
      </c>
      <c r="M1455" t="s">
        <v>5464</v>
      </c>
      <c r="N1455" t="s">
        <v>5473</v>
      </c>
      <c r="O1455" t="s">
        <v>5478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8AECB-A989-4BD4-AAFC-1A2C0C6F7405}">
  <dimension ref="A1:W1455"/>
  <sheetViews>
    <sheetView tabSelected="1" workbookViewId="0">
      <selection activeCell="M5" sqref="M5"/>
    </sheetView>
  </sheetViews>
  <sheetFormatPr defaultRowHeight="14.4" x14ac:dyDescent="0.3"/>
  <cols>
    <col min="1" max="1" width="11.33203125" bestFit="1" customWidth="1"/>
    <col min="2" max="2" width="17.33203125" bestFit="1" customWidth="1"/>
    <col min="3" max="3" width="12.33203125" bestFit="1" customWidth="1"/>
    <col min="4" max="4" width="16.44140625" bestFit="1" customWidth="1"/>
    <col min="5" max="5" width="29.109375" bestFit="1" customWidth="1"/>
    <col min="6" max="6" width="9" bestFit="1" customWidth="1"/>
    <col min="7" max="7" width="10.109375" bestFit="1" customWidth="1"/>
    <col min="8" max="8" width="17.5546875" bestFit="1" customWidth="1"/>
    <col min="9" max="9" width="18.109375" bestFit="1" customWidth="1"/>
    <col min="10" max="10" width="10.5546875" bestFit="1" customWidth="1"/>
    <col min="11" max="11" width="10.88671875" bestFit="1" customWidth="1"/>
    <col min="12" max="12" width="10.5546875" bestFit="1" customWidth="1"/>
    <col min="13" max="13" width="14.21875" bestFit="1" customWidth="1"/>
    <col min="14" max="14" width="11.44140625" bestFit="1" customWidth="1"/>
    <col min="15" max="15" width="17.6640625" bestFit="1" customWidth="1"/>
    <col min="16" max="16" width="13.21875" bestFit="1" customWidth="1"/>
    <col min="17" max="17" width="10.5546875" style="4" bestFit="1" customWidth="1"/>
    <col min="20" max="20" width="16.44140625" bestFit="1" customWidth="1"/>
    <col min="21" max="21" width="19.21875" bestFit="1" customWidth="1"/>
    <col min="22" max="22" width="16.44140625" bestFit="1" customWidth="1"/>
  </cols>
  <sheetData>
    <row r="1" spans="1:23" x14ac:dyDescent="0.3">
      <c r="A1" t="s">
        <v>0</v>
      </c>
      <c r="B1" t="s">
        <v>1</v>
      </c>
      <c r="C1" t="s">
        <v>5486</v>
      </c>
      <c r="D1" t="s">
        <v>2</v>
      </c>
      <c r="E1" t="s">
        <v>3</v>
      </c>
      <c r="F1" t="s">
        <v>4</v>
      </c>
      <c r="G1" t="s">
        <v>5</v>
      </c>
      <c r="H1" t="s">
        <v>6</v>
      </c>
      <c r="I1" t="s">
        <v>7</v>
      </c>
      <c r="J1" t="s">
        <v>8</v>
      </c>
      <c r="K1" t="s">
        <v>9</v>
      </c>
      <c r="L1" t="s">
        <v>10</v>
      </c>
      <c r="M1" t="s">
        <v>11</v>
      </c>
      <c r="N1" t="s">
        <v>12</v>
      </c>
      <c r="O1" t="s">
        <v>13</v>
      </c>
      <c r="P1" t="s">
        <v>14</v>
      </c>
      <c r="Q1" s="4" t="s">
        <v>5487</v>
      </c>
    </row>
    <row r="2" spans="1:23" x14ac:dyDescent="0.3">
      <c r="A2" t="s">
        <v>15</v>
      </c>
      <c r="B2" t="s">
        <v>1415</v>
      </c>
      <c r="C2" s="1">
        <v>45730</v>
      </c>
      <c r="D2" t="s">
        <v>2622</v>
      </c>
      <c r="E2" t="s">
        <v>3262</v>
      </c>
      <c r="F2" t="s">
        <v>4569</v>
      </c>
      <c r="G2" t="s">
        <v>4572</v>
      </c>
      <c r="H2" t="s">
        <v>4583</v>
      </c>
      <c r="I2" t="s">
        <v>4588</v>
      </c>
      <c r="J2">
        <v>2</v>
      </c>
      <c r="K2">
        <v>41.09</v>
      </c>
      <c r="L2">
        <v>0.05</v>
      </c>
      <c r="M2">
        <v>2.41</v>
      </c>
      <c r="N2" t="s">
        <v>5462</v>
      </c>
      <c r="O2" t="s">
        <v>5469</v>
      </c>
      <c r="P2" t="s">
        <v>5475</v>
      </c>
      <c r="Q2" s="4">
        <v>78.070999999999998</v>
      </c>
      <c r="U2" t="s">
        <v>5502</v>
      </c>
      <c r="V2" t="s">
        <v>5503</v>
      </c>
      <c r="W2" t="s">
        <v>5504</v>
      </c>
    </row>
    <row r="3" spans="1:23" x14ac:dyDescent="0.3">
      <c r="A3" t="s">
        <v>16</v>
      </c>
      <c r="B3" t="s">
        <v>1416</v>
      </c>
      <c r="C3" s="1">
        <v>45297</v>
      </c>
      <c r="D3" t="s">
        <v>3170</v>
      </c>
      <c r="E3" t="s">
        <v>3263</v>
      </c>
      <c r="F3" t="s">
        <v>4564</v>
      </c>
      <c r="G3" t="s">
        <v>4573</v>
      </c>
      <c r="H3" t="s">
        <v>4584</v>
      </c>
      <c r="I3" t="s">
        <v>4589</v>
      </c>
      <c r="J3">
        <v>2</v>
      </c>
      <c r="K3">
        <v>35.159999999999997</v>
      </c>
      <c r="L3">
        <v>0.1</v>
      </c>
      <c r="M3">
        <v>8.09</v>
      </c>
      <c r="N3" t="s">
        <v>5463</v>
      </c>
      <c r="O3" t="s">
        <v>5470</v>
      </c>
      <c r="P3" t="s">
        <v>5476</v>
      </c>
      <c r="Q3" s="4">
        <v>63.287999999999997</v>
      </c>
      <c r="U3" s="9">
        <f>SUMIFS(Raw_Sales[Revenue],Raw_Sales[OrderStatus],"Completed")</f>
        <v>169134.95049999989</v>
      </c>
      <c r="V3" s="6">
        <f>SUMIFS(Raw_Sales[Revenue],Raw_Sales[OrderStatus],"Cancelled")</f>
        <v>26998.381999999998</v>
      </c>
      <c r="W3" s="5">
        <f>COUNTIFS(Raw_Sales[OrderStatus],"Completed") / COUNTA(Raw_Sales[OrderID])</f>
        <v>0.6537931034482759</v>
      </c>
    </row>
    <row r="4" spans="1:23" x14ac:dyDescent="0.3">
      <c r="A4" t="s">
        <v>17</v>
      </c>
      <c r="B4" t="s">
        <v>1417</v>
      </c>
      <c r="C4" s="1">
        <v>45514</v>
      </c>
      <c r="D4" t="s">
        <v>3229</v>
      </c>
      <c r="E4" t="s">
        <v>3264</v>
      </c>
      <c r="F4" t="s">
        <v>4549</v>
      </c>
      <c r="G4" t="s">
        <v>4573</v>
      </c>
      <c r="H4" t="s">
        <v>4585</v>
      </c>
      <c r="I4" t="s">
        <v>4590</v>
      </c>
      <c r="J4">
        <v>2</v>
      </c>
      <c r="K4">
        <v>14.33</v>
      </c>
      <c r="L4">
        <v>0.1</v>
      </c>
      <c r="M4">
        <v>3.25</v>
      </c>
      <c r="N4" t="s">
        <v>5464</v>
      </c>
      <c r="O4" t="s">
        <v>5481</v>
      </c>
      <c r="P4" t="s">
        <v>5475</v>
      </c>
      <c r="Q4" s="4">
        <v>25.794</v>
      </c>
    </row>
    <row r="5" spans="1:23" x14ac:dyDescent="0.3">
      <c r="A5" t="s">
        <v>18</v>
      </c>
      <c r="B5" t="s">
        <v>1418</v>
      </c>
      <c r="C5" s="1">
        <v>45602</v>
      </c>
      <c r="D5" t="s">
        <v>2691</v>
      </c>
      <c r="E5" t="s">
        <v>3265</v>
      </c>
      <c r="F5" t="s">
        <v>4549</v>
      </c>
      <c r="G5" t="s">
        <v>4574</v>
      </c>
      <c r="H5" t="s">
        <v>4585</v>
      </c>
      <c r="I5" t="s">
        <v>4591</v>
      </c>
      <c r="J5">
        <v>1</v>
      </c>
      <c r="K5">
        <v>7.97</v>
      </c>
      <c r="L5">
        <v>0.05</v>
      </c>
      <c r="M5">
        <v>4.0999999999999996</v>
      </c>
      <c r="N5" t="s">
        <v>5481</v>
      </c>
      <c r="O5" t="s">
        <v>5471</v>
      </c>
      <c r="P5" t="s">
        <v>5477</v>
      </c>
      <c r="Q5" s="4">
        <v>7.5714999999999995</v>
      </c>
    </row>
    <row r="6" spans="1:23" x14ac:dyDescent="0.3">
      <c r="A6" t="s">
        <v>19</v>
      </c>
      <c r="B6" t="s">
        <v>1419</v>
      </c>
      <c r="C6" s="1">
        <v>45792</v>
      </c>
      <c r="D6" t="s">
        <v>2626</v>
      </c>
      <c r="E6" t="s">
        <v>3266</v>
      </c>
      <c r="F6" t="s">
        <v>4565</v>
      </c>
      <c r="G6" t="s">
        <v>4575</v>
      </c>
      <c r="H6" t="s">
        <v>4585</v>
      </c>
      <c r="I6" t="s">
        <v>4592</v>
      </c>
      <c r="J6">
        <v>1</v>
      </c>
      <c r="K6">
        <v>6.7</v>
      </c>
      <c r="L6">
        <v>0.15</v>
      </c>
      <c r="M6">
        <v>13.27</v>
      </c>
      <c r="N6" t="s">
        <v>5481</v>
      </c>
      <c r="O6" t="s">
        <v>5472</v>
      </c>
      <c r="P6" t="s">
        <v>5477</v>
      </c>
      <c r="Q6" s="4">
        <v>5.6950000000000003</v>
      </c>
    </row>
    <row r="7" spans="1:23" x14ac:dyDescent="0.3">
      <c r="A7" t="s">
        <v>20</v>
      </c>
      <c r="B7" t="s">
        <v>1420</v>
      </c>
      <c r="C7" s="1">
        <v>46016</v>
      </c>
      <c r="D7" t="s">
        <v>2627</v>
      </c>
      <c r="E7" t="s">
        <v>3267</v>
      </c>
      <c r="F7" t="s">
        <v>4565</v>
      </c>
      <c r="G7" t="s">
        <v>4576</v>
      </c>
      <c r="H7" t="s">
        <v>4586</v>
      </c>
      <c r="I7" t="s">
        <v>4593</v>
      </c>
      <c r="J7">
        <v>3</v>
      </c>
      <c r="K7">
        <v>112.33</v>
      </c>
      <c r="L7">
        <v>0</v>
      </c>
      <c r="M7">
        <v>12.19</v>
      </c>
      <c r="N7" t="s">
        <v>5481</v>
      </c>
      <c r="O7" t="s">
        <v>5473</v>
      </c>
      <c r="P7" t="s">
        <v>5477</v>
      </c>
      <c r="Q7" s="4">
        <v>336.99</v>
      </c>
    </row>
    <row r="8" spans="1:23" x14ac:dyDescent="0.3">
      <c r="A8" t="s">
        <v>21</v>
      </c>
      <c r="B8" t="s">
        <v>1421</v>
      </c>
      <c r="C8" s="1">
        <v>45937</v>
      </c>
      <c r="D8" t="s">
        <v>2628</v>
      </c>
      <c r="E8" t="s">
        <v>3268</v>
      </c>
      <c r="F8" t="s">
        <v>4566</v>
      </c>
      <c r="G8" t="s">
        <v>4577</v>
      </c>
      <c r="H8" t="s">
        <v>4587</v>
      </c>
      <c r="I8" t="s">
        <v>4594</v>
      </c>
      <c r="J8">
        <v>1</v>
      </c>
      <c r="K8">
        <v>59.82</v>
      </c>
      <c r="L8">
        <v>0.05</v>
      </c>
      <c r="M8">
        <v>12.73</v>
      </c>
      <c r="N8" t="s">
        <v>5462</v>
      </c>
      <c r="O8" t="s">
        <v>5469</v>
      </c>
      <c r="P8" t="s">
        <v>5477</v>
      </c>
      <c r="Q8" s="4">
        <v>56.829000000000001</v>
      </c>
    </row>
    <row r="9" spans="1:23" x14ac:dyDescent="0.3">
      <c r="A9" t="s">
        <v>22</v>
      </c>
      <c r="B9" t="s">
        <v>1422</v>
      </c>
      <c r="C9" s="1">
        <v>45392</v>
      </c>
      <c r="D9" t="s">
        <v>2629</v>
      </c>
      <c r="E9" t="s">
        <v>3269</v>
      </c>
      <c r="F9" t="s">
        <v>4549</v>
      </c>
      <c r="G9" t="s">
        <v>4574</v>
      </c>
      <c r="H9" t="s">
        <v>4583</v>
      </c>
      <c r="I9" t="s">
        <v>4588</v>
      </c>
      <c r="J9">
        <v>1</v>
      </c>
      <c r="K9">
        <v>40.619999999999997</v>
      </c>
      <c r="L9">
        <v>0</v>
      </c>
      <c r="M9">
        <v>10.210000000000001</v>
      </c>
      <c r="N9" t="s">
        <v>5481</v>
      </c>
      <c r="O9" t="s">
        <v>5472</v>
      </c>
      <c r="P9" t="s">
        <v>5479</v>
      </c>
      <c r="Q9" s="4">
        <v>40.619999999999997</v>
      </c>
    </row>
    <row r="10" spans="1:23" x14ac:dyDescent="0.3">
      <c r="A10" t="s">
        <v>23</v>
      </c>
      <c r="B10" t="s">
        <v>1423</v>
      </c>
      <c r="C10" s="1">
        <v>45885</v>
      </c>
      <c r="D10" t="s">
        <v>2630</v>
      </c>
      <c r="E10" t="s">
        <v>3270</v>
      </c>
      <c r="F10" t="s">
        <v>4564</v>
      </c>
      <c r="G10" t="s">
        <v>4578</v>
      </c>
      <c r="H10" t="s">
        <v>4584</v>
      </c>
      <c r="I10" t="s">
        <v>4595</v>
      </c>
      <c r="J10">
        <v>1</v>
      </c>
      <c r="K10">
        <v>43.31</v>
      </c>
      <c r="L10">
        <v>0.15</v>
      </c>
      <c r="M10">
        <v>6.19</v>
      </c>
      <c r="N10" t="s">
        <v>5465</v>
      </c>
      <c r="O10" t="s">
        <v>5474</v>
      </c>
      <c r="P10" t="s">
        <v>5477</v>
      </c>
      <c r="Q10" s="4">
        <v>36.813499999999998</v>
      </c>
    </row>
    <row r="11" spans="1:23" x14ac:dyDescent="0.3">
      <c r="A11" t="s">
        <v>24</v>
      </c>
      <c r="B11" t="s">
        <v>1424</v>
      </c>
      <c r="C11" s="1">
        <v>45894</v>
      </c>
      <c r="D11" t="s">
        <v>2631</v>
      </c>
      <c r="E11" t="s">
        <v>3271</v>
      </c>
      <c r="F11" t="s">
        <v>4565</v>
      </c>
      <c r="G11" t="s">
        <v>4579</v>
      </c>
      <c r="H11" t="s">
        <v>4587</v>
      </c>
      <c r="I11" t="s">
        <v>4594</v>
      </c>
      <c r="J11">
        <v>1</v>
      </c>
      <c r="K11">
        <v>58.67</v>
      </c>
      <c r="L11">
        <v>0.05</v>
      </c>
      <c r="M11">
        <v>4.76</v>
      </c>
      <c r="N11" t="s">
        <v>5462</v>
      </c>
      <c r="O11" t="s">
        <v>5474</v>
      </c>
      <c r="P11" t="s">
        <v>5477</v>
      </c>
      <c r="Q11" s="4">
        <v>55.736499999999999</v>
      </c>
      <c r="T11" t="s">
        <v>5508</v>
      </c>
      <c r="U11" t="s">
        <v>5507</v>
      </c>
      <c r="V11" t="s">
        <v>5506</v>
      </c>
    </row>
    <row r="12" spans="1:23" x14ac:dyDescent="0.3">
      <c r="A12" t="s">
        <v>25</v>
      </c>
      <c r="B12" t="s">
        <v>1425</v>
      </c>
      <c r="C12" s="1">
        <v>45921</v>
      </c>
      <c r="D12" t="s">
        <v>2632</v>
      </c>
      <c r="E12" t="s">
        <v>3272</v>
      </c>
      <c r="F12" t="s">
        <v>4569</v>
      </c>
      <c r="G12" t="s">
        <v>4572</v>
      </c>
      <c r="H12" t="s">
        <v>4587</v>
      </c>
      <c r="I12" t="s">
        <v>4596</v>
      </c>
      <c r="J12">
        <v>1</v>
      </c>
      <c r="K12">
        <v>15.36</v>
      </c>
      <c r="L12">
        <v>0</v>
      </c>
      <c r="M12">
        <v>10.23</v>
      </c>
      <c r="N12" t="s">
        <v>5466</v>
      </c>
      <c r="O12" t="s">
        <v>5473</v>
      </c>
      <c r="P12" t="s">
        <v>5477</v>
      </c>
      <c r="Q12" s="4">
        <v>15.36</v>
      </c>
      <c r="T12" s="8">
        <v>0.10946882217090069</v>
      </c>
      <c r="U12" s="7">
        <v>26998.381999999998</v>
      </c>
      <c r="V12" s="7">
        <v>169134.95049999989</v>
      </c>
    </row>
    <row r="13" spans="1:23" x14ac:dyDescent="0.3">
      <c r="A13" t="s">
        <v>26</v>
      </c>
      <c r="B13" t="s">
        <v>1426</v>
      </c>
      <c r="C13" s="1">
        <v>45975</v>
      </c>
      <c r="D13" t="s">
        <v>3254</v>
      </c>
      <c r="E13" t="s">
        <v>3273</v>
      </c>
      <c r="F13" t="s">
        <v>4549</v>
      </c>
      <c r="G13" t="s">
        <v>4573</v>
      </c>
      <c r="H13" t="s">
        <v>4584</v>
      </c>
      <c r="I13" t="s">
        <v>4595</v>
      </c>
      <c r="J13">
        <v>2</v>
      </c>
      <c r="K13">
        <v>41.51</v>
      </c>
      <c r="L13">
        <v>0.15</v>
      </c>
      <c r="M13">
        <v>6.08</v>
      </c>
      <c r="N13" t="s">
        <v>5462</v>
      </c>
      <c r="O13" t="s">
        <v>5471</v>
      </c>
      <c r="P13" t="s">
        <v>5477</v>
      </c>
      <c r="Q13" s="4">
        <v>70.566999999999993</v>
      </c>
    </row>
    <row r="14" spans="1:23" x14ac:dyDescent="0.3">
      <c r="A14" t="s">
        <v>27</v>
      </c>
      <c r="B14" t="s">
        <v>1427</v>
      </c>
      <c r="C14" s="1">
        <v>45960</v>
      </c>
      <c r="D14" t="s">
        <v>2634</v>
      </c>
      <c r="E14" t="s">
        <v>3274</v>
      </c>
      <c r="F14" t="s">
        <v>4549</v>
      </c>
      <c r="G14" t="s">
        <v>4574</v>
      </c>
      <c r="H14" t="s">
        <v>4585</v>
      </c>
      <c r="I14" t="s">
        <v>4590</v>
      </c>
      <c r="J14">
        <v>3</v>
      </c>
      <c r="K14">
        <v>13.61</v>
      </c>
      <c r="L14">
        <v>0.05</v>
      </c>
      <c r="M14">
        <v>12</v>
      </c>
      <c r="N14" t="s">
        <v>5464</v>
      </c>
      <c r="O14" t="s">
        <v>5470</v>
      </c>
      <c r="P14" t="s">
        <v>5477</v>
      </c>
      <c r="Q14" s="4">
        <v>38.788499999999999</v>
      </c>
    </row>
    <row r="15" spans="1:23" x14ac:dyDescent="0.3">
      <c r="A15" t="s">
        <v>28</v>
      </c>
      <c r="B15" t="s">
        <v>1428</v>
      </c>
      <c r="C15" s="1">
        <v>45741</v>
      </c>
      <c r="D15" t="s">
        <v>2635</v>
      </c>
      <c r="E15" t="s">
        <v>3275</v>
      </c>
      <c r="F15" t="s">
        <v>4569</v>
      </c>
      <c r="G15" t="s">
        <v>4580</v>
      </c>
      <c r="H15" t="s">
        <v>4586</v>
      </c>
      <c r="I15" t="s">
        <v>4597</v>
      </c>
      <c r="J15">
        <v>1</v>
      </c>
      <c r="K15">
        <v>85.93</v>
      </c>
      <c r="L15">
        <v>0</v>
      </c>
      <c r="M15">
        <v>14.07</v>
      </c>
      <c r="N15" t="s">
        <v>5466</v>
      </c>
      <c r="O15" t="s">
        <v>5471</v>
      </c>
      <c r="P15" t="s">
        <v>5477</v>
      </c>
      <c r="Q15" s="4">
        <v>85.93</v>
      </c>
    </row>
    <row r="16" spans="1:23" x14ac:dyDescent="0.3">
      <c r="A16" t="s">
        <v>29</v>
      </c>
      <c r="B16" t="s">
        <v>1429</v>
      </c>
      <c r="C16" s="1">
        <v>46015</v>
      </c>
      <c r="D16" t="s">
        <v>2853</v>
      </c>
      <c r="E16" t="s">
        <v>3276</v>
      </c>
      <c r="F16" t="s">
        <v>4565</v>
      </c>
      <c r="G16" t="s">
        <v>4579</v>
      </c>
      <c r="H16" t="s">
        <v>4585</v>
      </c>
      <c r="I16" t="s">
        <v>4590</v>
      </c>
      <c r="J16">
        <v>1</v>
      </c>
      <c r="K16">
        <v>13.36</v>
      </c>
      <c r="L16">
        <v>0.1</v>
      </c>
      <c r="M16">
        <v>6.24</v>
      </c>
      <c r="N16" t="s">
        <v>5481</v>
      </c>
      <c r="O16" t="s">
        <v>5471</v>
      </c>
      <c r="P16" t="s">
        <v>5477</v>
      </c>
      <c r="Q16" s="4">
        <v>12.023999999999999</v>
      </c>
    </row>
    <row r="17" spans="1:17" x14ac:dyDescent="0.3">
      <c r="A17" t="s">
        <v>30</v>
      </c>
      <c r="B17" t="s">
        <v>1430</v>
      </c>
      <c r="C17" s="1">
        <v>45875</v>
      </c>
      <c r="D17" t="s">
        <v>2637</v>
      </c>
      <c r="E17" t="s">
        <v>3277</v>
      </c>
      <c r="F17" t="s">
        <v>4569</v>
      </c>
      <c r="G17" t="s">
        <v>4581</v>
      </c>
      <c r="H17" t="s">
        <v>4585</v>
      </c>
      <c r="I17" t="s">
        <v>4598</v>
      </c>
      <c r="J17">
        <v>1</v>
      </c>
      <c r="K17">
        <v>3.01</v>
      </c>
      <c r="L17">
        <v>0</v>
      </c>
      <c r="M17">
        <v>13.9</v>
      </c>
      <c r="N17" t="s">
        <v>5467</v>
      </c>
      <c r="O17" t="s">
        <v>5474</v>
      </c>
      <c r="P17" t="s">
        <v>5476</v>
      </c>
      <c r="Q17" s="4">
        <v>3.01</v>
      </c>
    </row>
    <row r="18" spans="1:17" x14ac:dyDescent="0.3">
      <c r="A18" t="s">
        <v>31</v>
      </c>
      <c r="B18" t="s">
        <v>1431</v>
      </c>
      <c r="C18" s="1">
        <v>45299</v>
      </c>
      <c r="D18" t="s">
        <v>2638</v>
      </c>
      <c r="E18" t="s">
        <v>3278</v>
      </c>
      <c r="F18" t="s">
        <v>4566</v>
      </c>
      <c r="G18" t="s">
        <v>4573</v>
      </c>
      <c r="H18" t="s">
        <v>4586</v>
      </c>
      <c r="I18" t="s">
        <v>4597</v>
      </c>
      <c r="J18">
        <v>2</v>
      </c>
      <c r="K18">
        <v>91.56</v>
      </c>
      <c r="L18">
        <v>0</v>
      </c>
      <c r="M18">
        <v>0.3</v>
      </c>
      <c r="N18" t="s">
        <v>5481</v>
      </c>
      <c r="O18" t="s">
        <v>5471</v>
      </c>
      <c r="P18" t="s">
        <v>5479</v>
      </c>
      <c r="Q18" s="4">
        <v>183.12</v>
      </c>
    </row>
    <row r="19" spans="1:17" x14ac:dyDescent="0.3">
      <c r="A19" t="s">
        <v>32</v>
      </c>
      <c r="B19" t="s">
        <v>1432</v>
      </c>
      <c r="C19" s="1">
        <v>45720</v>
      </c>
      <c r="D19" t="s">
        <v>2639</v>
      </c>
      <c r="E19" t="s">
        <v>3279</v>
      </c>
      <c r="F19" t="s">
        <v>4549</v>
      </c>
      <c r="G19" t="s">
        <v>4574</v>
      </c>
      <c r="H19" t="s">
        <v>4586</v>
      </c>
      <c r="I19" t="s">
        <v>4599</v>
      </c>
      <c r="J19">
        <v>1</v>
      </c>
      <c r="K19">
        <v>251.19</v>
      </c>
      <c r="L19">
        <v>0.15</v>
      </c>
      <c r="M19">
        <v>11.3</v>
      </c>
      <c r="N19" t="s">
        <v>5467</v>
      </c>
      <c r="O19" t="s">
        <v>5474</v>
      </c>
      <c r="P19" t="s">
        <v>5477</v>
      </c>
      <c r="Q19" s="4">
        <v>213.51149999999998</v>
      </c>
    </row>
    <row r="20" spans="1:17" x14ac:dyDescent="0.3">
      <c r="A20" t="s">
        <v>33</v>
      </c>
      <c r="B20" t="s">
        <v>1433</v>
      </c>
      <c r="C20" s="1">
        <v>45498</v>
      </c>
      <c r="D20" t="s">
        <v>2640</v>
      </c>
      <c r="E20" t="s">
        <v>3280</v>
      </c>
      <c r="F20" t="s">
        <v>4566</v>
      </c>
      <c r="G20" t="s">
        <v>4577</v>
      </c>
      <c r="H20" t="s">
        <v>4587</v>
      </c>
      <c r="I20" t="s">
        <v>4600</v>
      </c>
      <c r="J20">
        <v>1</v>
      </c>
      <c r="K20">
        <v>13.28</v>
      </c>
      <c r="L20">
        <v>0</v>
      </c>
      <c r="M20">
        <v>10.38</v>
      </c>
      <c r="N20" t="s">
        <v>5464</v>
      </c>
      <c r="O20" t="s">
        <v>5471</v>
      </c>
      <c r="P20" t="s">
        <v>5477</v>
      </c>
      <c r="Q20" s="4">
        <v>13.28</v>
      </c>
    </row>
    <row r="21" spans="1:17" x14ac:dyDescent="0.3">
      <c r="A21" t="s">
        <v>34</v>
      </c>
      <c r="B21" t="s">
        <v>1434</v>
      </c>
      <c r="C21" s="1">
        <v>45624</v>
      </c>
      <c r="D21" t="s">
        <v>2925</v>
      </c>
      <c r="E21" t="s">
        <v>3281</v>
      </c>
      <c r="F21" t="s">
        <v>4569</v>
      </c>
      <c r="G21" t="s">
        <v>4581</v>
      </c>
      <c r="H21" t="s">
        <v>4587</v>
      </c>
      <c r="I21" t="s">
        <v>4596</v>
      </c>
      <c r="J21">
        <v>2</v>
      </c>
      <c r="K21">
        <v>15.07</v>
      </c>
      <c r="L21">
        <v>0.05</v>
      </c>
      <c r="M21">
        <v>6.97</v>
      </c>
      <c r="N21" t="s">
        <v>5464</v>
      </c>
      <c r="O21" t="s">
        <v>5474</v>
      </c>
      <c r="P21" t="s">
        <v>5476</v>
      </c>
      <c r="Q21" s="4">
        <v>28.632999999999999</v>
      </c>
    </row>
    <row r="22" spans="1:17" x14ac:dyDescent="0.3">
      <c r="A22" t="s">
        <v>35</v>
      </c>
      <c r="B22" t="s">
        <v>1435</v>
      </c>
      <c r="C22" s="1">
        <v>45744</v>
      </c>
      <c r="D22" t="s">
        <v>2642</v>
      </c>
      <c r="E22" t="s">
        <v>3282</v>
      </c>
      <c r="F22" t="s">
        <v>4565</v>
      </c>
      <c r="G22" t="s">
        <v>4576</v>
      </c>
      <c r="H22" t="s">
        <v>4586</v>
      </c>
      <c r="I22" t="s">
        <v>4597</v>
      </c>
      <c r="J22">
        <v>10</v>
      </c>
      <c r="K22">
        <v>84.62</v>
      </c>
      <c r="L22">
        <v>0</v>
      </c>
      <c r="M22">
        <v>11.72</v>
      </c>
      <c r="N22" t="s">
        <v>5468</v>
      </c>
      <c r="O22" t="s">
        <v>5481</v>
      </c>
      <c r="P22" t="s">
        <v>5477</v>
      </c>
      <c r="Q22" s="4">
        <v>846.2</v>
      </c>
    </row>
    <row r="23" spans="1:17" x14ac:dyDescent="0.3">
      <c r="A23" t="s">
        <v>36</v>
      </c>
      <c r="B23" t="s">
        <v>1436</v>
      </c>
      <c r="C23" s="1">
        <v>45329</v>
      </c>
      <c r="D23" t="s">
        <v>2760</v>
      </c>
      <c r="E23" t="s">
        <v>3283</v>
      </c>
      <c r="F23" t="s">
        <v>4564</v>
      </c>
      <c r="G23" t="s">
        <v>4578</v>
      </c>
      <c r="H23" t="s">
        <v>4584</v>
      </c>
      <c r="I23" t="s">
        <v>4601</v>
      </c>
      <c r="J23">
        <v>1</v>
      </c>
      <c r="K23">
        <v>193.7</v>
      </c>
      <c r="L23">
        <v>0</v>
      </c>
      <c r="M23">
        <v>0</v>
      </c>
      <c r="N23" t="s">
        <v>5465</v>
      </c>
      <c r="O23" t="s">
        <v>5470</v>
      </c>
      <c r="P23" t="s">
        <v>5477</v>
      </c>
      <c r="Q23" s="4">
        <v>193.7</v>
      </c>
    </row>
    <row r="24" spans="1:17" x14ac:dyDescent="0.3">
      <c r="A24" t="s">
        <v>37</v>
      </c>
      <c r="B24" t="s">
        <v>1437</v>
      </c>
      <c r="C24" s="1">
        <v>45963</v>
      </c>
      <c r="D24" t="s">
        <v>2644</v>
      </c>
      <c r="E24" t="s">
        <v>3284</v>
      </c>
      <c r="F24" t="s">
        <v>4564</v>
      </c>
      <c r="G24" t="s">
        <v>4578</v>
      </c>
      <c r="H24" t="s">
        <v>4586</v>
      </c>
      <c r="I24" t="s">
        <v>4597</v>
      </c>
      <c r="J24">
        <v>1</v>
      </c>
      <c r="K24">
        <v>88.39</v>
      </c>
      <c r="L24">
        <v>0.15</v>
      </c>
      <c r="M24">
        <v>2.2000000000000002</v>
      </c>
      <c r="N24" t="s">
        <v>5467</v>
      </c>
      <c r="O24" t="s">
        <v>5474</v>
      </c>
      <c r="P24" t="s">
        <v>5475</v>
      </c>
      <c r="Q24" s="4">
        <v>75.131500000000003</v>
      </c>
    </row>
    <row r="25" spans="1:17" x14ac:dyDescent="0.3">
      <c r="A25" t="s">
        <v>38</v>
      </c>
      <c r="B25" t="s">
        <v>1438</v>
      </c>
      <c r="C25" s="1">
        <v>45489</v>
      </c>
      <c r="D25" t="s">
        <v>2645</v>
      </c>
      <c r="E25" t="s">
        <v>3285</v>
      </c>
      <c r="F25" t="s">
        <v>4565</v>
      </c>
      <c r="G25" t="s">
        <v>4576</v>
      </c>
      <c r="H25" t="s">
        <v>4587</v>
      </c>
      <c r="I25" t="s">
        <v>4600</v>
      </c>
      <c r="J25">
        <v>1</v>
      </c>
      <c r="K25">
        <v>12.8</v>
      </c>
      <c r="L25">
        <v>0.15</v>
      </c>
      <c r="M25">
        <v>0.3</v>
      </c>
      <c r="N25" t="s">
        <v>5462</v>
      </c>
      <c r="O25" t="s">
        <v>5471</v>
      </c>
      <c r="P25" t="s">
        <v>5475</v>
      </c>
      <c r="Q25" s="4">
        <v>10.88</v>
      </c>
    </row>
    <row r="26" spans="1:17" x14ac:dyDescent="0.3">
      <c r="A26" t="s">
        <v>39</v>
      </c>
      <c r="B26" t="s">
        <v>1439</v>
      </c>
      <c r="C26" s="1">
        <v>45339</v>
      </c>
      <c r="D26" t="s">
        <v>2638</v>
      </c>
      <c r="E26" t="s">
        <v>3286</v>
      </c>
      <c r="F26" t="s">
        <v>4566</v>
      </c>
      <c r="G26" t="s">
        <v>4573</v>
      </c>
      <c r="H26" t="s">
        <v>4585</v>
      </c>
      <c r="I26" t="s">
        <v>4602</v>
      </c>
      <c r="J26">
        <v>2</v>
      </c>
      <c r="K26">
        <v>4.3499999999999996</v>
      </c>
      <c r="L26">
        <v>0.05</v>
      </c>
      <c r="M26">
        <v>1.02</v>
      </c>
      <c r="N26" t="s">
        <v>5467</v>
      </c>
      <c r="O26" t="s">
        <v>5469</v>
      </c>
      <c r="P26" t="s">
        <v>5477</v>
      </c>
      <c r="Q26" s="4">
        <v>8.2649999999999988</v>
      </c>
    </row>
    <row r="27" spans="1:17" x14ac:dyDescent="0.3">
      <c r="A27" t="s">
        <v>40</v>
      </c>
      <c r="B27" t="s">
        <v>1440</v>
      </c>
      <c r="C27" s="1">
        <v>45858</v>
      </c>
      <c r="D27" t="s">
        <v>2647</v>
      </c>
      <c r="E27" t="s">
        <v>3287</v>
      </c>
      <c r="F27" t="s">
        <v>4564</v>
      </c>
      <c r="G27" t="s">
        <v>4578</v>
      </c>
      <c r="H27" t="s">
        <v>4585</v>
      </c>
      <c r="I27" t="s">
        <v>4592</v>
      </c>
      <c r="J27">
        <v>1</v>
      </c>
      <c r="K27">
        <v>6.4</v>
      </c>
      <c r="L27">
        <v>0.1</v>
      </c>
      <c r="M27">
        <v>8.7899999999999991</v>
      </c>
      <c r="N27" t="s">
        <v>5468</v>
      </c>
      <c r="O27" t="s">
        <v>5469</v>
      </c>
      <c r="P27" t="s">
        <v>5479</v>
      </c>
      <c r="Q27" s="4">
        <v>5.7600000000000007</v>
      </c>
    </row>
    <row r="28" spans="1:17" x14ac:dyDescent="0.3">
      <c r="A28" t="s">
        <v>41</v>
      </c>
      <c r="B28" t="s">
        <v>1441</v>
      </c>
      <c r="C28" s="1">
        <v>45439</v>
      </c>
      <c r="D28" t="s">
        <v>2962</v>
      </c>
      <c r="E28" t="s">
        <v>3288</v>
      </c>
      <c r="F28" t="s">
        <v>4566</v>
      </c>
      <c r="G28" t="s">
        <v>4573</v>
      </c>
      <c r="H28" t="s">
        <v>4584</v>
      </c>
      <c r="I28" t="s">
        <v>4603</v>
      </c>
      <c r="J28">
        <v>5</v>
      </c>
      <c r="K28">
        <v>9.42</v>
      </c>
      <c r="L28">
        <v>0</v>
      </c>
      <c r="M28">
        <v>0</v>
      </c>
      <c r="N28" t="s">
        <v>5465</v>
      </c>
      <c r="O28" t="s">
        <v>5474</v>
      </c>
      <c r="P28" t="s">
        <v>5476</v>
      </c>
      <c r="Q28" s="4">
        <v>47.1</v>
      </c>
    </row>
    <row r="29" spans="1:17" x14ac:dyDescent="0.3">
      <c r="A29" t="s">
        <v>42</v>
      </c>
      <c r="B29" t="s">
        <v>1442</v>
      </c>
      <c r="C29" s="1">
        <v>45749</v>
      </c>
      <c r="D29" t="s">
        <v>2649</v>
      </c>
      <c r="E29" t="s">
        <v>3289</v>
      </c>
      <c r="F29" t="s">
        <v>4566</v>
      </c>
      <c r="G29" t="s">
        <v>5481</v>
      </c>
      <c r="H29" t="s">
        <v>4583</v>
      </c>
      <c r="I29" t="s">
        <v>4588</v>
      </c>
      <c r="J29">
        <v>2</v>
      </c>
      <c r="K29">
        <v>41.17</v>
      </c>
      <c r="L29">
        <v>0.05</v>
      </c>
      <c r="M29">
        <v>8.82</v>
      </c>
      <c r="N29" t="s">
        <v>5462</v>
      </c>
      <c r="O29" t="s">
        <v>5470</v>
      </c>
      <c r="P29" t="s">
        <v>5477</v>
      </c>
      <c r="Q29" s="4">
        <v>78.222999999999999</v>
      </c>
    </row>
    <row r="30" spans="1:17" x14ac:dyDescent="0.3">
      <c r="A30" t="s">
        <v>43</v>
      </c>
      <c r="B30" t="s">
        <v>1443</v>
      </c>
      <c r="C30" s="1">
        <v>45770</v>
      </c>
      <c r="D30" t="s">
        <v>2650</v>
      </c>
      <c r="E30" t="s">
        <v>3290</v>
      </c>
      <c r="F30" t="s">
        <v>4549</v>
      </c>
      <c r="G30" t="s">
        <v>4573</v>
      </c>
      <c r="H30" t="s">
        <v>4583</v>
      </c>
      <c r="I30" t="s">
        <v>4604</v>
      </c>
      <c r="J30">
        <v>2</v>
      </c>
      <c r="K30">
        <v>23.52</v>
      </c>
      <c r="L30">
        <v>0</v>
      </c>
      <c r="M30">
        <v>0.23</v>
      </c>
      <c r="N30" t="s">
        <v>5462</v>
      </c>
      <c r="O30" t="s">
        <v>5469</v>
      </c>
      <c r="P30" t="s">
        <v>5477</v>
      </c>
      <c r="Q30" s="4">
        <v>47.04</v>
      </c>
    </row>
    <row r="31" spans="1:17" x14ac:dyDescent="0.3">
      <c r="A31" t="s">
        <v>44</v>
      </c>
      <c r="B31" t="s">
        <v>1444</v>
      </c>
      <c r="C31" s="1">
        <v>45426</v>
      </c>
      <c r="D31" t="s">
        <v>2651</v>
      </c>
      <c r="E31" t="s">
        <v>3291</v>
      </c>
      <c r="F31" t="s">
        <v>4564</v>
      </c>
      <c r="G31" t="s">
        <v>4578</v>
      </c>
      <c r="H31" t="s">
        <v>4583</v>
      </c>
      <c r="I31" t="s">
        <v>4605</v>
      </c>
      <c r="J31">
        <v>1</v>
      </c>
      <c r="K31">
        <v>43.87</v>
      </c>
      <c r="L31">
        <v>0.1</v>
      </c>
      <c r="M31">
        <v>2.1800000000000002</v>
      </c>
      <c r="N31" t="s">
        <v>5467</v>
      </c>
      <c r="O31" t="s">
        <v>5471</v>
      </c>
      <c r="P31" t="s">
        <v>5476</v>
      </c>
      <c r="Q31" s="4">
        <v>39.482999999999997</v>
      </c>
    </row>
    <row r="32" spans="1:17" x14ac:dyDescent="0.3">
      <c r="A32" t="s">
        <v>45</v>
      </c>
      <c r="B32" t="s">
        <v>1445</v>
      </c>
      <c r="C32" s="1">
        <v>45418</v>
      </c>
      <c r="D32" t="s">
        <v>2796</v>
      </c>
      <c r="E32" t="s">
        <v>3292</v>
      </c>
      <c r="F32" t="s">
        <v>4569</v>
      </c>
      <c r="G32" t="s">
        <v>5481</v>
      </c>
      <c r="H32" t="s">
        <v>4586</v>
      </c>
      <c r="I32" t="s">
        <v>4599</v>
      </c>
      <c r="J32">
        <v>1</v>
      </c>
      <c r="K32">
        <v>246.56</v>
      </c>
      <c r="L32">
        <v>0.1</v>
      </c>
      <c r="M32">
        <v>9.85</v>
      </c>
      <c r="N32" t="s">
        <v>5463</v>
      </c>
      <c r="O32" t="s">
        <v>5473</v>
      </c>
      <c r="P32" t="s">
        <v>5476</v>
      </c>
      <c r="Q32" s="4">
        <v>221.904</v>
      </c>
    </row>
    <row r="33" spans="1:17" x14ac:dyDescent="0.3">
      <c r="A33" t="s">
        <v>46</v>
      </c>
      <c r="B33" t="s">
        <v>1446</v>
      </c>
      <c r="C33" s="1">
        <v>45968</v>
      </c>
      <c r="D33" t="s">
        <v>5488</v>
      </c>
      <c r="E33" t="s">
        <v>3293</v>
      </c>
      <c r="F33" t="s">
        <v>4564</v>
      </c>
      <c r="G33" t="s">
        <v>4573</v>
      </c>
      <c r="H33" t="s">
        <v>5481</v>
      </c>
      <c r="I33" t="s">
        <v>4591</v>
      </c>
      <c r="J33">
        <v>1</v>
      </c>
      <c r="K33">
        <v>7.45</v>
      </c>
      <c r="L33">
        <v>0</v>
      </c>
      <c r="M33">
        <v>11.57</v>
      </c>
      <c r="N33" t="s">
        <v>5466</v>
      </c>
      <c r="O33" t="s">
        <v>5469</v>
      </c>
      <c r="P33" t="s">
        <v>5477</v>
      </c>
      <c r="Q33" s="4">
        <v>7.45</v>
      </c>
    </row>
    <row r="34" spans="1:17" x14ac:dyDescent="0.3">
      <c r="A34" t="s">
        <v>47</v>
      </c>
      <c r="B34" t="s">
        <v>1447</v>
      </c>
      <c r="C34" s="1">
        <v>45752</v>
      </c>
      <c r="D34" t="s">
        <v>5489</v>
      </c>
      <c r="E34" t="s">
        <v>5481</v>
      </c>
      <c r="F34" t="s">
        <v>4549</v>
      </c>
      <c r="G34" t="s">
        <v>4573</v>
      </c>
      <c r="H34" t="s">
        <v>4586</v>
      </c>
      <c r="I34" t="s">
        <v>4599</v>
      </c>
      <c r="J34">
        <v>1</v>
      </c>
      <c r="K34">
        <v>247.74</v>
      </c>
      <c r="L34">
        <v>0.05</v>
      </c>
      <c r="M34">
        <v>0</v>
      </c>
      <c r="N34" t="s">
        <v>5467</v>
      </c>
      <c r="O34" t="s">
        <v>5469</v>
      </c>
      <c r="P34" t="s">
        <v>5479</v>
      </c>
      <c r="Q34" s="4">
        <v>235.35300000000001</v>
      </c>
    </row>
    <row r="35" spans="1:17" x14ac:dyDescent="0.3">
      <c r="A35" t="s">
        <v>48</v>
      </c>
      <c r="B35" t="s">
        <v>1448</v>
      </c>
      <c r="C35" s="1">
        <v>45731</v>
      </c>
      <c r="D35" t="s">
        <v>2655</v>
      </c>
      <c r="E35" t="s">
        <v>3294</v>
      </c>
      <c r="F35" t="s">
        <v>4564</v>
      </c>
      <c r="G35" t="s">
        <v>4578</v>
      </c>
      <c r="H35" t="s">
        <v>4583</v>
      </c>
      <c r="I35" t="s">
        <v>4605</v>
      </c>
      <c r="J35">
        <v>1</v>
      </c>
      <c r="K35">
        <v>44.55</v>
      </c>
      <c r="L35">
        <v>0</v>
      </c>
      <c r="M35">
        <v>0</v>
      </c>
      <c r="N35" t="s">
        <v>5463</v>
      </c>
      <c r="O35" t="s">
        <v>5471</v>
      </c>
      <c r="P35" t="s">
        <v>5479</v>
      </c>
      <c r="Q35" s="4">
        <v>44.55</v>
      </c>
    </row>
    <row r="36" spans="1:17" x14ac:dyDescent="0.3">
      <c r="A36" t="s">
        <v>49</v>
      </c>
      <c r="B36" t="s">
        <v>1449</v>
      </c>
      <c r="C36" s="1">
        <v>45384</v>
      </c>
      <c r="D36" t="s">
        <v>3050</v>
      </c>
      <c r="E36" t="s">
        <v>5481</v>
      </c>
      <c r="F36" t="s">
        <v>4564</v>
      </c>
      <c r="G36" t="s">
        <v>4578</v>
      </c>
      <c r="H36" t="s">
        <v>4586</v>
      </c>
      <c r="I36" t="s">
        <v>4597</v>
      </c>
      <c r="J36">
        <v>10</v>
      </c>
      <c r="K36">
        <v>89.81</v>
      </c>
      <c r="L36">
        <v>0</v>
      </c>
      <c r="M36">
        <v>6.94</v>
      </c>
      <c r="N36" t="s">
        <v>5467</v>
      </c>
      <c r="O36" t="s">
        <v>5473</v>
      </c>
      <c r="P36" t="s">
        <v>5477</v>
      </c>
      <c r="Q36" s="4">
        <v>898.1</v>
      </c>
    </row>
    <row r="37" spans="1:17" x14ac:dyDescent="0.3">
      <c r="A37" t="s">
        <v>50</v>
      </c>
      <c r="B37" t="s">
        <v>1450</v>
      </c>
      <c r="C37" s="1">
        <v>45420</v>
      </c>
      <c r="D37" t="s">
        <v>2657</v>
      </c>
      <c r="E37" t="s">
        <v>3295</v>
      </c>
      <c r="F37" t="s">
        <v>4565</v>
      </c>
      <c r="G37" t="s">
        <v>4575</v>
      </c>
      <c r="H37" t="s">
        <v>4584</v>
      </c>
      <c r="I37" t="s">
        <v>4589</v>
      </c>
      <c r="J37">
        <v>1</v>
      </c>
      <c r="K37">
        <v>35.78</v>
      </c>
      <c r="L37">
        <v>0</v>
      </c>
      <c r="M37">
        <v>0</v>
      </c>
      <c r="N37" t="s">
        <v>5481</v>
      </c>
      <c r="O37" t="s">
        <v>5472</v>
      </c>
      <c r="P37" t="s">
        <v>5476</v>
      </c>
      <c r="Q37" s="4">
        <v>35.78</v>
      </c>
    </row>
    <row r="38" spans="1:17" x14ac:dyDescent="0.3">
      <c r="A38" t="s">
        <v>51</v>
      </c>
      <c r="B38" t="s">
        <v>1451</v>
      </c>
      <c r="C38" s="1">
        <v>45857</v>
      </c>
      <c r="D38" t="s">
        <v>2658</v>
      </c>
      <c r="E38" t="s">
        <v>3296</v>
      </c>
      <c r="F38" t="s">
        <v>4549</v>
      </c>
      <c r="G38" t="s">
        <v>4573</v>
      </c>
      <c r="H38" t="s">
        <v>4583</v>
      </c>
      <c r="I38" t="s">
        <v>4605</v>
      </c>
      <c r="J38">
        <v>1</v>
      </c>
      <c r="K38">
        <v>42.79</v>
      </c>
      <c r="L38">
        <v>0.1</v>
      </c>
      <c r="M38">
        <v>0.34</v>
      </c>
      <c r="N38" t="s">
        <v>5465</v>
      </c>
      <c r="O38" t="s">
        <v>5481</v>
      </c>
      <c r="P38" t="s">
        <v>5477</v>
      </c>
      <c r="Q38" s="4">
        <v>38.511000000000003</v>
      </c>
    </row>
    <row r="39" spans="1:17" x14ac:dyDescent="0.3">
      <c r="A39" t="s">
        <v>52</v>
      </c>
      <c r="B39" t="s">
        <v>1452</v>
      </c>
      <c r="C39" s="1">
        <v>45294</v>
      </c>
      <c r="D39" t="s">
        <v>2659</v>
      </c>
      <c r="E39" t="s">
        <v>3297</v>
      </c>
      <c r="F39" t="s">
        <v>4569</v>
      </c>
      <c r="G39" t="s">
        <v>4581</v>
      </c>
      <c r="H39" t="s">
        <v>4587</v>
      </c>
      <c r="I39" t="s">
        <v>4606</v>
      </c>
      <c r="J39">
        <v>1</v>
      </c>
      <c r="K39">
        <v>29.13</v>
      </c>
      <c r="L39">
        <v>0.1</v>
      </c>
      <c r="M39">
        <v>4.2300000000000004</v>
      </c>
      <c r="N39" t="s">
        <v>5467</v>
      </c>
      <c r="O39" t="s">
        <v>5471</v>
      </c>
      <c r="P39" t="s">
        <v>5477</v>
      </c>
      <c r="Q39" s="4">
        <v>26.216999999999999</v>
      </c>
    </row>
    <row r="40" spans="1:17" x14ac:dyDescent="0.3">
      <c r="A40" t="s">
        <v>53</v>
      </c>
      <c r="B40" t="s">
        <v>1453</v>
      </c>
      <c r="C40" s="1">
        <v>45585</v>
      </c>
      <c r="D40" t="s">
        <v>2660</v>
      </c>
      <c r="E40" t="s">
        <v>3298</v>
      </c>
      <c r="F40" t="s">
        <v>4564</v>
      </c>
      <c r="G40" t="s">
        <v>4573</v>
      </c>
      <c r="H40" t="s">
        <v>4587</v>
      </c>
      <c r="I40" t="s">
        <v>4596</v>
      </c>
      <c r="J40">
        <v>1</v>
      </c>
      <c r="K40">
        <v>15.16</v>
      </c>
      <c r="L40">
        <v>0</v>
      </c>
      <c r="M40">
        <v>3.47</v>
      </c>
      <c r="N40" t="s">
        <v>5481</v>
      </c>
      <c r="O40" t="s">
        <v>5472</v>
      </c>
      <c r="P40" t="s">
        <v>5477</v>
      </c>
      <c r="Q40" s="4">
        <v>15.16</v>
      </c>
    </row>
    <row r="41" spans="1:17" x14ac:dyDescent="0.3">
      <c r="A41" t="s">
        <v>54</v>
      </c>
      <c r="B41" t="s">
        <v>1454</v>
      </c>
      <c r="C41" s="1">
        <v>45819</v>
      </c>
      <c r="D41" t="s">
        <v>3067</v>
      </c>
      <c r="E41" t="s">
        <v>3299</v>
      </c>
      <c r="F41" t="s">
        <v>4566</v>
      </c>
      <c r="G41" t="s">
        <v>4577</v>
      </c>
      <c r="H41" t="s">
        <v>4583</v>
      </c>
      <c r="I41" t="s">
        <v>4605</v>
      </c>
      <c r="J41">
        <v>1</v>
      </c>
      <c r="K41">
        <v>47.24</v>
      </c>
      <c r="L41">
        <v>0</v>
      </c>
      <c r="M41">
        <v>2.56</v>
      </c>
      <c r="N41" t="s">
        <v>5467</v>
      </c>
      <c r="O41" t="s">
        <v>5474</v>
      </c>
      <c r="P41" t="s">
        <v>5476</v>
      </c>
      <c r="Q41" s="4">
        <v>47.24</v>
      </c>
    </row>
    <row r="42" spans="1:17" x14ac:dyDescent="0.3">
      <c r="A42" t="s">
        <v>55</v>
      </c>
      <c r="B42" t="s">
        <v>1455</v>
      </c>
      <c r="C42" s="1">
        <v>45385</v>
      </c>
      <c r="D42" t="s">
        <v>2627</v>
      </c>
      <c r="E42" t="s">
        <v>3300</v>
      </c>
      <c r="F42" t="s">
        <v>4564</v>
      </c>
      <c r="G42" t="s">
        <v>4578</v>
      </c>
      <c r="H42" t="s">
        <v>4587</v>
      </c>
      <c r="I42" t="s">
        <v>4600</v>
      </c>
      <c r="J42">
        <v>3</v>
      </c>
      <c r="K42">
        <v>12.98</v>
      </c>
      <c r="L42">
        <v>0.1</v>
      </c>
      <c r="M42">
        <v>4.28</v>
      </c>
      <c r="N42" t="s">
        <v>5464</v>
      </c>
      <c r="O42" t="s">
        <v>5472</v>
      </c>
      <c r="P42" t="s">
        <v>5477</v>
      </c>
      <c r="Q42" s="4">
        <v>35.045999999999999</v>
      </c>
    </row>
    <row r="43" spans="1:17" x14ac:dyDescent="0.3">
      <c r="A43" t="s">
        <v>56</v>
      </c>
      <c r="B43" t="s">
        <v>1456</v>
      </c>
      <c r="C43" s="1">
        <v>45844</v>
      </c>
      <c r="D43" t="s">
        <v>2663</v>
      </c>
      <c r="E43" t="s">
        <v>3301</v>
      </c>
      <c r="F43" t="s">
        <v>4564</v>
      </c>
      <c r="G43" t="s">
        <v>4578</v>
      </c>
      <c r="H43" t="s">
        <v>4586</v>
      </c>
      <c r="I43" t="s">
        <v>4593</v>
      </c>
      <c r="J43">
        <v>3</v>
      </c>
      <c r="K43">
        <v>111.31</v>
      </c>
      <c r="L43">
        <v>0</v>
      </c>
      <c r="M43">
        <v>14.09</v>
      </c>
      <c r="N43" t="s">
        <v>5463</v>
      </c>
      <c r="O43" t="s">
        <v>5481</v>
      </c>
      <c r="P43" t="s">
        <v>5477</v>
      </c>
      <c r="Q43" s="4">
        <v>333.93</v>
      </c>
    </row>
    <row r="44" spans="1:17" x14ac:dyDescent="0.3">
      <c r="A44" t="s">
        <v>57</v>
      </c>
      <c r="B44" t="s">
        <v>1457</v>
      </c>
      <c r="C44" s="1">
        <v>45774</v>
      </c>
      <c r="D44" t="s">
        <v>2664</v>
      </c>
      <c r="E44" t="s">
        <v>3302</v>
      </c>
      <c r="F44" t="s">
        <v>4549</v>
      </c>
      <c r="G44" t="s">
        <v>4574</v>
      </c>
      <c r="H44" t="s">
        <v>4587</v>
      </c>
      <c r="I44" t="s">
        <v>4596</v>
      </c>
      <c r="J44">
        <v>4</v>
      </c>
      <c r="K44">
        <v>15.09</v>
      </c>
      <c r="L44">
        <v>0</v>
      </c>
      <c r="M44">
        <v>12</v>
      </c>
      <c r="N44" t="s">
        <v>5464</v>
      </c>
      <c r="O44" t="s">
        <v>5470</v>
      </c>
      <c r="P44" t="s">
        <v>5477</v>
      </c>
      <c r="Q44" s="4">
        <v>60.36</v>
      </c>
    </row>
    <row r="45" spans="1:17" x14ac:dyDescent="0.3">
      <c r="A45" t="s">
        <v>58</v>
      </c>
      <c r="B45" t="s">
        <v>1458</v>
      </c>
      <c r="C45" s="1">
        <v>45615</v>
      </c>
      <c r="D45" t="s">
        <v>2665</v>
      </c>
      <c r="E45" t="s">
        <v>3303</v>
      </c>
      <c r="F45" t="s">
        <v>4549</v>
      </c>
      <c r="G45" t="s">
        <v>4573</v>
      </c>
      <c r="H45" t="s">
        <v>4586</v>
      </c>
      <c r="I45" t="s">
        <v>4599</v>
      </c>
      <c r="J45">
        <v>2</v>
      </c>
      <c r="K45">
        <v>252.52</v>
      </c>
      <c r="L45">
        <v>0</v>
      </c>
      <c r="M45">
        <v>11.03</v>
      </c>
      <c r="N45" t="s">
        <v>5467</v>
      </c>
      <c r="O45" t="s">
        <v>5471</v>
      </c>
      <c r="P45" t="s">
        <v>5477</v>
      </c>
      <c r="Q45" s="4">
        <v>505.04</v>
      </c>
    </row>
    <row r="46" spans="1:17" x14ac:dyDescent="0.3">
      <c r="A46" t="s">
        <v>59</v>
      </c>
      <c r="B46" t="s">
        <v>1459</v>
      </c>
      <c r="C46" s="1">
        <v>45900</v>
      </c>
      <c r="D46" t="s">
        <v>2622</v>
      </c>
      <c r="E46" t="s">
        <v>3304</v>
      </c>
      <c r="F46" t="s">
        <v>4565</v>
      </c>
      <c r="G46" t="s">
        <v>4575</v>
      </c>
      <c r="H46" t="s">
        <v>4586</v>
      </c>
      <c r="I46" t="s">
        <v>4593</v>
      </c>
      <c r="J46">
        <v>1</v>
      </c>
      <c r="K46">
        <v>110.76</v>
      </c>
      <c r="L46">
        <v>0</v>
      </c>
      <c r="M46">
        <v>11.59</v>
      </c>
      <c r="N46" t="s">
        <v>5462</v>
      </c>
      <c r="O46" t="s">
        <v>5474</v>
      </c>
      <c r="P46" t="s">
        <v>5476</v>
      </c>
      <c r="Q46" s="4">
        <v>110.76</v>
      </c>
    </row>
    <row r="47" spans="1:17" x14ac:dyDescent="0.3">
      <c r="A47" t="s">
        <v>60</v>
      </c>
      <c r="B47" t="s">
        <v>1460</v>
      </c>
      <c r="C47" s="1">
        <v>45796</v>
      </c>
      <c r="D47" t="s">
        <v>3012</v>
      </c>
      <c r="E47" t="s">
        <v>3305</v>
      </c>
      <c r="F47" t="s">
        <v>4566</v>
      </c>
      <c r="G47" t="s">
        <v>4577</v>
      </c>
      <c r="H47" t="s">
        <v>4585</v>
      </c>
      <c r="I47" t="s">
        <v>4592</v>
      </c>
      <c r="J47">
        <v>2</v>
      </c>
      <c r="K47">
        <v>6.78</v>
      </c>
      <c r="L47">
        <v>0.1</v>
      </c>
      <c r="M47">
        <v>9.35</v>
      </c>
      <c r="N47" t="s">
        <v>5468</v>
      </c>
      <c r="O47" t="s">
        <v>5470</v>
      </c>
      <c r="P47" t="s">
        <v>5477</v>
      </c>
      <c r="Q47" s="4">
        <v>12.204000000000001</v>
      </c>
    </row>
    <row r="48" spans="1:17" x14ac:dyDescent="0.3">
      <c r="A48" t="s">
        <v>61</v>
      </c>
      <c r="B48" t="s">
        <v>1461</v>
      </c>
      <c r="C48" s="1">
        <v>45658</v>
      </c>
      <c r="D48" t="s">
        <v>2750</v>
      </c>
      <c r="E48" t="s">
        <v>3306</v>
      </c>
      <c r="F48" t="s">
        <v>4564</v>
      </c>
      <c r="G48" t="s">
        <v>4578</v>
      </c>
      <c r="H48" t="s">
        <v>5481</v>
      </c>
      <c r="I48" t="s">
        <v>4604</v>
      </c>
      <c r="J48">
        <v>10</v>
      </c>
      <c r="K48">
        <v>22.04</v>
      </c>
      <c r="L48">
        <v>0.15</v>
      </c>
      <c r="M48">
        <v>5.57</v>
      </c>
      <c r="N48" t="s">
        <v>5464</v>
      </c>
      <c r="O48" t="s">
        <v>5481</v>
      </c>
      <c r="P48" t="s">
        <v>5475</v>
      </c>
      <c r="Q48" s="4">
        <v>187.33999999999997</v>
      </c>
    </row>
    <row r="49" spans="1:17" x14ac:dyDescent="0.3">
      <c r="A49" t="s">
        <v>62</v>
      </c>
      <c r="B49" t="s">
        <v>1462</v>
      </c>
      <c r="C49" s="1">
        <v>45378</v>
      </c>
      <c r="D49" t="s">
        <v>2668</v>
      </c>
      <c r="E49" t="s">
        <v>3307</v>
      </c>
      <c r="F49" t="s">
        <v>4564</v>
      </c>
      <c r="G49" t="s">
        <v>4573</v>
      </c>
      <c r="H49" t="s">
        <v>4585</v>
      </c>
      <c r="I49" t="s">
        <v>4590</v>
      </c>
      <c r="J49">
        <v>4</v>
      </c>
      <c r="K49">
        <v>13.81</v>
      </c>
      <c r="L49">
        <v>0</v>
      </c>
      <c r="M49">
        <v>0</v>
      </c>
      <c r="N49" t="s">
        <v>5481</v>
      </c>
      <c r="O49" t="s">
        <v>5481</v>
      </c>
      <c r="P49" t="s">
        <v>5479</v>
      </c>
      <c r="Q49" s="4">
        <v>55.24</v>
      </c>
    </row>
    <row r="50" spans="1:17" x14ac:dyDescent="0.3">
      <c r="A50" t="s">
        <v>63</v>
      </c>
      <c r="B50" t="s">
        <v>1463</v>
      </c>
      <c r="C50" s="1">
        <v>45389</v>
      </c>
      <c r="D50" t="s">
        <v>2669</v>
      </c>
      <c r="E50" t="s">
        <v>3308</v>
      </c>
      <c r="F50" t="s">
        <v>4564</v>
      </c>
      <c r="G50" t="s">
        <v>4578</v>
      </c>
      <c r="H50" t="s">
        <v>4587</v>
      </c>
      <c r="I50" t="s">
        <v>4606</v>
      </c>
      <c r="J50">
        <v>5</v>
      </c>
      <c r="K50">
        <v>29.18</v>
      </c>
      <c r="L50">
        <v>0</v>
      </c>
      <c r="M50">
        <v>8.48</v>
      </c>
      <c r="N50" t="s">
        <v>5481</v>
      </c>
      <c r="O50" t="s">
        <v>5470</v>
      </c>
      <c r="P50" t="s">
        <v>5477</v>
      </c>
      <c r="Q50" s="4">
        <v>145.9</v>
      </c>
    </row>
    <row r="51" spans="1:17" x14ac:dyDescent="0.3">
      <c r="A51" t="s">
        <v>64</v>
      </c>
      <c r="B51" t="s">
        <v>1464</v>
      </c>
      <c r="C51" s="1">
        <v>45546</v>
      </c>
      <c r="D51" t="s">
        <v>3013</v>
      </c>
      <c r="E51" t="s">
        <v>3309</v>
      </c>
      <c r="F51" t="s">
        <v>4549</v>
      </c>
      <c r="G51" t="s">
        <v>5481</v>
      </c>
      <c r="H51" t="s">
        <v>4584</v>
      </c>
      <c r="I51" t="s">
        <v>4589</v>
      </c>
      <c r="J51">
        <v>4</v>
      </c>
      <c r="K51">
        <v>34.75</v>
      </c>
      <c r="L51">
        <v>0.05</v>
      </c>
      <c r="M51">
        <v>2.1</v>
      </c>
      <c r="N51" t="s">
        <v>5464</v>
      </c>
      <c r="O51" t="s">
        <v>5472</v>
      </c>
      <c r="P51" t="s">
        <v>5477</v>
      </c>
      <c r="Q51" s="4">
        <v>132.04999999999998</v>
      </c>
    </row>
    <row r="52" spans="1:17" x14ac:dyDescent="0.3">
      <c r="A52" t="s">
        <v>65</v>
      </c>
      <c r="B52" t="s">
        <v>1465</v>
      </c>
      <c r="C52" s="1">
        <v>45920</v>
      </c>
      <c r="D52" t="s">
        <v>2671</v>
      </c>
      <c r="E52" t="s">
        <v>3310</v>
      </c>
      <c r="F52" t="s">
        <v>4564</v>
      </c>
      <c r="G52" t="s">
        <v>4578</v>
      </c>
      <c r="H52" t="s">
        <v>4586</v>
      </c>
      <c r="I52" t="s">
        <v>4593</v>
      </c>
      <c r="J52">
        <v>10</v>
      </c>
      <c r="K52">
        <v>113.36</v>
      </c>
      <c r="L52">
        <v>0</v>
      </c>
      <c r="M52">
        <v>3.09</v>
      </c>
      <c r="N52" t="s">
        <v>5467</v>
      </c>
      <c r="O52" t="s">
        <v>5473</v>
      </c>
      <c r="P52" t="s">
        <v>5477</v>
      </c>
      <c r="Q52" s="4">
        <v>1133.5999999999999</v>
      </c>
    </row>
    <row r="53" spans="1:17" x14ac:dyDescent="0.3">
      <c r="A53" t="s">
        <v>66</v>
      </c>
      <c r="B53" t="s">
        <v>1466</v>
      </c>
      <c r="C53" s="1">
        <v>45469</v>
      </c>
      <c r="D53" t="s">
        <v>2672</v>
      </c>
      <c r="E53" t="s">
        <v>3311</v>
      </c>
      <c r="F53" t="s">
        <v>4565</v>
      </c>
      <c r="G53" t="s">
        <v>5481</v>
      </c>
      <c r="H53" t="s">
        <v>4584</v>
      </c>
      <c r="I53" t="s">
        <v>4603</v>
      </c>
      <c r="J53">
        <v>4</v>
      </c>
      <c r="K53">
        <v>9.43</v>
      </c>
      <c r="L53">
        <v>0.15</v>
      </c>
      <c r="M53">
        <v>2.12</v>
      </c>
      <c r="N53" t="s">
        <v>5468</v>
      </c>
      <c r="O53" t="s">
        <v>5474</v>
      </c>
      <c r="P53" t="s">
        <v>5475</v>
      </c>
      <c r="Q53" s="4">
        <v>32.061999999999998</v>
      </c>
    </row>
    <row r="54" spans="1:17" x14ac:dyDescent="0.3">
      <c r="A54" t="s">
        <v>67</v>
      </c>
      <c r="B54" t="s">
        <v>1467</v>
      </c>
      <c r="C54" s="1">
        <v>45662</v>
      </c>
      <c r="D54" t="s">
        <v>2673</v>
      </c>
      <c r="E54" t="s">
        <v>3312</v>
      </c>
      <c r="F54" t="s">
        <v>4549</v>
      </c>
      <c r="G54" t="s">
        <v>4574</v>
      </c>
      <c r="H54" t="s">
        <v>4583</v>
      </c>
      <c r="I54" t="s">
        <v>4604</v>
      </c>
      <c r="J54">
        <v>4</v>
      </c>
      <c r="K54">
        <v>22.57</v>
      </c>
      <c r="L54">
        <v>0</v>
      </c>
      <c r="M54">
        <v>0.26</v>
      </c>
      <c r="N54" t="s">
        <v>5481</v>
      </c>
      <c r="O54" t="s">
        <v>5474</v>
      </c>
      <c r="P54" t="s">
        <v>5477</v>
      </c>
      <c r="Q54" s="4">
        <v>90.28</v>
      </c>
    </row>
    <row r="55" spans="1:17" x14ac:dyDescent="0.3">
      <c r="A55" t="s">
        <v>68</v>
      </c>
      <c r="B55" t="s">
        <v>1468</v>
      </c>
      <c r="C55" s="1">
        <v>45655</v>
      </c>
      <c r="D55" t="s">
        <v>2674</v>
      </c>
      <c r="E55" t="s">
        <v>3313</v>
      </c>
      <c r="F55" t="s">
        <v>4549</v>
      </c>
      <c r="G55" t="s">
        <v>4573</v>
      </c>
      <c r="H55" t="s">
        <v>4584</v>
      </c>
      <c r="I55" t="s">
        <v>4601</v>
      </c>
      <c r="J55">
        <v>2</v>
      </c>
      <c r="K55">
        <v>196.74</v>
      </c>
      <c r="L55">
        <v>0</v>
      </c>
      <c r="M55">
        <v>13.29</v>
      </c>
      <c r="N55" t="s">
        <v>5466</v>
      </c>
      <c r="O55" t="s">
        <v>5473</v>
      </c>
      <c r="P55" t="s">
        <v>5477</v>
      </c>
      <c r="Q55" s="4">
        <v>393.48</v>
      </c>
    </row>
    <row r="56" spans="1:17" x14ac:dyDescent="0.3">
      <c r="A56" t="s">
        <v>69</v>
      </c>
      <c r="B56" t="s">
        <v>1469</v>
      </c>
      <c r="C56" s="1">
        <v>45506</v>
      </c>
      <c r="D56" t="s">
        <v>2675</v>
      </c>
      <c r="E56" t="s">
        <v>3314</v>
      </c>
      <c r="F56" t="s">
        <v>4549</v>
      </c>
      <c r="G56" t="s">
        <v>4573</v>
      </c>
      <c r="H56" t="s">
        <v>4586</v>
      </c>
      <c r="I56" t="s">
        <v>4599</v>
      </c>
      <c r="J56">
        <v>10</v>
      </c>
      <c r="K56">
        <v>258.27999999999997</v>
      </c>
      <c r="L56">
        <v>0</v>
      </c>
      <c r="M56">
        <v>7.71</v>
      </c>
      <c r="N56" t="s">
        <v>5468</v>
      </c>
      <c r="O56" t="s">
        <v>5470</v>
      </c>
      <c r="P56" t="s">
        <v>5479</v>
      </c>
      <c r="Q56" s="4">
        <v>2582.7999999999997</v>
      </c>
    </row>
    <row r="57" spans="1:17" x14ac:dyDescent="0.3">
      <c r="A57" t="s">
        <v>70</v>
      </c>
      <c r="B57" t="s">
        <v>1470</v>
      </c>
      <c r="C57" s="1">
        <v>45878</v>
      </c>
      <c r="D57" t="s">
        <v>2877</v>
      </c>
      <c r="E57" t="s">
        <v>3315</v>
      </c>
      <c r="F57" t="s">
        <v>4564</v>
      </c>
      <c r="G57" t="s">
        <v>4573</v>
      </c>
      <c r="H57" t="s">
        <v>4583</v>
      </c>
      <c r="I57" t="s">
        <v>4604</v>
      </c>
      <c r="J57">
        <v>2</v>
      </c>
      <c r="K57">
        <v>23.25</v>
      </c>
      <c r="L57">
        <v>0.15</v>
      </c>
      <c r="M57">
        <v>1.58</v>
      </c>
      <c r="N57" t="s">
        <v>5481</v>
      </c>
      <c r="O57" t="s">
        <v>5470</v>
      </c>
      <c r="P57" t="s">
        <v>5477</v>
      </c>
      <c r="Q57" s="4">
        <v>39.524999999999999</v>
      </c>
    </row>
    <row r="58" spans="1:17" x14ac:dyDescent="0.3">
      <c r="A58" t="s">
        <v>71</v>
      </c>
      <c r="B58" t="s">
        <v>1471</v>
      </c>
      <c r="C58" s="1">
        <v>45734</v>
      </c>
      <c r="D58" t="s">
        <v>2677</v>
      </c>
      <c r="E58" t="s">
        <v>3316</v>
      </c>
      <c r="F58" t="s">
        <v>4566</v>
      </c>
      <c r="G58" t="s">
        <v>4582</v>
      </c>
      <c r="H58" t="s">
        <v>4587</v>
      </c>
      <c r="I58" t="s">
        <v>4606</v>
      </c>
      <c r="J58">
        <v>1</v>
      </c>
      <c r="K58">
        <v>29.09</v>
      </c>
      <c r="L58">
        <v>0.05</v>
      </c>
      <c r="M58">
        <v>14.47</v>
      </c>
      <c r="N58" t="s">
        <v>5481</v>
      </c>
      <c r="O58" t="s">
        <v>5469</v>
      </c>
      <c r="P58" t="s">
        <v>5477</v>
      </c>
      <c r="Q58" s="4">
        <v>27.635499999999997</v>
      </c>
    </row>
    <row r="59" spans="1:17" x14ac:dyDescent="0.3">
      <c r="A59" t="s">
        <v>72</v>
      </c>
      <c r="B59" t="s">
        <v>1472</v>
      </c>
      <c r="C59" s="1">
        <v>45909</v>
      </c>
      <c r="D59" t="s">
        <v>2678</v>
      </c>
      <c r="E59" t="s">
        <v>5481</v>
      </c>
      <c r="F59" t="s">
        <v>4569</v>
      </c>
      <c r="G59" t="s">
        <v>4581</v>
      </c>
      <c r="H59" t="s">
        <v>4585</v>
      </c>
      <c r="I59" t="s">
        <v>4602</v>
      </c>
      <c r="J59">
        <v>3</v>
      </c>
      <c r="K59">
        <v>4.3600000000000003</v>
      </c>
      <c r="L59">
        <v>0.05</v>
      </c>
      <c r="M59">
        <v>6.09</v>
      </c>
      <c r="N59" t="s">
        <v>5464</v>
      </c>
      <c r="O59" t="s">
        <v>5469</v>
      </c>
      <c r="P59" t="s">
        <v>5477</v>
      </c>
      <c r="Q59" s="4">
        <v>12.426000000000002</v>
      </c>
    </row>
    <row r="60" spans="1:17" x14ac:dyDescent="0.3">
      <c r="A60" t="s">
        <v>73</v>
      </c>
      <c r="B60" t="s">
        <v>1473</v>
      </c>
      <c r="C60" s="1">
        <v>45363</v>
      </c>
      <c r="D60" t="s">
        <v>3074</v>
      </c>
      <c r="E60" t="s">
        <v>3317</v>
      </c>
      <c r="F60" t="s">
        <v>4564</v>
      </c>
      <c r="G60" t="s">
        <v>4573</v>
      </c>
      <c r="H60" t="s">
        <v>4587</v>
      </c>
      <c r="I60" t="s">
        <v>4606</v>
      </c>
      <c r="J60">
        <v>3</v>
      </c>
      <c r="K60">
        <v>29.09</v>
      </c>
      <c r="L60">
        <v>0.1</v>
      </c>
      <c r="M60">
        <v>6</v>
      </c>
      <c r="N60" t="s">
        <v>5465</v>
      </c>
      <c r="O60" t="s">
        <v>5469</v>
      </c>
      <c r="P60" t="s">
        <v>5477</v>
      </c>
      <c r="Q60" s="4">
        <v>78.542999999999992</v>
      </c>
    </row>
    <row r="61" spans="1:17" x14ac:dyDescent="0.3">
      <c r="A61" t="s">
        <v>74</v>
      </c>
      <c r="B61" t="s">
        <v>1474</v>
      </c>
      <c r="C61" s="1">
        <v>45762</v>
      </c>
      <c r="D61" t="s">
        <v>2680</v>
      </c>
      <c r="E61" t="s">
        <v>3318</v>
      </c>
      <c r="F61" t="s">
        <v>4569</v>
      </c>
      <c r="G61" t="s">
        <v>5481</v>
      </c>
      <c r="H61" t="s">
        <v>4585</v>
      </c>
      <c r="I61" t="s">
        <v>4591</v>
      </c>
      <c r="J61">
        <v>1</v>
      </c>
      <c r="K61">
        <v>8.01</v>
      </c>
      <c r="L61">
        <v>0.1</v>
      </c>
      <c r="M61">
        <v>4.24</v>
      </c>
      <c r="N61" t="s">
        <v>5464</v>
      </c>
      <c r="O61" t="s">
        <v>5469</v>
      </c>
      <c r="P61" t="s">
        <v>5477</v>
      </c>
      <c r="Q61" s="4">
        <v>7.2089999999999996</v>
      </c>
    </row>
    <row r="62" spans="1:17" x14ac:dyDescent="0.3">
      <c r="A62" t="s">
        <v>75</v>
      </c>
      <c r="B62" t="s">
        <v>1475</v>
      </c>
      <c r="C62" s="1">
        <v>45732</v>
      </c>
      <c r="D62" t="s">
        <v>2984</v>
      </c>
      <c r="E62" t="s">
        <v>3319</v>
      </c>
      <c r="F62" t="s">
        <v>4565</v>
      </c>
      <c r="G62" t="s">
        <v>4579</v>
      </c>
      <c r="H62" t="s">
        <v>4584</v>
      </c>
      <c r="I62" t="s">
        <v>4607</v>
      </c>
      <c r="J62">
        <v>1</v>
      </c>
      <c r="K62">
        <v>25.97</v>
      </c>
      <c r="L62">
        <v>0.05</v>
      </c>
      <c r="M62">
        <v>14.06</v>
      </c>
      <c r="N62" t="s">
        <v>5468</v>
      </c>
      <c r="O62" t="s">
        <v>5470</v>
      </c>
      <c r="P62" t="s">
        <v>5477</v>
      </c>
      <c r="Q62" s="4">
        <v>24.671499999999998</v>
      </c>
    </row>
    <row r="63" spans="1:17" x14ac:dyDescent="0.3">
      <c r="A63" t="s">
        <v>76</v>
      </c>
      <c r="B63" t="s">
        <v>1476</v>
      </c>
      <c r="C63" s="1">
        <v>45420</v>
      </c>
      <c r="D63" t="s">
        <v>2682</v>
      </c>
      <c r="E63" t="s">
        <v>3320</v>
      </c>
      <c r="F63" t="s">
        <v>4566</v>
      </c>
      <c r="G63" t="s">
        <v>4573</v>
      </c>
      <c r="H63" t="s">
        <v>4583</v>
      </c>
      <c r="I63" t="s">
        <v>4605</v>
      </c>
      <c r="J63">
        <v>1</v>
      </c>
      <c r="K63">
        <v>43.47</v>
      </c>
      <c r="L63">
        <v>0.1</v>
      </c>
      <c r="M63">
        <v>5.93</v>
      </c>
      <c r="N63" t="s">
        <v>5465</v>
      </c>
      <c r="O63" t="s">
        <v>5481</v>
      </c>
      <c r="P63" t="s">
        <v>5477</v>
      </c>
      <c r="Q63" s="4">
        <v>39.122999999999998</v>
      </c>
    </row>
    <row r="64" spans="1:17" x14ac:dyDescent="0.3">
      <c r="A64" t="s">
        <v>77</v>
      </c>
      <c r="B64" t="s">
        <v>1477</v>
      </c>
      <c r="C64" s="1">
        <v>45613</v>
      </c>
      <c r="D64" t="s">
        <v>3184</v>
      </c>
      <c r="E64" t="s">
        <v>3321</v>
      </c>
      <c r="F64" t="s">
        <v>4549</v>
      </c>
      <c r="G64" t="s">
        <v>4574</v>
      </c>
      <c r="H64" t="s">
        <v>4586</v>
      </c>
      <c r="I64" t="s">
        <v>4593</v>
      </c>
      <c r="J64">
        <v>1</v>
      </c>
      <c r="K64">
        <v>111.43</v>
      </c>
      <c r="L64">
        <v>0</v>
      </c>
      <c r="M64">
        <v>11.26</v>
      </c>
      <c r="N64" t="s">
        <v>5462</v>
      </c>
      <c r="O64" t="s">
        <v>5481</v>
      </c>
      <c r="P64" t="s">
        <v>5477</v>
      </c>
      <c r="Q64" s="4">
        <v>111.43</v>
      </c>
    </row>
    <row r="65" spans="1:17" x14ac:dyDescent="0.3">
      <c r="A65" t="s">
        <v>78</v>
      </c>
      <c r="B65" t="s">
        <v>1478</v>
      </c>
      <c r="C65" s="1">
        <v>45999</v>
      </c>
      <c r="D65" t="s">
        <v>2684</v>
      </c>
      <c r="E65" t="s">
        <v>3322</v>
      </c>
      <c r="F65" t="s">
        <v>4569</v>
      </c>
      <c r="G65" t="s">
        <v>4580</v>
      </c>
      <c r="H65" t="s">
        <v>4584</v>
      </c>
      <c r="I65" t="s">
        <v>4608</v>
      </c>
      <c r="J65">
        <v>10</v>
      </c>
      <c r="K65">
        <v>18.53</v>
      </c>
      <c r="L65">
        <v>0</v>
      </c>
      <c r="M65">
        <v>0.37</v>
      </c>
      <c r="N65" t="s">
        <v>5466</v>
      </c>
      <c r="O65" t="s">
        <v>5472</v>
      </c>
      <c r="P65" t="s">
        <v>5476</v>
      </c>
      <c r="Q65" s="4">
        <v>185.3</v>
      </c>
    </row>
    <row r="66" spans="1:17" x14ac:dyDescent="0.3">
      <c r="A66" t="s">
        <v>79</v>
      </c>
      <c r="B66" t="s">
        <v>1479</v>
      </c>
      <c r="C66" s="1">
        <v>45744</v>
      </c>
      <c r="D66" t="s">
        <v>2685</v>
      </c>
      <c r="E66" t="s">
        <v>3323</v>
      </c>
      <c r="F66" t="s">
        <v>4549</v>
      </c>
      <c r="G66" t="s">
        <v>4573</v>
      </c>
      <c r="H66" t="s">
        <v>4584</v>
      </c>
      <c r="I66" t="s">
        <v>4589</v>
      </c>
      <c r="J66">
        <v>3</v>
      </c>
      <c r="K66">
        <v>35.15</v>
      </c>
      <c r="L66">
        <v>0.1</v>
      </c>
      <c r="M66">
        <v>7.18</v>
      </c>
      <c r="N66" t="s">
        <v>5467</v>
      </c>
      <c r="O66" t="s">
        <v>5474</v>
      </c>
      <c r="P66" t="s">
        <v>5477</v>
      </c>
      <c r="Q66" s="4">
        <v>94.904999999999987</v>
      </c>
    </row>
    <row r="67" spans="1:17" x14ac:dyDescent="0.3">
      <c r="A67" t="s">
        <v>80</v>
      </c>
      <c r="B67" t="s">
        <v>1480</v>
      </c>
      <c r="C67" s="1">
        <v>45904</v>
      </c>
      <c r="D67" t="s">
        <v>2686</v>
      </c>
      <c r="E67" t="s">
        <v>3324</v>
      </c>
      <c r="F67" t="s">
        <v>4566</v>
      </c>
      <c r="G67" t="s">
        <v>4577</v>
      </c>
      <c r="H67" t="s">
        <v>4587</v>
      </c>
      <c r="I67" t="s">
        <v>4600</v>
      </c>
      <c r="J67">
        <v>1</v>
      </c>
      <c r="K67">
        <v>13.63</v>
      </c>
      <c r="L67">
        <v>0.1</v>
      </c>
      <c r="M67">
        <v>8.17</v>
      </c>
      <c r="N67" t="s">
        <v>5465</v>
      </c>
      <c r="O67" t="s">
        <v>5471</v>
      </c>
      <c r="P67" t="s">
        <v>5475</v>
      </c>
      <c r="Q67" s="4">
        <v>12.267000000000001</v>
      </c>
    </row>
    <row r="68" spans="1:17" x14ac:dyDescent="0.3">
      <c r="A68" t="s">
        <v>81</v>
      </c>
      <c r="B68" t="s">
        <v>1481</v>
      </c>
      <c r="C68" s="1">
        <v>45386</v>
      </c>
      <c r="D68" t="s">
        <v>2687</v>
      </c>
      <c r="E68" t="s">
        <v>3325</v>
      </c>
      <c r="F68" t="s">
        <v>4564</v>
      </c>
      <c r="G68" t="s">
        <v>4578</v>
      </c>
      <c r="H68" t="s">
        <v>4587</v>
      </c>
      <c r="I68" t="s">
        <v>4600</v>
      </c>
      <c r="J68">
        <v>1</v>
      </c>
      <c r="K68">
        <v>12.89</v>
      </c>
      <c r="L68">
        <v>0.15</v>
      </c>
      <c r="M68">
        <v>10.73</v>
      </c>
      <c r="N68" t="s">
        <v>5466</v>
      </c>
      <c r="O68" t="s">
        <v>5473</v>
      </c>
      <c r="P68" t="s">
        <v>5476</v>
      </c>
      <c r="Q68" s="4">
        <v>10.9565</v>
      </c>
    </row>
    <row r="69" spans="1:17" x14ac:dyDescent="0.3">
      <c r="A69" t="s">
        <v>82</v>
      </c>
      <c r="B69" t="s">
        <v>1482</v>
      </c>
      <c r="C69" s="1">
        <v>46021</v>
      </c>
      <c r="D69" t="s">
        <v>2688</v>
      </c>
      <c r="E69" t="s">
        <v>3326</v>
      </c>
      <c r="F69" t="s">
        <v>4549</v>
      </c>
      <c r="G69" t="s">
        <v>4573</v>
      </c>
      <c r="H69" t="s">
        <v>4586</v>
      </c>
      <c r="I69" t="s">
        <v>4593</v>
      </c>
      <c r="J69">
        <v>4</v>
      </c>
      <c r="K69">
        <v>109.17</v>
      </c>
      <c r="L69">
        <v>0</v>
      </c>
      <c r="N69" t="s">
        <v>5466</v>
      </c>
      <c r="O69" t="s">
        <v>5473</v>
      </c>
      <c r="P69" t="s">
        <v>5477</v>
      </c>
      <c r="Q69" s="4">
        <v>436.68</v>
      </c>
    </row>
    <row r="70" spans="1:17" x14ac:dyDescent="0.3">
      <c r="A70" t="s">
        <v>71</v>
      </c>
      <c r="B70" t="s">
        <v>1471</v>
      </c>
      <c r="C70" s="1">
        <v>45734</v>
      </c>
      <c r="D70" t="s">
        <v>2677</v>
      </c>
      <c r="E70" t="s">
        <v>3316</v>
      </c>
      <c r="F70" t="s">
        <v>4566</v>
      </c>
      <c r="G70" t="s">
        <v>4582</v>
      </c>
      <c r="H70" t="s">
        <v>4587</v>
      </c>
      <c r="I70" t="s">
        <v>4606</v>
      </c>
      <c r="J70">
        <v>1</v>
      </c>
      <c r="K70">
        <v>29.09</v>
      </c>
      <c r="L70">
        <v>0.05</v>
      </c>
      <c r="M70">
        <v>14.47</v>
      </c>
      <c r="N70" t="s">
        <v>5481</v>
      </c>
      <c r="O70" t="s">
        <v>5469</v>
      </c>
      <c r="P70" t="s">
        <v>5477</v>
      </c>
      <c r="Q70" s="4">
        <v>27.635499999999997</v>
      </c>
    </row>
    <row r="71" spans="1:17" x14ac:dyDescent="0.3">
      <c r="A71" t="s">
        <v>83</v>
      </c>
      <c r="B71" t="s">
        <v>1483</v>
      </c>
      <c r="C71" s="1">
        <v>45321</v>
      </c>
      <c r="D71" t="s">
        <v>2689</v>
      </c>
      <c r="E71" t="s">
        <v>3327</v>
      </c>
      <c r="F71" t="s">
        <v>4549</v>
      </c>
      <c r="G71" t="s">
        <v>4573</v>
      </c>
      <c r="H71" t="s">
        <v>4585</v>
      </c>
      <c r="I71" t="s">
        <v>4602</v>
      </c>
      <c r="J71">
        <v>5</v>
      </c>
      <c r="K71">
        <v>4.05</v>
      </c>
      <c r="L71">
        <v>0.05</v>
      </c>
      <c r="M71">
        <v>9.8800000000000008</v>
      </c>
      <c r="N71" t="s">
        <v>5464</v>
      </c>
      <c r="O71" t="s">
        <v>5471</v>
      </c>
      <c r="P71" t="s">
        <v>5477</v>
      </c>
      <c r="Q71" s="4">
        <v>19.237500000000001</v>
      </c>
    </row>
    <row r="72" spans="1:17" x14ac:dyDescent="0.3">
      <c r="A72" t="s">
        <v>84</v>
      </c>
      <c r="B72" t="s">
        <v>1484</v>
      </c>
      <c r="C72" s="1">
        <v>45342</v>
      </c>
      <c r="D72" t="s">
        <v>2690</v>
      </c>
      <c r="E72" t="s">
        <v>3328</v>
      </c>
      <c r="F72" t="s">
        <v>4566</v>
      </c>
      <c r="G72" t="s">
        <v>4582</v>
      </c>
      <c r="H72" t="s">
        <v>4583</v>
      </c>
      <c r="I72" t="s">
        <v>4588</v>
      </c>
      <c r="J72">
        <v>1</v>
      </c>
      <c r="K72">
        <v>38.19</v>
      </c>
      <c r="L72">
        <v>0.15</v>
      </c>
      <c r="N72" t="s">
        <v>5462</v>
      </c>
      <c r="O72" t="s">
        <v>5470</v>
      </c>
      <c r="P72" t="s">
        <v>5477</v>
      </c>
      <c r="Q72" s="4">
        <v>32.461499999999994</v>
      </c>
    </row>
    <row r="73" spans="1:17" x14ac:dyDescent="0.3">
      <c r="A73" t="s">
        <v>85</v>
      </c>
      <c r="B73" t="s">
        <v>1485</v>
      </c>
      <c r="C73" s="1">
        <v>45779</v>
      </c>
      <c r="D73" t="s">
        <v>2691</v>
      </c>
      <c r="E73" t="s">
        <v>3329</v>
      </c>
      <c r="F73" t="s">
        <v>4565</v>
      </c>
      <c r="G73" t="s">
        <v>4575</v>
      </c>
      <c r="H73" t="s">
        <v>4586</v>
      </c>
      <c r="I73" t="s">
        <v>4593</v>
      </c>
      <c r="J73">
        <v>5</v>
      </c>
      <c r="K73">
        <v>105.77</v>
      </c>
      <c r="L73">
        <v>0.1</v>
      </c>
      <c r="M73">
        <v>14.98</v>
      </c>
      <c r="N73" t="s">
        <v>5481</v>
      </c>
      <c r="O73" t="s">
        <v>5471</v>
      </c>
      <c r="P73" t="s">
        <v>5477</v>
      </c>
      <c r="Q73" s="4">
        <v>475.96500000000003</v>
      </c>
    </row>
    <row r="74" spans="1:17" x14ac:dyDescent="0.3">
      <c r="A74" t="s">
        <v>86</v>
      </c>
      <c r="B74" t="s">
        <v>1486</v>
      </c>
      <c r="C74" s="1">
        <v>45878</v>
      </c>
      <c r="D74" t="s">
        <v>2692</v>
      </c>
      <c r="E74" t="s">
        <v>3330</v>
      </c>
      <c r="F74" t="s">
        <v>4566</v>
      </c>
      <c r="G74" t="s">
        <v>4582</v>
      </c>
      <c r="H74" t="s">
        <v>4585</v>
      </c>
      <c r="I74" t="s">
        <v>4598</v>
      </c>
      <c r="J74">
        <v>2</v>
      </c>
      <c r="K74">
        <v>3.14</v>
      </c>
      <c r="L74">
        <v>0</v>
      </c>
      <c r="M74">
        <v>3.56</v>
      </c>
      <c r="N74" t="s">
        <v>5463</v>
      </c>
      <c r="O74" t="s">
        <v>5473</v>
      </c>
      <c r="P74" t="s">
        <v>5477</v>
      </c>
      <c r="Q74" s="4">
        <v>6.28</v>
      </c>
    </row>
    <row r="75" spans="1:17" x14ac:dyDescent="0.3">
      <c r="A75" t="s">
        <v>87</v>
      </c>
      <c r="B75" t="s">
        <v>1487</v>
      </c>
      <c r="C75" s="1">
        <v>46003</v>
      </c>
      <c r="D75" t="s">
        <v>2853</v>
      </c>
      <c r="E75" t="s">
        <v>3331</v>
      </c>
      <c r="F75" t="s">
        <v>4569</v>
      </c>
      <c r="G75" t="s">
        <v>4580</v>
      </c>
      <c r="H75" t="s">
        <v>4584</v>
      </c>
      <c r="I75" t="s">
        <v>4589</v>
      </c>
      <c r="J75">
        <v>1</v>
      </c>
      <c r="K75">
        <v>35.840000000000003</v>
      </c>
      <c r="L75">
        <v>0.05</v>
      </c>
      <c r="M75">
        <v>10.54</v>
      </c>
      <c r="N75" t="s">
        <v>5481</v>
      </c>
      <c r="O75" t="s">
        <v>5469</v>
      </c>
      <c r="P75" t="s">
        <v>5477</v>
      </c>
      <c r="Q75" s="4">
        <v>34.048000000000002</v>
      </c>
    </row>
    <row r="76" spans="1:17" x14ac:dyDescent="0.3">
      <c r="A76" t="s">
        <v>88</v>
      </c>
      <c r="B76" t="s">
        <v>1488</v>
      </c>
      <c r="C76" s="1">
        <v>45784</v>
      </c>
      <c r="D76" t="s">
        <v>2694</v>
      </c>
      <c r="E76" t="s">
        <v>3332</v>
      </c>
      <c r="F76" t="s">
        <v>4564</v>
      </c>
      <c r="G76" t="s">
        <v>4573</v>
      </c>
      <c r="H76" t="s">
        <v>4587</v>
      </c>
      <c r="I76" t="s">
        <v>4606</v>
      </c>
      <c r="J76">
        <v>4</v>
      </c>
      <c r="K76">
        <v>28.62</v>
      </c>
      <c r="L76">
        <v>0</v>
      </c>
      <c r="M76">
        <v>6.33</v>
      </c>
      <c r="N76" t="s">
        <v>5464</v>
      </c>
      <c r="O76" t="s">
        <v>5473</v>
      </c>
      <c r="P76" t="s">
        <v>5477</v>
      </c>
      <c r="Q76" s="4">
        <v>114.48</v>
      </c>
    </row>
    <row r="77" spans="1:17" x14ac:dyDescent="0.3">
      <c r="A77" t="s">
        <v>89</v>
      </c>
      <c r="B77" t="s">
        <v>1489</v>
      </c>
      <c r="C77" s="1">
        <v>45693</v>
      </c>
      <c r="D77" t="s">
        <v>3074</v>
      </c>
      <c r="E77" t="s">
        <v>3333</v>
      </c>
      <c r="F77" t="s">
        <v>4565</v>
      </c>
      <c r="G77" t="s">
        <v>4575</v>
      </c>
      <c r="H77" t="s">
        <v>5481</v>
      </c>
      <c r="I77" t="s">
        <v>4600</v>
      </c>
      <c r="J77">
        <v>5</v>
      </c>
      <c r="K77">
        <v>12.93</v>
      </c>
      <c r="L77">
        <v>0.05</v>
      </c>
      <c r="M77">
        <v>4.95</v>
      </c>
      <c r="N77" t="s">
        <v>5465</v>
      </c>
      <c r="O77" t="s">
        <v>5473</v>
      </c>
      <c r="P77" t="s">
        <v>5477</v>
      </c>
      <c r="Q77" s="4">
        <v>61.417500000000004</v>
      </c>
    </row>
    <row r="78" spans="1:17" x14ac:dyDescent="0.3">
      <c r="A78" t="s">
        <v>90</v>
      </c>
      <c r="B78" t="s">
        <v>1490</v>
      </c>
      <c r="C78" s="1">
        <v>45898</v>
      </c>
      <c r="D78" t="s">
        <v>2725</v>
      </c>
      <c r="E78" t="s">
        <v>3334</v>
      </c>
      <c r="F78" t="s">
        <v>4569</v>
      </c>
      <c r="G78" t="s">
        <v>4581</v>
      </c>
      <c r="H78" t="s">
        <v>4586</v>
      </c>
      <c r="I78" t="s">
        <v>4609</v>
      </c>
      <c r="J78">
        <v>3</v>
      </c>
      <c r="K78">
        <v>123.55</v>
      </c>
      <c r="L78">
        <v>0.15</v>
      </c>
      <c r="M78">
        <v>8.2100000000000009</v>
      </c>
      <c r="N78" t="s">
        <v>5465</v>
      </c>
      <c r="O78" t="s">
        <v>5481</v>
      </c>
      <c r="P78" t="s">
        <v>5477</v>
      </c>
      <c r="Q78" s="4">
        <v>315.05249999999995</v>
      </c>
    </row>
    <row r="79" spans="1:17" x14ac:dyDescent="0.3">
      <c r="A79" t="s">
        <v>91</v>
      </c>
      <c r="B79" t="s">
        <v>1491</v>
      </c>
      <c r="C79" s="1">
        <v>45531</v>
      </c>
      <c r="D79" t="s">
        <v>2696</v>
      </c>
      <c r="E79" t="s">
        <v>3335</v>
      </c>
      <c r="F79" t="s">
        <v>4564</v>
      </c>
      <c r="G79" t="s">
        <v>4573</v>
      </c>
      <c r="H79" t="s">
        <v>4587</v>
      </c>
      <c r="I79" t="s">
        <v>4600</v>
      </c>
      <c r="J79">
        <v>4</v>
      </c>
      <c r="K79">
        <v>12.66</v>
      </c>
      <c r="L79">
        <v>0.05</v>
      </c>
      <c r="M79">
        <v>8.9700000000000006</v>
      </c>
      <c r="N79" t="s">
        <v>5465</v>
      </c>
      <c r="O79" t="s">
        <v>5474</v>
      </c>
      <c r="P79" t="s">
        <v>5479</v>
      </c>
      <c r="Q79" s="4">
        <v>48.107999999999997</v>
      </c>
    </row>
    <row r="80" spans="1:17" x14ac:dyDescent="0.3">
      <c r="A80" t="s">
        <v>92</v>
      </c>
      <c r="B80" t="s">
        <v>1492</v>
      </c>
      <c r="C80" s="1">
        <v>45946</v>
      </c>
      <c r="D80" t="s">
        <v>2697</v>
      </c>
      <c r="E80" t="s">
        <v>3336</v>
      </c>
      <c r="F80" t="s">
        <v>4565</v>
      </c>
      <c r="G80" t="s">
        <v>4576</v>
      </c>
      <c r="H80" t="s">
        <v>4583</v>
      </c>
      <c r="I80" t="s">
        <v>4610</v>
      </c>
      <c r="J80">
        <v>3</v>
      </c>
      <c r="K80">
        <v>80.92</v>
      </c>
      <c r="L80">
        <v>0</v>
      </c>
      <c r="M80">
        <v>9.36</v>
      </c>
      <c r="N80" t="s">
        <v>5463</v>
      </c>
      <c r="O80" t="s">
        <v>5473</v>
      </c>
      <c r="P80" t="s">
        <v>5475</v>
      </c>
      <c r="Q80" s="4">
        <v>242.76</v>
      </c>
    </row>
    <row r="81" spans="1:17" x14ac:dyDescent="0.3">
      <c r="A81" t="s">
        <v>93</v>
      </c>
      <c r="B81" t="s">
        <v>1493</v>
      </c>
      <c r="C81" s="1">
        <v>45615</v>
      </c>
      <c r="D81" t="s">
        <v>2698</v>
      </c>
      <c r="E81" t="s">
        <v>3337</v>
      </c>
      <c r="F81" t="s">
        <v>4549</v>
      </c>
      <c r="G81" t="s">
        <v>4574</v>
      </c>
      <c r="H81" t="s">
        <v>4585</v>
      </c>
      <c r="I81" t="s">
        <v>4598</v>
      </c>
      <c r="J81">
        <v>5</v>
      </c>
      <c r="K81">
        <v>3.24</v>
      </c>
      <c r="L81">
        <v>0</v>
      </c>
      <c r="M81">
        <v>0.15</v>
      </c>
      <c r="N81" t="s">
        <v>5462</v>
      </c>
      <c r="O81" t="s">
        <v>5474</v>
      </c>
      <c r="P81" t="s">
        <v>5479</v>
      </c>
      <c r="Q81" s="4">
        <v>16.200000000000003</v>
      </c>
    </row>
    <row r="82" spans="1:17" x14ac:dyDescent="0.3">
      <c r="A82" t="s">
        <v>94</v>
      </c>
      <c r="B82" t="s">
        <v>1494</v>
      </c>
      <c r="C82" s="1">
        <v>45914</v>
      </c>
      <c r="D82" t="s">
        <v>2997</v>
      </c>
      <c r="E82" t="s">
        <v>3338</v>
      </c>
      <c r="F82" t="s">
        <v>4566</v>
      </c>
      <c r="G82" t="s">
        <v>4582</v>
      </c>
      <c r="H82" t="s">
        <v>4587</v>
      </c>
      <c r="I82" t="s">
        <v>4594</v>
      </c>
      <c r="J82">
        <v>1</v>
      </c>
      <c r="K82">
        <v>61.69</v>
      </c>
      <c r="L82">
        <v>0.1</v>
      </c>
      <c r="M82">
        <v>0.14000000000000001</v>
      </c>
      <c r="N82" t="s">
        <v>5468</v>
      </c>
      <c r="O82" t="s">
        <v>5474</v>
      </c>
      <c r="P82" t="s">
        <v>5477</v>
      </c>
      <c r="Q82" s="4">
        <v>55.521000000000001</v>
      </c>
    </row>
    <row r="83" spans="1:17" x14ac:dyDescent="0.3">
      <c r="A83" t="s">
        <v>95</v>
      </c>
      <c r="B83" t="s">
        <v>1495</v>
      </c>
      <c r="C83" s="1">
        <v>45586</v>
      </c>
      <c r="D83" t="s">
        <v>3222</v>
      </c>
      <c r="E83" t="s">
        <v>3339</v>
      </c>
      <c r="F83" t="s">
        <v>4564</v>
      </c>
      <c r="G83" t="s">
        <v>4578</v>
      </c>
      <c r="H83" t="s">
        <v>4586</v>
      </c>
      <c r="I83" t="s">
        <v>4593</v>
      </c>
      <c r="J83">
        <v>10</v>
      </c>
      <c r="K83">
        <v>111.65</v>
      </c>
      <c r="L83">
        <v>0.1</v>
      </c>
      <c r="M83">
        <v>0</v>
      </c>
      <c r="N83" t="s">
        <v>5466</v>
      </c>
      <c r="O83" t="s">
        <v>5481</v>
      </c>
      <c r="P83" t="s">
        <v>5477</v>
      </c>
      <c r="Q83" s="4">
        <v>1004.85</v>
      </c>
    </row>
    <row r="84" spans="1:17" x14ac:dyDescent="0.3">
      <c r="A84" t="s">
        <v>96</v>
      </c>
      <c r="B84" t="s">
        <v>1496</v>
      </c>
      <c r="C84" s="1">
        <v>45372</v>
      </c>
      <c r="D84" t="s">
        <v>2701</v>
      </c>
      <c r="E84" t="s">
        <v>3340</v>
      </c>
      <c r="F84" t="s">
        <v>4565</v>
      </c>
      <c r="G84" t="s">
        <v>4576</v>
      </c>
      <c r="H84" t="s">
        <v>4586</v>
      </c>
      <c r="I84" t="s">
        <v>4597</v>
      </c>
      <c r="J84">
        <v>2</v>
      </c>
      <c r="K84">
        <v>87.15</v>
      </c>
      <c r="L84">
        <v>0.1</v>
      </c>
      <c r="M84">
        <v>4.57</v>
      </c>
      <c r="N84" t="s">
        <v>5465</v>
      </c>
      <c r="O84" t="s">
        <v>5472</v>
      </c>
      <c r="P84" t="s">
        <v>5477</v>
      </c>
      <c r="Q84" s="4">
        <v>156.87</v>
      </c>
    </row>
    <row r="85" spans="1:17" x14ac:dyDescent="0.3">
      <c r="A85" t="s">
        <v>97</v>
      </c>
      <c r="B85" t="s">
        <v>1497</v>
      </c>
      <c r="C85" s="1">
        <v>45373</v>
      </c>
      <c r="D85" t="s">
        <v>2702</v>
      </c>
      <c r="E85" t="s">
        <v>3341</v>
      </c>
      <c r="F85" t="s">
        <v>4566</v>
      </c>
      <c r="G85" t="s">
        <v>4573</v>
      </c>
      <c r="H85" t="s">
        <v>4587</v>
      </c>
      <c r="I85" t="s">
        <v>4606</v>
      </c>
      <c r="J85">
        <v>1</v>
      </c>
      <c r="K85">
        <v>29.05</v>
      </c>
      <c r="L85">
        <v>0.05</v>
      </c>
      <c r="M85">
        <v>4.1500000000000004</v>
      </c>
      <c r="N85" t="s">
        <v>5465</v>
      </c>
      <c r="O85" t="s">
        <v>5469</v>
      </c>
      <c r="P85" t="s">
        <v>5477</v>
      </c>
      <c r="Q85" s="4">
        <v>27.5975</v>
      </c>
    </row>
    <row r="86" spans="1:17" x14ac:dyDescent="0.3">
      <c r="A86" t="s">
        <v>98</v>
      </c>
      <c r="B86" t="s">
        <v>1498</v>
      </c>
      <c r="C86" s="1">
        <v>45962</v>
      </c>
      <c r="D86" t="s">
        <v>2703</v>
      </c>
      <c r="E86" t="s">
        <v>5481</v>
      </c>
      <c r="F86" t="s">
        <v>4549</v>
      </c>
      <c r="G86" t="s">
        <v>4574</v>
      </c>
      <c r="H86" t="s">
        <v>4586</v>
      </c>
      <c r="I86" t="s">
        <v>4609</v>
      </c>
      <c r="J86">
        <v>1</v>
      </c>
      <c r="K86">
        <v>132.29</v>
      </c>
      <c r="L86">
        <v>0.05</v>
      </c>
      <c r="M86">
        <v>11.52</v>
      </c>
      <c r="N86" t="s">
        <v>5466</v>
      </c>
      <c r="O86" t="s">
        <v>5481</v>
      </c>
      <c r="P86" t="s">
        <v>5479</v>
      </c>
      <c r="Q86" s="4">
        <v>125.67549999999999</v>
      </c>
    </row>
    <row r="87" spans="1:17" x14ac:dyDescent="0.3">
      <c r="A87" t="s">
        <v>99</v>
      </c>
      <c r="B87" t="s">
        <v>1499</v>
      </c>
      <c r="C87" s="1">
        <v>45351</v>
      </c>
      <c r="D87" t="s">
        <v>2694</v>
      </c>
      <c r="E87" t="s">
        <v>3342</v>
      </c>
      <c r="F87" t="s">
        <v>4566</v>
      </c>
      <c r="G87" t="s">
        <v>4573</v>
      </c>
      <c r="H87" t="s">
        <v>4587</v>
      </c>
      <c r="I87" t="s">
        <v>4596</v>
      </c>
      <c r="J87">
        <v>3</v>
      </c>
      <c r="K87">
        <v>14.97</v>
      </c>
      <c r="L87">
        <v>0</v>
      </c>
      <c r="M87">
        <v>8.76</v>
      </c>
      <c r="N87" t="s">
        <v>5463</v>
      </c>
      <c r="O87" t="s">
        <v>5474</v>
      </c>
      <c r="P87" t="s">
        <v>5477</v>
      </c>
      <c r="Q87" s="4">
        <v>44.910000000000004</v>
      </c>
    </row>
    <row r="88" spans="1:17" x14ac:dyDescent="0.3">
      <c r="A88" t="s">
        <v>100</v>
      </c>
      <c r="B88" t="s">
        <v>1500</v>
      </c>
      <c r="C88" s="1">
        <v>45308</v>
      </c>
      <c r="D88" t="s">
        <v>2705</v>
      </c>
      <c r="E88" t="s">
        <v>3343</v>
      </c>
      <c r="F88" t="s">
        <v>4565</v>
      </c>
      <c r="G88" t="s">
        <v>4579</v>
      </c>
      <c r="H88" t="s">
        <v>4587</v>
      </c>
      <c r="I88" t="s">
        <v>4594</v>
      </c>
      <c r="J88">
        <v>2</v>
      </c>
      <c r="K88">
        <v>61.61</v>
      </c>
      <c r="L88">
        <v>0</v>
      </c>
      <c r="M88">
        <v>2.29</v>
      </c>
      <c r="N88" t="s">
        <v>5462</v>
      </c>
      <c r="O88" t="s">
        <v>5474</v>
      </c>
      <c r="P88" t="s">
        <v>5476</v>
      </c>
      <c r="Q88" s="4">
        <v>123.22</v>
      </c>
    </row>
    <row r="89" spans="1:17" x14ac:dyDescent="0.3">
      <c r="A89" t="s">
        <v>101</v>
      </c>
      <c r="B89" t="s">
        <v>1501</v>
      </c>
      <c r="C89" s="1">
        <v>45798</v>
      </c>
      <c r="D89" t="s">
        <v>2706</v>
      </c>
      <c r="E89" t="s">
        <v>3344</v>
      </c>
      <c r="F89" t="s">
        <v>4569</v>
      </c>
      <c r="G89" t="s">
        <v>4581</v>
      </c>
      <c r="H89" t="s">
        <v>4587</v>
      </c>
      <c r="I89" t="s">
        <v>4606</v>
      </c>
      <c r="J89">
        <v>1</v>
      </c>
      <c r="K89">
        <v>30.29</v>
      </c>
      <c r="L89">
        <v>0.15</v>
      </c>
      <c r="M89">
        <v>0.88</v>
      </c>
      <c r="N89" t="s">
        <v>5465</v>
      </c>
      <c r="O89" t="s">
        <v>5474</v>
      </c>
      <c r="P89" t="s">
        <v>5477</v>
      </c>
      <c r="Q89" s="4">
        <v>25.746499999999997</v>
      </c>
    </row>
    <row r="90" spans="1:17" x14ac:dyDescent="0.3">
      <c r="A90" t="s">
        <v>102</v>
      </c>
      <c r="B90" t="s">
        <v>1502</v>
      </c>
      <c r="C90" s="1">
        <v>45417</v>
      </c>
      <c r="D90" t="s">
        <v>2639</v>
      </c>
      <c r="E90" t="s">
        <v>5481</v>
      </c>
      <c r="F90" t="s">
        <v>4569</v>
      </c>
      <c r="G90" t="s">
        <v>4581</v>
      </c>
      <c r="H90" t="s">
        <v>4587</v>
      </c>
      <c r="I90" t="s">
        <v>4594</v>
      </c>
      <c r="J90">
        <v>3</v>
      </c>
      <c r="K90">
        <v>60.65</v>
      </c>
      <c r="L90">
        <v>0</v>
      </c>
      <c r="M90">
        <v>11.27</v>
      </c>
      <c r="N90" t="s">
        <v>5463</v>
      </c>
      <c r="O90" t="s">
        <v>5472</v>
      </c>
      <c r="P90" t="s">
        <v>5477</v>
      </c>
      <c r="Q90" s="4">
        <v>181.95</v>
      </c>
    </row>
    <row r="91" spans="1:17" x14ac:dyDescent="0.3">
      <c r="A91" t="s">
        <v>103</v>
      </c>
      <c r="B91" t="s">
        <v>1503</v>
      </c>
      <c r="C91" s="1">
        <v>45305</v>
      </c>
      <c r="D91" t="s">
        <v>2707</v>
      </c>
      <c r="E91" t="s">
        <v>3345</v>
      </c>
      <c r="F91" t="s">
        <v>4566</v>
      </c>
      <c r="G91" t="s">
        <v>4582</v>
      </c>
      <c r="H91" t="s">
        <v>4585</v>
      </c>
      <c r="I91" t="s">
        <v>4590</v>
      </c>
      <c r="J91">
        <v>2</v>
      </c>
      <c r="K91">
        <v>14.4</v>
      </c>
      <c r="L91">
        <v>0</v>
      </c>
      <c r="M91">
        <v>13.03</v>
      </c>
      <c r="N91" t="s">
        <v>5481</v>
      </c>
      <c r="O91" t="s">
        <v>5481</v>
      </c>
      <c r="P91" t="s">
        <v>5477</v>
      </c>
      <c r="Q91" s="4">
        <v>28.8</v>
      </c>
    </row>
    <row r="92" spans="1:17" x14ac:dyDescent="0.3">
      <c r="A92" t="s">
        <v>104</v>
      </c>
      <c r="B92" t="s">
        <v>1504</v>
      </c>
      <c r="C92" s="1">
        <v>45387</v>
      </c>
      <c r="D92" t="s">
        <v>2925</v>
      </c>
      <c r="E92" t="s">
        <v>3346</v>
      </c>
      <c r="F92" t="s">
        <v>4549</v>
      </c>
      <c r="G92" t="s">
        <v>4574</v>
      </c>
      <c r="H92" t="s">
        <v>4587</v>
      </c>
      <c r="I92" t="s">
        <v>4606</v>
      </c>
      <c r="J92">
        <v>4</v>
      </c>
      <c r="K92">
        <v>30.94</v>
      </c>
      <c r="L92">
        <v>0.15</v>
      </c>
      <c r="M92">
        <v>13.26</v>
      </c>
      <c r="N92" t="s">
        <v>5463</v>
      </c>
      <c r="O92" t="s">
        <v>5470</v>
      </c>
      <c r="P92" t="s">
        <v>5477</v>
      </c>
      <c r="Q92" s="4">
        <v>105.196</v>
      </c>
    </row>
    <row r="93" spans="1:17" x14ac:dyDescent="0.3">
      <c r="A93" t="s">
        <v>105</v>
      </c>
      <c r="B93" t="s">
        <v>1505</v>
      </c>
      <c r="C93" s="1">
        <v>45514</v>
      </c>
      <c r="D93" t="s">
        <v>2708</v>
      </c>
      <c r="E93" t="s">
        <v>3347</v>
      </c>
      <c r="F93" t="s">
        <v>4565</v>
      </c>
      <c r="G93" t="s">
        <v>4579</v>
      </c>
      <c r="H93" t="s">
        <v>4583</v>
      </c>
      <c r="I93" t="s">
        <v>4605</v>
      </c>
      <c r="J93">
        <v>2</v>
      </c>
      <c r="K93">
        <v>43.19</v>
      </c>
      <c r="L93">
        <v>0</v>
      </c>
      <c r="M93">
        <v>11.56</v>
      </c>
      <c r="N93" t="s">
        <v>5466</v>
      </c>
      <c r="O93" t="s">
        <v>5471</v>
      </c>
      <c r="P93" t="s">
        <v>5475</v>
      </c>
      <c r="Q93" s="4">
        <v>86.38</v>
      </c>
    </row>
    <row r="94" spans="1:17" x14ac:dyDescent="0.3">
      <c r="A94" t="s">
        <v>106</v>
      </c>
      <c r="B94" t="s">
        <v>1506</v>
      </c>
      <c r="C94" s="1">
        <v>45397</v>
      </c>
      <c r="D94" t="s">
        <v>2709</v>
      </c>
      <c r="E94" t="s">
        <v>3348</v>
      </c>
      <c r="F94" t="s">
        <v>4549</v>
      </c>
      <c r="G94" t="s">
        <v>4574</v>
      </c>
      <c r="H94" t="s">
        <v>5481</v>
      </c>
      <c r="I94" t="s">
        <v>4598</v>
      </c>
      <c r="J94">
        <v>2</v>
      </c>
      <c r="K94">
        <v>3.05</v>
      </c>
      <c r="L94">
        <v>0</v>
      </c>
      <c r="M94">
        <v>0.02</v>
      </c>
      <c r="N94" t="s">
        <v>5463</v>
      </c>
      <c r="O94" t="s">
        <v>5469</v>
      </c>
      <c r="P94" t="s">
        <v>5477</v>
      </c>
      <c r="Q94" s="4">
        <v>6.1</v>
      </c>
    </row>
    <row r="95" spans="1:17" x14ac:dyDescent="0.3">
      <c r="A95" t="s">
        <v>107</v>
      </c>
      <c r="B95" t="s">
        <v>1507</v>
      </c>
      <c r="C95" s="1">
        <v>45816</v>
      </c>
      <c r="D95" t="s">
        <v>2710</v>
      </c>
      <c r="E95" t="s">
        <v>3349</v>
      </c>
      <c r="F95" t="s">
        <v>4564</v>
      </c>
      <c r="G95" t="s">
        <v>4578</v>
      </c>
      <c r="H95" t="s">
        <v>4584</v>
      </c>
      <c r="I95" t="s">
        <v>4607</v>
      </c>
      <c r="J95">
        <v>1</v>
      </c>
      <c r="K95">
        <v>26.08</v>
      </c>
      <c r="L95">
        <v>0.1</v>
      </c>
      <c r="M95">
        <v>6.46</v>
      </c>
      <c r="N95" t="s">
        <v>5463</v>
      </c>
      <c r="O95" t="s">
        <v>5470</v>
      </c>
      <c r="P95" t="s">
        <v>5475</v>
      </c>
      <c r="Q95" s="4">
        <v>23.471999999999998</v>
      </c>
    </row>
    <row r="96" spans="1:17" x14ac:dyDescent="0.3">
      <c r="A96" t="s">
        <v>108</v>
      </c>
      <c r="B96" t="s">
        <v>1508</v>
      </c>
      <c r="C96" s="1">
        <v>45439</v>
      </c>
      <c r="D96" t="s">
        <v>2714</v>
      </c>
      <c r="E96" t="s">
        <v>3350</v>
      </c>
      <c r="F96" t="s">
        <v>4565</v>
      </c>
      <c r="G96" t="s">
        <v>4579</v>
      </c>
      <c r="H96" t="s">
        <v>4583</v>
      </c>
      <c r="I96" t="s">
        <v>4604</v>
      </c>
      <c r="J96">
        <v>5</v>
      </c>
      <c r="K96">
        <v>21.45</v>
      </c>
      <c r="L96">
        <v>0.05</v>
      </c>
      <c r="M96">
        <v>8.84</v>
      </c>
      <c r="N96" t="s">
        <v>5481</v>
      </c>
      <c r="O96" t="s">
        <v>5469</v>
      </c>
      <c r="P96" t="s">
        <v>5477</v>
      </c>
      <c r="Q96" s="4">
        <v>101.88749999999999</v>
      </c>
    </row>
    <row r="97" spans="1:17" x14ac:dyDescent="0.3">
      <c r="A97" t="s">
        <v>109</v>
      </c>
      <c r="B97" t="s">
        <v>1509</v>
      </c>
      <c r="C97" s="1">
        <v>45333</v>
      </c>
      <c r="D97" t="s">
        <v>2712</v>
      </c>
      <c r="E97" t="s">
        <v>3351</v>
      </c>
      <c r="F97" t="s">
        <v>4564</v>
      </c>
      <c r="G97" t="s">
        <v>4573</v>
      </c>
      <c r="H97" t="s">
        <v>4586</v>
      </c>
      <c r="I97" t="s">
        <v>4593</v>
      </c>
      <c r="J97">
        <v>10</v>
      </c>
      <c r="K97">
        <v>114.7</v>
      </c>
      <c r="L97">
        <v>0</v>
      </c>
      <c r="M97">
        <v>3.6</v>
      </c>
      <c r="N97" t="s">
        <v>5464</v>
      </c>
      <c r="O97" t="s">
        <v>5470</v>
      </c>
      <c r="P97" t="s">
        <v>5477</v>
      </c>
      <c r="Q97" s="4">
        <v>1147</v>
      </c>
    </row>
    <row r="98" spans="1:17" x14ac:dyDescent="0.3">
      <c r="A98" t="s">
        <v>110</v>
      </c>
      <c r="B98" t="s">
        <v>1510</v>
      </c>
      <c r="C98" s="1">
        <v>45324</v>
      </c>
      <c r="D98" t="s">
        <v>2713</v>
      </c>
      <c r="E98" t="s">
        <v>3352</v>
      </c>
      <c r="F98" t="s">
        <v>4566</v>
      </c>
      <c r="G98" t="s">
        <v>4582</v>
      </c>
      <c r="H98" t="s">
        <v>4584</v>
      </c>
      <c r="I98" t="s">
        <v>4608</v>
      </c>
      <c r="J98">
        <v>1</v>
      </c>
      <c r="K98">
        <v>19.079999999999998</v>
      </c>
      <c r="L98">
        <v>0</v>
      </c>
      <c r="N98" t="s">
        <v>5468</v>
      </c>
      <c r="O98" t="s">
        <v>5470</v>
      </c>
      <c r="P98" t="s">
        <v>5477</v>
      </c>
      <c r="Q98" s="4">
        <v>19.079999999999998</v>
      </c>
    </row>
    <row r="99" spans="1:17" x14ac:dyDescent="0.3">
      <c r="A99" t="s">
        <v>111</v>
      </c>
      <c r="B99" t="s">
        <v>1511</v>
      </c>
      <c r="C99" s="1">
        <v>45783</v>
      </c>
      <c r="D99" t="s">
        <v>2714</v>
      </c>
      <c r="E99" t="s">
        <v>3353</v>
      </c>
      <c r="F99" t="s">
        <v>4549</v>
      </c>
      <c r="G99" t="s">
        <v>4573</v>
      </c>
      <c r="H99" t="s">
        <v>4584</v>
      </c>
      <c r="I99" t="s">
        <v>4608</v>
      </c>
      <c r="J99">
        <v>2</v>
      </c>
      <c r="K99">
        <v>18.940000000000001</v>
      </c>
      <c r="L99">
        <v>0</v>
      </c>
      <c r="N99" t="s">
        <v>5462</v>
      </c>
      <c r="O99" t="s">
        <v>5481</v>
      </c>
      <c r="P99" t="s">
        <v>5477</v>
      </c>
      <c r="Q99" s="4">
        <v>37.880000000000003</v>
      </c>
    </row>
    <row r="100" spans="1:17" x14ac:dyDescent="0.3">
      <c r="A100" t="s">
        <v>112</v>
      </c>
      <c r="B100" t="s">
        <v>1512</v>
      </c>
      <c r="C100" s="1">
        <v>45848</v>
      </c>
      <c r="D100" t="s">
        <v>2715</v>
      </c>
      <c r="E100" t="s">
        <v>3354</v>
      </c>
      <c r="F100" t="s">
        <v>4564</v>
      </c>
      <c r="G100" t="s">
        <v>4578</v>
      </c>
      <c r="H100" t="s">
        <v>4583</v>
      </c>
      <c r="I100" t="s">
        <v>4605</v>
      </c>
      <c r="J100">
        <v>10</v>
      </c>
      <c r="K100">
        <v>43.08</v>
      </c>
      <c r="L100">
        <v>0.1</v>
      </c>
      <c r="M100">
        <v>14.81</v>
      </c>
      <c r="N100" t="s">
        <v>5467</v>
      </c>
      <c r="O100" t="s">
        <v>5471</v>
      </c>
      <c r="P100" t="s">
        <v>5477</v>
      </c>
      <c r="Q100" s="4">
        <v>387.71999999999997</v>
      </c>
    </row>
    <row r="101" spans="1:17" x14ac:dyDescent="0.3">
      <c r="A101" t="s">
        <v>113</v>
      </c>
      <c r="B101" t="s">
        <v>1513</v>
      </c>
      <c r="C101" s="1">
        <v>45639</v>
      </c>
      <c r="D101" t="s">
        <v>2758</v>
      </c>
      <c r="E101" t="s">
        <v>3355</v>
      </c>
      <c r="F101" t="s">
        <v>4565</v>
      </c>
      <c r="G101" t="s">
        <v>4579</v>
      </c>
      <c r="H101" t="s">
        <v>4584</v>
      </c>
      <c r="I101" t="s">
        <v>4589</v>
      </c>
      <c r="J101">
        <v>1</v>
      </c>
      <c r="K101">
        <v>35.49</v>
      </c>
      <c r="L101">
        <v>0.1</v>
      </c>
      <c r="M101">
        <v>2.4300000000000002</v>
      </c>
      <c r="N101" t="s">
        <v>5466</v>
      </c>
      <c r="O101" t="s">
        <v>5481</v>
      </c>
      <c r="P101" t="s">
        <v>5476</v>
      </c>
      <c r="Q101" s="4">
        <v>31.941000000000003</v>
      </c>
    </row>
    <row r="102" spans="1:17" x14ac:dyDescent="0.3">
      <c r="A102" t="s">
        <v>114</v>
      </c>
      <c r="B102" t="s">
        <v>1514</v>
      </c>
      <c r="C102" s="1">
        <v>45295</v>
      </c>
      <c r="D102" t="s">
        <v>3023</v>
      </c>
      <c r="E102" t="s">
        <v>3356</v>
      </c>
      <c r="F102" t="s">
        <v>4564</v>
      </c>
      <c r="G102" t="s">
        <v>4573</v>
      </c>
      <c r="H102" t="s">
        <v>4584</v>
      </c>
      <c r="I102" t="s">
        <v>4603</v>
      </c>
      <c r="J102">
        <v>3</v>
      </c>
      <c r="K102">
        <v>9.5299999999999994</v>
      </c>
      <c r="L102">
        <v>0</v>
      </c>
      <c r="M102">
        <v>5.41</v>
      </c>
      <c r="N102" t="s">
        <v>5465</v>
      </c>
      <c r="O102" t="s">
        <v>5472</v>
      </c>
      <c r="P102" t="s">
        <v>5477</v>
      </c>
      <c r="Q102" s="4">
        <v>28.589999999999996</v>
      </c>
    </row>
    <row r="103" spans="1:17" x14ac:dyDescent="0.3">
      <c r="A103" t="s">
        <v>115</v>
      </c>
      <c r="B103" t="s">
        <v>1515</v>
      </c>
      <c r="C103" s="1">
        <v>45658</v>
      </c>
      <c r="D103" t="s">
        <v>2718</v>
      </c>
      <c r="E103" t="s">
        <v>5481</v>
      </c>
      <c r="F103" t="s">
        <v>4569</v>
      </c>
      <c r="G103" t="s">
        <v>4572</v>
      </c>
      <c r="H103" t="s">
        <v>4584</v>
      </c>
      <c r="I103" t="s">
        <v>4607</v>
      </c>
      <c r="J103">
        <v>2</v>
      </c>
      <c r="K103">
        <v>25.3</v>
      </c>
      <c r="L103">
        <v>0.15</v>
      </c>
      <c r="M103">
        <v>1.67</v>
      </c>
      <c r="N103" t="s">
        <v>5468</v>
      </c>
      <c r="O103" t="s">
        <v>5473</v>
      </c>
      <c r="P103" t="s">
        <v>5477</v>
      </c>
      <c r="Q103" s="4">
        <v>43.01</v>
      </c>
    </row>
    <row r="104" spans="1:17" x14ac:dyDescent="0.3">
      <c r="A104" t="s">
        <v>116</v>
      </c>
      <c r="B104" t="s">
        <v>1516</v>
      </c>
      <c r="C104" s="1">
        <v>45475</v>
      </c>
      <c r="D104" t="s">
        <v>2719</v>
      </c>
      <c r="E104" t="s">
        <v>3357</v>
      </c>
      <c r="F104" t="s">
        <v>4569</v>
      </c>
      <c r="G104" t="s">
        <v>4580</v>
      </c>
      <c r="H104" t="s">
        <v>4586</v>
      </c>
      <c r="I104" t="s">
        <v>4597</v>
      </c>
      <c r="J104">
        <v>2</v>
      </c>
      <c r="K104">
        <v>90.58</v>
      </c>
      <c r="L104">
        <v>0.05</v>
      </c>
      <c r="M104">
        <v>4.57</v>
      </c>
      <c r="N104" t="s">
        <v>5481</v>
      </c>
      <c r="O104" t="s">
        <v>5472</v>
      </c>
      <c r="P104" t="s">
        <v>5477</v>
      </c>
      <c r="Q104" s="4">
        <v>172.10199999999998</v>
      </c>
    </row>
    <row r="105" spans="1:17" x14ac:dyDescent="0.3">
      <c r="A105" t="s">
        <v>117</v>
      </c>
      <c r="B105" t="s">
        <v>1517</v>
      </c>
      <c r="C105" s="1">
        <v>45874</v>
      </c>
      <c r="D105" t="s">
        <v>2642</v>
      </c>
      <c r="E105" t="s">
        <v>3358</v>
      </c>
      <c r="F105" t="s">
        <v>4564</v>
      </c>
      <c r="G105" t="s">
        <v>5481</v>
      </c>
      <c r="H105" t="s">
        <v>4583</v>
      </c>
      <c r="I105" t="s">
        <v>4604</v>
      </c>
      <c r="J105">
        <v>2</v>
      </c>
      <c r="K105">
        <v>22.74</v>
      </c>
      <c r="L105">
        <v>0</v>
      </c>
      <c r="M105">
        <v>11.1</v>
      </c>
      <c r="N105" t="s">
        <v>5463</v>
      </c>
      <c r="O105" t="s">
        <v>5471</v>
      </c>
      <c r="P105" t="s">
        <v>5477</v>
      </c>
      <c r="Q105" s="4">
        <v>45.48</v>
      </c>
    </row>
    <row r="106" spans="1:17" x14ac:dyDescent="0.3">
      <c r="A106" t="s">
        <v>118</v>
      </c>
      <c r="B106" t="s">
        <v>1518</v>
      </c>
      <c r="C106" s="1">
        <v>45966</v>
      </c>
      <c r="D106" t="s">
        <v>2705</v>
      </c>
      <c r="E106" t="s">
        <v>3359</v>
      </c>
      <c r="F106" t="s">
        <v>4566</v>
      </c>
      <c r="G106" t="s">
        <v>4582</v>
      </c>
      <c r="H106" t="s">
        <v>4586</v>
      </c>
      <c r="I106" t="s">
        <v>4609</v>
      </c>
      <c r="J106">
        <v>3</v>
      </c>
      <c r="K106">
        <v>133.08000000000001</v>
      </c>
      <c r="L106">
        <v>0</v>
      </c>
      <c r="M106">
        <v>12.45</v>
      </c>
      <c r="N106" t="s">
        <v>5462</v>
      </c>
      <c r="O106" t="s">
        <v>5470</v>
      </c>
      <c r="P106" t="s">
        <v>5477</v>
      </c>
      <c r="Q106" s="4">
        <v>399.24</v>
      </c>
    </row>
    <row r="107" spans="1:17" x14ac:dyDescent="0.3">
      <c r="A107" t="s">
        <v>119</v>
      </c>
      <c r="B107" t="s">
        <v>1519</v>
      </c>
      <c r="C107" s="1">
        <v>45627</v>
      </c>
      <c r="D107" t="s">
        <v>2720</v>
      </c>
      <c r="E107" t="s">
        <v>3360</v>
      </c>
      <c r="F107" t="s">
        <v>4565</v>
      </c>
      <c r="G107" t="s">
        <v>4575</v>
      </c>
      <c r="H107" t="s">
        <v>4584</v>
      </c>
      <c r="I107" t="s">
        <v>4608</v>
      </c>
      <c r="J107">
        <v>3</v>
      </c>
      <c r="K107">
        <v>19.11</v>
      </c>
      <c r="L107">
        <v>0</v>
      </c>
      <c r="M107">
        <v>2.33</v>
      </c>
      <c r="N107" t="s">
        <v>5462</v>
      </c>
      <c r="O107" t="s">
        <v>5474</v>
      </c>
      <c r="P107" t="s">
        <v>5477</v>
      </c>
      <c r="Q107" s="4">
        <v>57.33</v>
      </c>
    </row>
    <row r="108" spans="1:17" x14ac:dyDescent="0.3">
      <c r="A108" t="s">
        <v>120</v>
      </c>
      <c r="B108" t="s">
        <v>1520</v>
      </c>
      <c r="C108" s="1">
        <v>45725</v>
      </c>
      <c r="D108" t="s">
        <v>2721</v>
      </c>
      <c r="E108" t="s">
        <v>5481</v>
      </c>
      <c r="F108" t="s">
        <v>4549</v>
      </c>
      <c r="G108" t="s">
        <v>4574</v>
      </c>
      <c r="H108" t="s">
        <v>4587</v>
      </c>
      <c r="I108" t="s">
        <v>4600</v>
      </c>
      <c r="J108">
        <v>2</v>
      </c>
      <c r="K108">
        <v>13.07</v>
      </c>
      <c r="L108">
        <v>0</v>
      </c>
      <c r="M108">
        <v>0</v>
      </c>
      <c r="N108" t="s">
        <v>5467</v>
      </c>
      <c r="O108" t="s">
        <v>5469</v>
      </c>
      <c r="P108" t="s">
        <v>5477</v>
      </c>
      <c r="Q108" s="4">
        <v>26.14</v>
      </c>
    </row>
    <row r="109" spans="1:17" x14ac:dyDescent="0.3">
      <c r="A109" t="s">
        <v>121</v>
      </c>
      <c r="B109" t="s">
        <v>1521</v>
      </c>
      <c r="C109" s="1">
        <v>45442</v>
      </c>
      <c r="D109" t="s">
        <v>2859</v>
      </c>
      <c r="E109" t="s">
        <v>3361</v>
      </c>
      <c r="F109" t="s">
        <v>4566</v>
      </c>
      <c r="G109" t="s">
        <v>4582</v>
      </c>
      <c r="H109" t="s">
        <v>4585</v>
      </c>
      <c r="I109" t="s">
        <v>4598</v>
      </c>
      <c r="J109">
        <v>10</v>
      </c>
      <c r="K109">
        <v>3.07</v>
      </c>
      <c r="L109">
        <v>0.1</v>
      </c>
      <c r="M109">
        <v>9.58</v>
      </c>
      <c r="N109" t="s">
        <v>5466</v>
      </c>
      <c r="O109" t="s">
        <v>5473</v>
      </c>
      <c r="P109" t="s">
        <v>5477</v>
      </c>
      <c r="Q109" s="4">
        <v>27.63</v>
      </c>
    </row>
    <row r="110" spans="1:17" x14ac:dyDescent="0.3">
      <c r="A110" t="s">
        <v>122</v>
      </c>
      <c r="B110" t="s">
        <v>1490</v>
      </c>
      <c r="C110" s="1">
        <v>45898</v>
      </c>
      <c r="D110" t="s">
        <v>2723</v>
      </c>
      <c r="E110" t="s">
        <v>3362</v>
      </c>
      <c r="F110" t="s">
        <v>4565</v>
      </c>
      <c r="G110" t="s">
        <v>4575</v>
      </c>
      <c r="H110" t="s">
        <v>4586</v>
      </c>
      <c r="I110" t="s">
        <v>4593</v>
      </c>
      <c r="J110">
        <v>4</v>
      </c>
      <c r="K110">
        <v>114.51</v>
      </c>
      <c r="L110">
        <v>0</v>
      </c>
      <c r="M110">
        <v>8.59</v>
      </c>
      <c r="N110" t="s">
        <v>5464</v>
      </c>
      <c r="O110" t="s">
        <v>5481</v>
      </c>
      <c r="P110" t="s">
        <v>5475</v>
      </c>
      <c r="Q110" s="4">
        <v>458.04</v>
      </c>
    </row>
    <row r="111" spans="1:17" x14ac:dyDescent="0.3">
      <c r="A111" t="s">
        <v>123</v>
      </c>
      <c r="B111" t="s">
        <v>1522</v>
      </c>
      <c r="C111" s="1">
        <v>45332</v>
      </c>
      <c r="D111" t="s">
        <v>2724</v>
      </c>
      <c r="E111" t="s">
        <v>3363</v>
      </c>
      <c r="F111" t="s">
        <v>4566</v>
      </c>
      <c r="G111" t="s">
        <v>4582</v>
      </c>
      <c r="H111" t="s">
        <v>4584</v>
      </c>
      <c r="I111" t="s">
        <v>4595</v>
      </c>
      <c r="J111">
        <v>1</v>
      </c>
      <c r="K111">
        <v>42.29</v>
      </c>
      <c r="L111">
        <v>0</v>
      </c>
      <c r="M111">
        <v>3.93</v>
      </c>
      <c r="N111" t="s">
        <v>5465</v>
      </c>
      <c r="O111" t="s">
        <v>5481</v>
      </c>
      <c r="P111" t="s">
        <v>5477</v>
      </c>
      <c r="Q111" s="4">
        <v>42.29</v>
      </c>
    </row>
    <row r="112" spans="1:17" x14ac:dyDescent="0.3">
      <c r="A112" t="s">
        <v>124</v>
      </c>
      <c r="B112" t="s">
        <v>1523</v>
      </c>
      <c r="C112" s="1">
        <v>45991</v>
      </c>
      <c r="D112" t="s">
        <v>2725</v>
      </c>
      <c r="E112" t="s">
        <v>5481</v>
      </c>
      <c r="F112" t="s">
        <v>4566</v>
      </c>
      <c r="G112" t="s">
        <v>4582</v>
      </c>
      <c r="H112" t="s">
        <v>4583</v>
      </c>
      <c r="I112" t="s">
        <v>4610</v>
      </c>
      <c r="J112">
        <v>2</v>
      </c>
      <c r="K112">
        <v>80.8</v>
      </c>
      <c r="L112">
        <v>0.05</v>
      </c>
      <c r="M112">
        <v>0.97</v>
      </c>
      <c r="N112" t="s">
        <v>5466</v>
      </c>
      <c r="O112" t="s">
        <v>5473</v>
      </c>
      <c r="P112" t="s">
        <v>5475</v>
      </c>
      <c r="Q112" s="4">
        <v>153.51999999999998</v>
      </c>
    </row>
    <row r="113" spans="1:17" x14ac:dyDescent="0.3">
      <c r="A113" t="s">
        <v>125</v>
      </c>
      <c r="B113" t="s">
        <v>1524</v>
      </c>
      <c r="C113" s="1">
        <v>45402</v>
      </c>
      <c r="D113" t="s">
        <v>2726</v>
      </c>
      <c r="E113" t="s">
        <v>3364</v>
      </c>
      <c r="F113" t="s">
        <v>4569</v>
      </c>
      <c r="G113" t="s">
        <v>4581</v>
      </c>
      <c r="H113" t="s">
        <v>4585</v>
      </c>
      <c r="I113" t="s">
        <v>4602</v>
      </c>
      <c r="J113">
        <v>5</v>
      </c>
      <c r="K113">
        <v>4.1100000000000003</v>
      </c>
      <c r="L113">
        <v>0.1</v>
      </c>
      <c r="M113">
        <v>0.53</v>
      </c>
      <c r="N113" t="s">
        <v>5462</v>
      </c>
      <c r="O113" t="s">
        <v>5473</v>
      </c>
      <c r="P113" t="s">
        <v>5477</v>
      </c>
      <c r="Q113" s="4">
        <v>18.495000000000001</v>
      </c>
    </row>
    <row r="114" spans="1:17" x14ac:dyDescent="0.3">
      <c r="A114" t="s">
        <v>126</v>
      </c>
      <c r="B114" t="s">
        <v>1525</v>
      </c>
      <c r="C114" s="1">
        <v>45683</v>
      </c>
      <c r="D114" t="s">
        <v>2727</v>
      </c>
      <c r="E114" t="s">
        <v>3365</v>
      </c>
      <c r="F114" t="s">
        <v>4566</v>
      </c>
      <c r="G114" t="s">
        <v>4582</v>
      </c>
      <c r="H114" t="s">
        <v>4585</v>
      </c>
      <c r="I114" t="s">
        <v>4590</v>
      </c>
      <c r="J114">
        <v>1</v>
      </c>
      <c r="K114">
        <v>13.91</v>
      </c>
      <c r="L114">
        <v>0.05</v>
      </c>
      <c r="M114">
        <v>12.57</v>
      </c>
      <c r="N114" t="s">
        <v>5466</v>
      </c>
      <c r="O114" t="s">
        <v>5470</v>
      </c>
      <c r="P114" t="s">
        <v>5477</v>
      </c>
      <c r="Q114" s="4">
        <v>13.214499999999999</v>
      </c>
    </row>
    <row r="115" spans="1:17" x14ac:dyDescent="0.3">
      <c r="A115" t="s">
        <v>127</v>
      </c>
      <c r="B115" t="s">
        <v>1526</v>
      </c>
      <c r="C115" s="1">
        <v>45471</v>
      </c>
      <c r="D115" t="s">
        <v>2707</v>
      </c>
      <c r="E115" t="s">
        <v>5481</v>
      </c>
      <c r="F115" t="s">
        <v>4549</v>
      </c>
      <c r="G115" t="s">
        <v>4574</v>
      </c>
      <c r="H115" t="s">
        <v>4584</v>
      </c>
      <c r="I115" t="s">
        <v>4608</v>
      </c>
      <c r="J115">
        <v>1</v>
      </c>
      <c r="K115">
        <v>18.54</v>
      </c>
      <c r="L115">
        <v>0</v>
      </c>
      <c r="M115">
        <v>3.03</v>
      </c>
      <c r="N115" t="s">
        <v>5462</v>
      </c>
      <c r="O115" t="s">
        <v>5474</v>
      </c>
      <c r="P115" t="s">
        <v>5477</v>
      </c>
      <c r="Q115" s="4">
        <v>18.54</v>
      </c>
    </row>
    <row r="116" spans="1:17" x14ac:dyDescent="0.3">
      <c r="A116" t="s">
        <v>128</v>
      </c>
      <c r="B116" t="s">
        <v>1511</v>
      </c>
      <c r="C116" s="1">
        <v>45783</v>
      </c>
      <c r="D116" t="s">
        <v>2728</v>
      </c>
      <c r="E116" t="s">
        <v>3366</v>
      </c>
      <c r="F116" t="s">
        <v>4564</v>
      </c>
      <c r="G116" t="s">
        <v>4578</v>
      </c>
      <c r="H116" t="s">
        <v>4585</v>
      </c>
      <c r="I116" t="s">
        <v>4591</v>
      </c>
      <c r="J116">
        <v>1</v>
      </c>
      <c r="K116">
        <v>7.83</v>
      </c>
      <c r="L116">
        <v>0.05</v>
      </c>
      <c r="M116">
        <v>4.9800000000000004</v>
      </c>
      <c r="N116" t="s">
        <v>5462</v>
      </c>
      <c r="O116" t="s">
        <v>5481</v>
      </c>
      <c r="P116" t="s">
        <v>5477</v>
      </c>
      <c r="Q116" s="4">
        <v>7.4384999999999994</v>
      </c>
    </row>
    <row r="117" spans="1:17" x14ac:dyDescent="0.3">
      <c r="A117" t="s">
        <v>129</v>
      </c>
      <c r="B117" t="s">
        <v>1527</v>
      </c>
      <c r="C117" s="1">
        <v>45423</v>
      </c>
      <c r="D117" t="s">
        <v>2626</v>
      </c>
      <c r="E117" t="s">
        <v>3367</v>
      </c>
      <c r="F117" t="s">
        <v>4569</v>
      </c>
      <c r="G117" t="s">
        <v>4581</v>
      </c>
      <c r="H117" t="s">
        <v>4586</v>
      </c>
      <c r="I117" t="s">
        <v>4593</v>
      </c>
      <c r="J117">
        <v>2</v>
      </c>
      <c r="K117">
        <v>114.49</v>
      </c>
      <c r="L117">
        <v>0</v>
      </c>
      <c r="M117">
        <v>0</v>
      </c>
      <c r="N117" t="s">
        <v>5465</v>
      </c>
      <c r="O117" t="s">
        <v>5471</v>
      </c>
      <c r="P117" t="s">
        <v>5476</v>
      </c>
      <c r="Q117" s="4">
        <v>228.98</v>
      </c>
    </row>
    <row r="118" spans="1:17" x14ac:dyDescent="0.3">
      <c r="A118" t="s">
        <v>130</v>
      </c>
      <c r="B118" t="s">
        <v>1528</v>
      </c>
      <c r="C118" s="1">
        <v>45712</v>
      </c>
      <c r="D118" t="s">
        <v>2719</v>
      </c>
      <c r="E118" t="s">
        <v>3368</v>
      </c>
      <c r="F118" t="s">
        <v>4549</v>
      </c>
      <c r="G118" t="s">
        <v>4573</v>
      </c>
      <c r="H118" t="s">
        <v>4587</v>
      </c>
      <c r="I118" t="s">
        <v>4606</v>
      </c>
      <c r="J118">
        <v>1</v>
      </c>
      <c r="K118">
        <v>30.37</v>
      </c>
      <c r="L118">
        <v>0</v>
      </c>
      <c r="M118">
        <v>11.03</v>
      </c>
      <c r="N118" t="s">
        <v>5462</v>
      </c>
      <c r="O118" t="s">
        <v>5474</v>
      </c>
      <c r="P118" t="s">
        <v>5475</v>
      </c>
      <c r="Q118" s="4">
        <v>30.37</v>
      </c>
    </row>
    <row r="119" spans="1:17" x14ac:dyDescent="0.3">
      <c r="A119" t="s">
        <v>131</v>
      </c>
      <c r="B119" t="s">
        <v>1529</v>
      </c>
      <c r="C119" s="1">
        <v>45734</v>
      </c>
      <c r="D119" t="s">
        <v>2730</v>
      </c>
      <c r="E119" t="s">
        <v>3369</v>
      </c>
      <c r="F119" t="s">
        <v>4549</v>
      </c>
      <c r="G119" t="s">
        <v>4573</v>
      </c>
      <c r="H119" t="s">
        <v>4583</v>
      </c>
      <c r="I119" t="s">
        <v>4610</v>
      </c>
      <c r="J119">
        <v>10</v>
      </c>
      <c r="K119">
        <v>76.349999999999994</v>
      </c>
      <c r="L119">
        <v>0</v>
      </c>
      <c r="M119">
        <v>12.03</v>
      </c>
      <c r="N119" t="s">
        <v>5465</v>
      </c>
      <c r="O119" t="s">
        <v>5471</v>
      </c>
      <c r="P119" t="s">
        <v>5479</v>
      </c>
      <c r="Q119" s="4">
        <v>763.5</v>
      </c>
    </row>
    <row r="120" spans="1:17" x14ac:dyDescent="0.3">
      <c r="A120" t="s">
        <v>132</v>
      </c>
      <c r="B120" t="s">
        <v>1530</v>
      </c>
      <c r="C120" s="1">
        <v>45995</v>
      </c>
      <c r="D120" t="s">
        <v>2714</v>
      </c>
      <c r="E120" t="s">
        <v>5481</v>
      </c>
      <c r="F120" t="s">
        <v>4564</v>
      </c>
      <c r="G120" t="s">
        <v>4573</v>
      </c>
      <c r="H120" t="s">
        <v>4583</v>
      </c>
      <c r="I120" t="s">
        <v>4588</v>
      </c>
      <c r="J120">
        <v>3</v>
      </c>
      <c r="K120">
        <v>41.31</v>
      </c>
      <c r="L120">
        <v>0</v>
      </c>
      <c r="M120">
        <v>4.37</v>
      </c>
      <c r="N120" t="s">
        <v>5463</v>
      </c>
      <c r="O120" t="s">
        <v>5474</v>
      </c>
      <c r="P120" t="s">
        <v>5477</v>
      </c>
      <c r="Q120" s="4">
        <v>123.93</v>
      </c>
    </row>
    <row r="121" spans="1:17" x14ac:dyDescent="0.3">
      <c r="A121" t="s">
        <v>133</v>
      </c>
      <c r="B121" t="s">
        <v>1531</v>
      </c>
      <c r="C121" s="1">
        <v>45391</v>
      </c>
      <c r="D121" t="s">
        <v>2677</v>
      </c>
      <c r="E121" t="s">
        <v>3370</v>
      </c>
      <c r="F121" t="s">
        <v>4564</v>
      </c>
      <c r="G121" t="s">
        <v>4573</v>
      </c>
      <c r="H121" t="s">
        <v>4587</v>
      </c>
      <c r="I121" t="s">
        <v>4600</v>
      </c>
      <c r="J121">
        <v>2</v>
      </c>
      <c r="K121">
        <v>12.47</v>
      </c>
      <c r="L121">
        <v>0</v>
      </c>
      <c r="M121">
        <v>10.37</v>
      </c>
      <c r="N121" t="s">
        <v>5466</v>
      </c>
      <c r="O121" t="s">
        <v>5469</v>
      </c>
      <c r="P121" t="s">
        <v>5477</v>
      </c>
      <c r="Q121" s="4">
        <v>24.94</v>
      </c>
    </row>
    <row r="122" spans="1:17" x14ac:dyDescent="0.3">
      <c r="A122" t="s">
        <v>134</v>
      </c>
      <c r="B122" t="s">
        <v>1532</v>
      </c>
      <c r="C122" s="1">
        <v>45824</v>
      </c>
      <c r="D122" t="s">
        <v>2731</v>
      </c>
      <c r="E122" t="s">
        <v>3371</v>
      </c>
      <c r="F122" t="s">
        <v>4549</v>
      </c>
      <c r="G122" t="s">
        <v>4573</v>
      </c>
      <c r="H122" t="s">
        <v>4587</v>
      </c>
      <c r="I122" t="s">
        <v>4606</v>
      </c>
      <c r="J122">
        <v>1</v>
      </c>
      <c r="K122">
        <v>29.25</v>
      </c>
      <c r="L122">
        <v>0.1</v>
      </c>
      <c r="M122">
        <v>10.32</v>
      </c>
      <c r="N122" t="s">
        <v>5465</v>
      </c>
      <c r="O122" t="s">
        <v>5473</v>
      </c>
      <c r="P122" t="s">
        <v>5475</v>
      </c>
      <c r="Q122" s="4">
        <v>26.324999999999999</v>
      </c>
    </row>
    <row r="123" spans="1:17" x14ac:dyDescent="0.3">
      <c r="A123" t="s">
        <v>135</v>
      </c>
      <c r="B123" t="s">
        <v>1533</v>
      </c>
      <c r="C123" s="1">
        <v>45726</v>
      </c>
      <c r="D123" t="s">
        <v>2690</v>
      </c>
      <c r="E123" t="s">
        <v>3372</v>
      </c>
      <c r="F123" t="s">
        <v>4566</v>
      </c>
      <c r="G123" t="s">
        <v>4582</v>
      </c>
      <c r="H123" t="s">
        <v>4587</v>
      </c>
      <c r="I123" t="s">
        <v>4596</v>
      </c>
      <c r="J123">
        <v>3</v>
      </c>
      <c r="K123">
        <v>14.49</v>
      </c>
      <c r="L123">
        <v>0</v>
      </c>
      <c r="M123">
        <v>4.0999999999999996</v>
      </c>
      <c r="N123" t="s">
        <v>5466</v>
      </c>
      <c r="O123" t="s">
        <v>5472</v>
      </c>
      <c r="P123" t="s">
        <v>5476</v>
      </c>
      <c r="Q123" s="4">
        <v>43.47</v>
      </c>
    </row>
    <row r="124" spans="1:17" x14ac:dyDescent="0.3">
      <c r="A124" t="s">
        <v>136</v>
      </c>
      <c r="B124" t="s">
        <v>1534</v>
      </c>
      <c r="C124" s="1">
        <v>45528</v>
      </c>
      <c r="D124" t="s">
        <v>2732</v>
      </c>
      <c r="E124" t="s">
        <v>3373</v>
      </c>
      <c r="F124" t="s">
        <v>4549</v>
      </c>
      <c r="G124" t="s">
        <v>4574</v>
      </c>
      <c r="H124" t="s">
        <v>4585</v>
      </c>
      <c r="I124" t="s">
        <v>4590</v>
      </c>
      <c r="J124">
        <v>5</v>
      </c>
      <c r="K124">
        <v>14.05</v>
      </c>
      <c r="L124">
        <v>0</v>
      </c>
      <c r="M124">
        <v>9.92</v>
      </c>
      <c r="N124" t="s">
        <v>5481</v>
      </c>
      <c r="O124" t="s">
        <v>5471</v>
      </c>
      <c r="P124" t="s">
        <v>5477</v>
      </c>
      <c r="Q124" s="4">
        <v>70.25</v>
      </c>
    </row>
    <row r="125" spans="1:17" x14ac:dyDescent="0.3">
      <c r="A125" t="s">
        <v>132</v>
      </c>
      <c r="B125" t="s">
        <v>1530</v>
      </c>
      <c r="C125" s="1">
        <v>45995</v>
      </c>
      <c r="D125" t="s">
        <v>2714</v>
      </c>
      <c r="E125" t="s">
        <v>5481</v>
      </c>
      <c r="F125" t="s">
        <v>4564</v>
      </c>
      <c r="G125" t="s">
        <v>4573</v>
      </c>
      <c r="H125" t="s">
        <v>4583</v>
      </c>
      <c r="I125" t="s">
        <v>4588</v>
      </c>
      <c r="J125">
        <v>3</v>
      </c>
      <c r="K125">
        <v>41.31</v>
      </c>
      <c r="L125">
        <v>0</v>
      </c>
      <c r="M125">
        <v>4.37</v>
      </c>
      <c r="N125" t="s">
        <v>5463</v>
      </c>
      <c r="O125" t="s">
        <v>5474</v>
      </c>
      <c r="P125" t="s">
        <v>5477</v>
      </c>
      <c r="Q125" s="4">
        <v>123.93</v>
      </c>
    </row>
    <row r="126" spans="1:17" x14ac:dyDescent="0.3">
      <c r="A126" t="s">
        <v>137</v>
      </c>
      <c r="B126" t="s">
        <v>1535</v>
      </c>
      <c r="C126" s="1">
        <v>45690</v>
      </c>
      <c r="D126" t="s">
        <v>2733</v>
      </c>
      <c r="E126" t="s">
        <v>3374</v>
      </c>
      <c r="F126" t="s">
        <v>4565</v>
      </c>
      <c r="G126" t="s">
        <v>4579</v>
      </c>
      <c r="H126" t="s">
        <v>4584</v>
      </c>
      <c r="I126" t="s">
        <v>4607</v>
      </c>
      <c r="J126">
        <v>2</v>
      </c>
      <c r="K126">
        <v>25.92</v>
      </c>
      <c r="L126">
        <v>0</v>
      </c>
      <c r="M126">
        <v>8.18</v>
      </c>
      <c r="N126" t="s">
        <v>5463</v>
      </c>
      <c r="O126" t="s">
        <v>5469</v>
      </c>
      <c r="P126" t="s">
        <v>5476</v>
      </c>
      <c r="Q126" s="4">
        <v>51.84</v>
      </c>
    </row>
    <row r="127" spans="1:17" x14ac:dyDescent="0.3">
      <c r="A127" t="s">
        <v>138</v>
      </c>
      <c r="B127" t="s">
        <v>1536</v>
      </c>
      <c r="C127" s="1">
        <v>45843</v>
      </c>
      <c r="D127" t="s">
        <v>2687</v>
      </c>
      <c r="E127" t="s">
        <v>3375</v>
      </c>
      <c r="F127" t="s">
        <v>4549</v>
      </c>
      <c r="G127" t="s">
        <v>4573</v>
      </c>
      <c r="H127" t="s">
        <v>4587</v>
      </c>
      <c r="I127" t="s">
        <v>4594</v>
      </c>
      <c r="J127">
        <v>1</v>
      </c>
      <c r="K127">
        <v>62.42</v>
      </c>
      <c r="L127">
        <v>0.1</v>
      </c>
      <c r="M127">
        <v>9.0500000000000007</v>
      </c>
      <c r="N127" t="s">
        <v>5463</v>
      </c>
      <c r="O127" t="s">
        <v>5473</v>
      </c>
      <c r="P127" t="s">
        <v>5477</v>
      </c>
      <c r="Q127" s="4">
        <v>56.178000000000004</v>
      </c>
    </row>
    <row r="128" spans="1:17" x14ac:dyDescent="0.3">
      <c r="A128" t="s">
        <v>139</v>
      </c>
      <c r="B128" t="s">
        <v>1537</v>
      </c>
      <c r="C128" s="1">
        <v>45985</v>
      </c>
      <c r="D128" t="s">
        <v>2734</v>
      </c>
      <c r="E128" t="s">
        <v>3376</v>
      </c>
      <c r="F128" t="s">
        <v>4564</v>
      </c>
      <c r="G128" t="s">
        <v>4573</v>
      </c>
      <c r="H128" t="s">
        <v>4585</v>
      </c>
      <c r="I128" t="s">
        <v>4598</v>
      </c>
      <c r="J128">
        <v>1</v>
      </c>
      <c r="K128">
        <v>2.95</v>
      </c>
      <c r="L128">
        <v>0</v>
      </c>
      <c r="M128">
        <v>11.1</v>
      </c>
      <c r="N128" t="s">
        <v>5466</v>
      </c>
      <c r="O128" t="s">
        <v>5470</v>
      </c>
      <c r="P128" t="s">
        <v>5475</v>
      </c>
      <c r="Q128" s="4">
        <v>2.95</v>
      </c>
    </row>
    <row r="129" spans="1:17" x14ac:dyDescent="0.3">
      <c r="A129" t="s">
        <v>140</v>
      </c>
      <c r="B129" t="s">
        <v>1538</v>
      </c>
      <c r="C129" s="1">
        <v>45888</v>
      </c>
      <c r="D129" t="s">
        <v>2689</v>
      </c>
      <c r="E129" t="s">
        <v>3377</v>
      </c>
      <c r="F129" t="s">
        <v>4569</v>
      </c>
      <c r="G129" t="s">
        <v>4580</v>
      </c>
      <c r="H129" t="s">
        <v>4586</v>
      </c>
      <c r="I129" t="s">
        <v>4599</v>
      </c>
      <c r="J129">
        <v>1</v>
      </c>
      <c r="K129">
        <v>252.41</v>
      </c>
      <c r="L129">
        <v>0.05</v>
      </c>
      <c r="M129">
        <v>0.63</v>
      </c>
      <c r="N129" t="s">
        <v>5465</v>
      </c>
      <c r="O129" t="s">
        <v>5481</v>
      </c>
      <c r="P129" t="s">
        <v>5477</v>
      </c>
      <c r="Q129" s="4">
        <v>239.78949999999998</v>
      </c>
    </row>
    <row r="130" spans="1:17" x14ac:dyDescent="0.3">
      <c r="A130" t="s">
        <v>141</v>
      </c>
      <c r="B130" t="s">
        <v>1539</v>
      </c>
      <c r="C130" s="1">
        <v>45367</v>
      </c>
      <c r="D130" t="s">
        <v>2735</v>
      </c>
      <c r="E130" t="s">
        <v>3378</v>
      </c>
      <c r="F130" t="s">
        <v>4549</v>
      </c>
      <c r="G130" t="s">
        <v>5481</v>
      </c>
      <c r="H130" t="s">
        <v>5481</v>
      </c>
      <c r="I130" t="s">
        <v>4605</v>
      </c>
      <c r="J130">
        <v>10</v>
      </c>
      <c r="K130">
        <v>44.02</v>
      </c>
      <c r="L130">
        <v>0.1</v>
      </c>
      <c r="M130">
        <v>0</v>
      </c>
      <c r="N130" t="s">
        <v>5468</v>
      </c>
      <c r="O130" t="s">
        <v>5469</v>
      </c>
      <c r="P130" t="s">
        <v>5479</v>
      </c>
      <c r="Q130" s="4">
        <v>396.18000000000006</v>
      </c>
    </row>
    <row r="131" spans="1:17" x14ac:dyDescent="0.3">
      <c r="A131" t="s">
        <v>142</v>
      </c>
      <c r="B131" t="s">
        <v>1540</v>
      </c>
      <c r="C131" s="1">
        <v>45398</v>
      </c>
      <c r="D131" t="s">
        <v>2682</v>
      </c>
      <c r="E131" t="s">
        <v>3379</v>
      </c>
      <c r="F131" t="s">
        <v>4566</v>
      </c>
      <c r="G131" t="s">
        <v>4582</v>
      </c>
      <c r="H131" t="s">
        <v>4583</v>
      </c>
      <c r="I131" t="s">
        <v>4605</v>
      </c>
      <c r="J131">
        <v>2</v>
      </c>
      <c r="K131">
        <v>43.07</v>
      </c>
      <c r="L131">
        <v>0.05</v>
      </c>
      <c r="M131">
        <v>6.25</v>
      </c>
      <c r="N131" t="s">
        <v>5467</v>
      </c>
      <c r="O131" t="s">
        <v>5472</v>
      </c>
      <c r="P131" t="s">
        <v>5477</v>
      </c>
      <c r="Q131" s="4">
        <v>81.832999999999998</v>
      </c>
    </row>
    <row r="132" spans="1:17" x14ac:dyDescent="0.3">
      <c r="A132" t="s">
        <v>143</v>
      </c>
      <c r="B132" t="s">
        <v>1541</v>
      </c>
      <c r="C132" s="1">
        <v>45519</v>
      </c>
      <c r="D132" t="s">
        <v>3223</v>
      </c>
      <c r="E132" t="s">
        <v>3380</v>
      </c>
      <c r="F132" t="s">
        <v>4565</v>
      </c>
      <c r="G132" t="s">
        <v>4579</v>
      </c>
      <c r="H132" t="s">
        <v>4584</v>
      </c>
      <c r="I132" t="s">
        <v>4589</v>
      </c>
      <c r="J132">
        <v>1</v>
      </c>
      <c r="K132">
        <v>34.1</v>
      </c>
      <c r="L132">
        <v>0</v>
      </c>
      <c r="M132">
        <v>13.61</v>
      </c>
      <c r="N132" t="s">
        <v>5463</v>
      </c>
      <c r="O132" t="s">
        <v>5481</v>
      </c>
      <c r="P132" t="s">
        <v>5477</v>
      </c>
      <c r="Q132" s="4">
        <v>34.1</v>
      </c>
    </row>
    <row r="133" spans="1:17" x14ac:dyDescent="0.3">
      <c r="A133" t="s">
        <v>144</v>
      </c>
      <c r="B133" t="s">
        <v>1542</v>
      </c>
      <c r="C133" s="1">
        <v>45971</v>
      </c>
      <c r="D133" t="s">
        <v>2737</v>
      </c>
      <c r="E133" t="s">
        <v>3381</v>
      </c>
      <c r="F133" t="s">
        <v>4564</v>
      </c>
      <c r="G133" t="s">
        <v>4573</v>
      </c>
      <c r="H133" t="s">
        <v>4584</v>
      </c>
      <c r="I133" t="s">
        <v>4607</v>
      </c>
      <c r="J133">
        <v>10</v>
      </c>
      <c r="K133">
        <v>25.41</v>
      </c>
      <c r="L133">
        <v>0</v>
      </c>
      <c r="M133">
        <v>1.49</v>
      </c>
      <c r="N133" t="s">
        <v>5468</v>
      </c>
      <c r="O133" t="s">
        <v>5470</v>
      </c>
      <c r="P133" t="s">
        <v>5477</v>
      </c>
      <c r="Q133" s="4">
        <v>254.1</v>
      </c>
    </row>
    <row r="134" spans="1:17" x14ac:dyDescent="0.3">
      <c r="A134" t="s">
        <v>145</v>
      </c>
      <c r="B134" t="s">
        <v>1543</v>
      </c>
      <c r="C134" s="1">
        <v>45972</v>
      </c>
      <c r="D134" t="s">
        <v>3091</v>
      </c>
      <c r="E134" t="s">
        <v>3382</v>
      </c>
      <c r="F134" t="s">
        <v>4549</v>
      </c>
      <c r="G134" t="s">
        <v>4574</v>
      </c>
      <c r="H134" t="s">
        <v>4584</v>
      </c>
      <c r="I134" t="s">
        <v>4607</v>
      </c>
      <c r="J134">
        <v>2</v>
      </c>
      <c r="K134">
        <v>25.53</v>
      </c>
      <c r="L134">
        <v>0.1</v>
      </c>
      <c r="M134">
        <v>0.73</v>
      </c>
      <c r="N134" t="s">
        <v>5465</v>
      </c>
      <c r="O134" t="s">
        <v>5469</v>
      </c>
      <c r="P134" t="s">
        <v>5477</v>
      </c>
      <c r="Q134" s="4">
        <v>45.954000000000001</v>
      </c>
    </row>
    <row r="135" spans="1:17" x14ac:dyDescent="0.3">
      <c r="A135" t="s">
        <v>146</v>
      </c>
      <c r="B135" t="s">
        <v>1544</v>
      </c>
      <c r="C135" s="1">
        <v>45626</v>
      </c>
      <c r="D135" t="s">
        <v>2739</v>
      </c>
      <c r="E135" t="s">
        <v>3383</v>
      </c>
      <c r="F135" t="s">
        <v>4565</v>
      </c>
      <c r="G135" t="s">
        <v>4576</v>
      </c>
      <c r="H135" t="s">
        <v>4587</v>
      </c>
      <c r="I135" t="s">
        <v>4600</v>
      </c>
      <c r="J135">
        <v>4</v>
      </c>
      <c r="K135">
        <v>13.11</v>
      </c>
      <c r="L135">
        <v>0</v>
      </c>
      <c r="M135">
        <v>1.1200000000000001</v>
      </c>
      <c r="N135" t="s">
        <v>5463</v>
      </c>
      <c r="O135" t="s">
        <v>5474</v>
      </c>
      <c r="P135" t="s">
        <v>5477</v>
      </c>
      <c r="Q135" s="4">
        <v>52.44</v>
      </c>
    </row>
    <row r="136" spans="1:17" x14ac:dyDescent="0.3">
      <c r="A136" t="s">
        <v>147</v>
      </c>
      <c r="B136" t="s">
        <v>1545</v>
      </c>
      <c r="C136" s="1">
        <v>45449</v>
      </c>
      <c r="D136" t="s">
        <v>2740</v>
      </c>
      <c r="E136" t="s">
        <v>3384</v>
      </c>
      <c r="F136" t="s">
        <v>4564</v>
      </c>
      <c r="G136" t="s">
        <v>4573</v>
      </c>
      <c r="H136" t="s">
        <v>4583</v>
      </c>
      <c r="I136" t="s">
        <v>4605</v>
      </c>
      <c r="J136">
        <v>1</v>
      </c>
      <c r="K136">
        <v>45.03</v>
      </c>
      <c r="L136">
        <v>0.05</v>
      </c>
      <c r="M136">
        <v>2.0699999999999998</v>
      </c>
      <c r="N136" t="s">
        <v>5463</v>
      </c>
      <c r="O136" t="s">
        <v>5473</v>
      </c>
      <c r="P136" t="s">
        <v>5476</v>
      </c>
      <c r="Q136" s="4">
        <v>42.778500000000001</v>
      </c>
    </row>
    <row r="137" spans="1:17" x14ac:dyDescent="0.3">
      <c r="A137" t="s">
        <v>148</v>
      </c>
      <c r="B137" t="s">
        <v>1546</v>
      </c>
      <c r="C137" s="1">
        <v>45444</v>
      </c>
      <c r="D137" t="s">
        <v>2735</v>
      </c>
      <c r="E137" t="s">
        <v>3385</v>
      </c>
      <c r="F137" t="s">
        <v>4549</v>
      </c>
      <c r="G137" t="s">
        <v>4574</v>
      </c>
      <c r="H137" t="s">
        <v>4586</v>
      </c>
      <c r="I137" t="s">
        <v>4599</v>
      </c>
      <c r="J137">
        <v>1</v>
      </c>
      <c r="K137">
        <v>242.54</v>
      </c>
      <c r="L137">
        <v>0</v>
      </c>
      <c r="M137">
        <v>4.99</v>
      </c>
      <c r="N137" t="s">
        <v>5465</v>
      </c>
      <c r="O137" t="s">
        <v>5470</v>
      </c>
      <c r="P137" t="s">
        <v>5477</v>
      </c>
      <c r="Q137" s="4">
        <v>242.54</v>
      </c>
    </row>
    <row r="138" spans="1:17" x14ac:dyDescent="0.3">
      <c r="A138" t="s">
        <v>149</v>
      </c>
      <c r="B138" t="s">
        <v>1547</v>
      </c>
      <c r="C138" s="1">
        <v>45844</v>
      </c>
      <c r="D138" t="s">
        <v>2642</v>
      </c>
      <c r="E138" t="s">
        <v>3386</v>
      </c>
      <c r="F138" t="s">
        <v>4564</v>
      </c>
      <c r="G138" t="s">
        <v>4578</v>
      </c>
      <c r="H138" t="s">
        <v>4585</v>
      </c>
      <c r="I138" t="s">
        <v>4602</v>
      </c>
      <c r="J138">
        <v>4</v>
      </c>
      <c r="K138">
        <v>4.3600000000000003</v>
      </c>
      <c r="L138">
        <v>0.15</v>
      </c>
      <c r="M138">
        <v>1.78</v>
      </c>
      <c r="N138" t="s">
        <v>5468</v>
      </c>
      <c r="O138" t="s">
        <v>5470</v>
      </c>
      <c r="P138" t="s">
        <v>5477</v>
      </c>
      <c r="Q138" s="4">
        <v>14.824</v>
      </c>
    </row>
    <row r="139" spans="1:17" x14ac:dyDescent="0.3">
      <c r="A139" t="s">
        <v>150</v>
      </c>
      <c r="B139" t="s">
        <v>1548</v>
      </c>
      <c r="C139" s="1">
        <v>45522</v>
      </c>
      <c r="D139" t="s">
        <v>2688</v>
      </c>
      <c r="E139" t="s">
        <v>3387</v>
      </c>
      <c r="F139" t="s">
        <v>4564</v>
      </c>
      <c r="G139" t="s">
        <v>4573</v>
      </c>
      <c r="H139" t="s">
        <v>4583</v>
      </c>
      <c r="I139" t="s">
        <v>4588</v>
      </c>
      <c r="J139">
        <v>5</v>
      </c>
      <c r="K139">
        <v>41.43</v>
      </c>
      <c r="L139">
        <v>0</v>
      </c>
      <c r="M139">
        <v>0</v>
      </c>
      <c r="N139" t="s">
        <v>5468</v>
      </c>
      <c r="O139" t="s">
        <v>5469</v>
      </c>
      <c r="P139" t="s">
        <v>5475</v>
      </c>
      <c r="Q139" s="4">
        <v>207.15</v>
      </c>
    </row>
    <row r="140" spans="1:17" x14ac:dyDescent="0.3">
      <c r="A140" t="s">
        <v>151</v>
      </c>
      <c r="B140" t="s">
        <v>1549</v>
      </c>
      <c r="C140" s="1">
        <v>45800</v>
      </c>
      <c r="D140" t="s">
        <v>2721</v>
      </c>
      <c r="E140" t="s">
        <v>3388</v>
      </c>
      <c r="F140" t="s">
        <v>4549</v>
      </c>
      <c r="G140" t="s">
        <v>4573</v>
      </c>
      <c r="H140" t="s">
        <v>4587</v>
      </c>
      <c r="I140" t="s">
        <v>4596</v>
      </c>
      <c r="J140">
        <v>2</v>
      </c>
      <c r="K140">
        <v>15.11</v>
      </c>
      <c r="L140">
        <v>0</v>
      </c>
      <c r="M140">
        <v>9.11</v>
      </c>
      <c r="N140" t="s">
        <v>5465</v>
      </c>
      <c r="O140" t="s">
        <v>5474</v>
      </c>
      <c r="P140" t="s">
        <v>5477</v>
      </c>
      <c r="Q140" s="4">
        <v>30.22</v>
      </c>
    </row>
    <row r="141" spans="1:17" x14ac:dyDescent="0.3">
      <c r="A141" t="s">
        <v>152</v>
      </c>
      <c r="B141" t="s">
        <v>1550</v>
      </c>
      <c r="C141" s="1">
        <v>45724</v>
      </c>
      <c r="D141" t="s">
        <v>2668</v>
      </c>
      <c r="E141" t="s">
        <v>3389</v>
      </c>
      <c r="F141" t="s">
        <v>4566</v>
      </c>
      <c r="G141" t="s">
        <v>4582</v>
      </c>
      <c r="H141" t="s">
        <v>4584</v>
      </c>
      <c r="I141" t="s">
        <v>4601</v>
      </c>
      <c r="J141">
        <v>1</v>
      </c>
      <c r="K141">
        <v>185.64</v>
      </c>
      <c r="L141">
        <v>0.05</v>
      </c>
      <c r="M141">
        <v>12.07</v>
      </c>
      <c r="N141" t="s">
        <v>5463</v>
      </c>
      <c r="O141" t="s">
        <v>5471</v>
      </c>
      <c r="P141" t="s">
        <v>5476</v>
      </c>
      <c r="Q141" s="4">
        <v>176.35799999999998</v>
      </c>
    </row>
    <row r="142" spans="1:17" x14ac:dyDescent="0.3">
      <c r="A142" t="s">
        <v>153</v>
      </c>
      <c r="B142" t="s">
        <v>1551</v>
      </c>
      <c r="C142" s="1">
        <v>45438</v>
      </c>
      <c r="D142" t="s">
        <v>2742</v>
      </c>
      <c r="E142" t="s">
        <v>3390</v>
      </c>
      <c r="F142" t="s">
        <v>4569</v>
      </c>
      <c r="G142" t="s">
        <v>4580</v>
      </c>
      <c r="H142" t="s">
        <v>4584</v>
      </c>
      <c r="I142" t="s">
        <v>4601</v>
      </c>
      <c r="J142">
        <v>10</v>
      </c>
      <c r="K142">
        <v>190.1</v>
      </c>
      <c r="L142">
        <v>0</v>
      </c>
      <c r="M142">
        <v>7.74</v>
      </c>
      <c r="N142" t="s">
        <v>5464</v>
      </c>
      <c r="O142" t="s">
        <v>5474</v>
      </c>
      <c r="P142" t="s">
        <v>5477</v>
      </c>
      <c r="Q142" s="4">
        <v>1901</v>
      </c>
    </row>
    <row r="143" spans="1:17" x14ac:dyDescent="0.3">
      <c r="A143" t="s">
        <v>154</v>
      </c>
      <c r="B143" t="s">
        <v>1552</v>
      </c>
      <c r="C143" s="1">
        <v>45965</v>
      </c>
      <c r="D143" t="s">
        <v>3234</v>
      </c>
      <c r="E143" t="s">
        <v>3391</v>
      </c>
      <c r="F143" t="s">
        <v>4566</v>
      </c>
      <c r="G143" t="s">
        <v>4573</v>
      </c>
      <c r="H143" t="s">
        <v>4583</v>
      </c>
      <c r="I143" t="s">
        <v>4610</v>
      </c>
      <c r="J143">
        <v>4</v>
      </c>
      <c r="K143">
        <v>82.96</v>
      </c>
      <c r="L143">
        <v>0</v>
      </c>
      <c r="M143">
        <v>4.54</v>
      </c>
      <c r="N143" t="s">
        <v>5465</v>
      </c>
      <c r="O143" t="s">
        <v>5471</v>
      </c>
      <c r="P143" t="s">
        <v>5476</v>
      </c>
      <c r="Q143" s="4">
        <v>331.84</v>
      </c>
    </row>
    <row r="144" spans="1:17" x14ac:dyDescent="0.3">
      <c r="A144" t="s">
        <v>155</v>
      </c>
      <c r="B144" t="s">
        <v>1553</v>
      </c>
      <c r="C144" s="1">
        <v>45959</v>
      </c>
      <c r="D144" t="s">
        <v>2744</v>
      </c>
      <c r="E144" t="s">
        <v>3392</v>
      </c>
      <c r="F144" t="s">
        <v>4565</v>
      </c>
      <c r="G144" t="s">
        <v>4576</v>
      </c>
      <c r="H144" t="s">
        <v>4586</v>
      </c>
      <c r="I144" t="s">
        <v>4597</v>
      </c>
      <c r="J144">
        <v>10</v>
      </c>
      <c r="K144">
        <v>84.95</v>
      </c>
      <c r="L144">
        <v>0</v>
      </c>
      <c r="N144" t="s">
        <v>5465</v>
      </c>
      <c r="O144" t="s">
        <v>5481</v>
      </c>
      <c r="P144" t="s">
        <v>5477</v>
      </c>
      <c r="Q144" s="4">
        <v>849.5</v>
      </c>
    </row>
    <row r="145" spans="1:17" x14ac:dyDescent="0.3">
      <c r="A145" t="s">
        <v>156</v>
      </c>
      <c r="B145" t="s">
        <v>1554</v>
      </c>
      <c r="C145" s="1">
        <v>45604</v>
      </c>
      <c r="D145" t="s">
        <v>2713</v>
      </c>
      <c r="E145" t="s">
        <v>3393</v>
      </c>
      <c r="F145" t="s">
        <v>4566</v>
      </c>
      <c r="G145" t="s">
        <v>4577</v>
      </c>
      <c r="H145" t="s">
        <v>4584</v>
      </c>
      <c r="I145" t="s">
        <v>4607</v>
      </c>
      <c r="J145">
        <v>5</v>
      </c>
      <c r="K145">
        <v>23.89</v>
      </c>
      <c r="L145">
        <v>0.1</v>
      </c>
      <c r="M145">
        <v>2.23</v>
      </c>
      <c r="N145" t="s">
        <v>5466</v>
      </c>
      <c r="O145" t="s">
        <v>5474</v>
      </c>
      <c r="P145" t="s">
        <v>5476</v>
      </c>
      <c r="Q145" s="4">
        <v>107.50500000000001</v>
      </c>
    </row>
    <row r="146" spans="1:17" x14ac:dyDescent="0.3">
      <c r="A146" t="s">
        <v>157</v>
      </c>
      <c r="B146" t="s">
        <v>1555</v>
      </c>
      <c r="C146" s="1">
        <v>45334</v>
      </c>
      <c r="D146" t="s">
        <v>2746</v>
      </c>
      <c r="E146" t="s">
        <v>3394</v>
      </c>
      <c r="F146" t="s">
        <v>4569</v>
      </c>
      <c r="G146" t="s">
        <v>4572</v>
      </c>
      <c r="H146" t="s">
        <v>4587</v>
      </c>
      <c r="I146" t="s">
        <v>4594</v>
      </c>
      <c r="J146">
        <v>5</v>
      </c>
      <c r="K146">
        <v>62.06</v>
      </c>
      <c r="L146">
        <v>0</v>
      </c>
      <c r="M146">
        <v>10.94</v>
      </c>
      <c r="N146" t="s">
        <v>5468</v>
      </c>
      <c r="O146" t="s">
        <v>5473</v>
      </c>
      <c r="P146" t="s">
        <v>5477</v>
      </c>
      <c r="Q146" s="4">
        <v>310.3</v>
      </c>
    </row>
    <row r="147" spans="1:17" x14ac:dyDescent="0.3">
      <c r="A147" t="s">
        <v>158</v>
      </c>
      <c r="B147" t="s">
        <v>1556</v>
      </c>
      <c r="C147" s="1">
        <v>45847</v>
      </c>
      <c r="D147" t="s">
        <v>2914</v>
      </c>
      <c r="E147" t="s">
        <v>3395</v>
      </c>
      <c r="F147" t="s">
        <v>4564</v>
      </c>
      <c r="G147" t="s">
        <v>4573</v>
      </c>
      <c r="H147" t="s">
        <v>4586</v>
      </c>
      <c r="I147" t="s">
        <v>4609</v>
      </c>
      <c r="J147">
        <v>1</v>
      </c>
      <c r="K147">
        <v>134.46</v>
      </c>
      <c r="L147">
        <v>0</v>
      </c>
      <c r="N147" t="s">
        <v>5481</v>
      </c>
      <c r="O147" t="s">
        <v>5470</v>
      </c>
      <c r="P147" t="s">
        <v>5477</v>
      </c>
      <c r="Q147" s="4">
        <v>134.46</v>
      </c>
    </row>
    <row r="148" spans="1:17" x14ac:dyDescent="0.3">
      <c r="A148" t="s">
        <v>159</v>
      </c>
      <c r="B148" t="s">
        <v>1557</v>
      </c>
      <c r="C148" s="1">
        <v>45719</v>
      </c>
      <c r="D148" t="s">
        <v>2748</v>
      </c>
      <c r="E148" t="s">
        <v>5481</v>
      </c>
      <c r="F148" t="s">
        <v>4569</v>
      </c>
      <c r="G148" t="s">
        <v>4581</v>
      </c>
      <c r="H148" t="s">
        <v>4587</v>
      </c>
      <c r="I148" t="s">
        <v>4594</v>
      </c>
      <c r="J148">
        <v>1</v>
      </c>
      <c r="K148">
        <v>61.36</v>
      </c>
      <c r="L148">
        <v>0</v>
      </c>
      <c r="M148">
        <v>0.52</v>
      </c>
      <c r="N148" t="s">
        <v>5466</v>
      </c>
      <c r="O148" t="s">
        <v>5472</v>
      </c>
      <c r="P148" t="s">
        <v>5477</v>
      </c>
      <c r="Q148" s="4">
        <v>61.36</v>
      </c>
    </row>
    <row r="149" spans="1:17" x14ac:dyDescent="0.3">
      <c r="A149" t="s">
        <v>160</v>
      </c>
      <c r="B149" t="s">
        <v>1558</v>
      </c>
      <c r="C149" s="1">
        <v>45717</v>
      </c>
      <c r="D149" t="s">
        <v>2749</v>
      </c>
      <c r="E149" t="s">
        <v>3396</v>
      </c>
      <c r="F149" t="s">
        <v>4565</v>
      </c>
      <c r="G149" t="s">
        <v>4575</v>
      </c>
      <c r="H149" t="s">
        <v>4585</v>
      </c>
      <c r="I149" t="s">
        <v>4590</v>
      </c>
      <c r="J149">
        <v>3</v>
      </c>
      <c r="K149">
        <v>13.82</v>
      </c>
      <c r="L149">
        <v>0.05</v>
      </c>
      <c r="M149">
        <v>8.35</v>
      </c>
      <c r="N149" t="s">
        <v>5481</v>
      </c>
      <c r="O149" t="s">
        <v>5474</v>
      </c>
      <c r="P149" t="s">
        <v>5476</v>
      </c>
      <c r="Q149" s="4">
        <v>39.387</v>
      </c>
    </row>
    <row r="150" spans="1:17" x14ac:dyDescent="0.3">
      <c r="A150" t="s">
        <v>161</v>
      </c>
      <c r="B150" t="s">
        <v>1559</v>
      </c>
      <c r="C150" s="1">
        <v>45540</v>
      </c>
      <c r="D150" t="s">
        <v>2750</v>
      </c>
      <c r="E150" t="s">
        <v>3397</v>
      </c>
      <c r="F150" t="s">
        <v>4565</v>
      </c>
      <c r="G150" t="s">
        <v>4575</v>
      </c>
      <c r="H150" t="s">
        <v>4584</v>
      </c>
      <c r="I150" t="s">
        <v>4608</v>
      </c>
      <c r="J150">
        <v>1</v>
      </c>
      <c r="K150">
        <v>18.71</v>
      </c>
      <c r="L150">
        <v>0.15</v>
      </c>
      <c r="M150">
        <v>5.71</v>
      </c>
      <c r="N150" t="s">
        <v>5464</v>
      </c>
      <c r="O150" t="s">
        <v>5472</v>
      </c>
      <c r="P150" t="s">
        <v>5479</v>
      </c>
      <c r="Q150" s="4">
        <v>15.903500000000001</v>
      </c>
    </row>
    <row r="151" spans="1:17" x14ac:dyDescent="0.3">
      <c r="A151" t="s">
        <v>162</v>
      </c>
      <c r="B151" t="s">
        <v>1560</v>
      </c>
      <c r="C151" s="1">
        <v>45870</v>
      </c>
      <c r="D151" t="s">
        <v>2893</v>
      </c>
      <c r="E151" t="s">
        <v>3398</v>
      </c>
      <c r="F151" t="s">
        <v>4564</v>
      </c>
      <c r="G151" t="s">
        <v>4578</v>
      </c>
      <c r="H151" t="s">
        <v>4584</v>
      </c>
      <c r="I151" t="s">
        <v>4601</v>
      </c>
      <c r="J151">
        <v>5</v>
      </c>
      <c r="K151">
        <v>185.73</v>
      </c>
      <c r="L151">
        <v>0</v>
      </c>
      <c r="M151">
        <v>8.31</v>
      </c>
      <c r="N151" t="s">
        <v>5463</v>
      </c>
      <c r="O151" t="s">
        <v>5481</v>
      </c>
      <c r="P151" t="s">
        <v>5477</v>
      </c>
      <c r="Q151" s="4">
        <v>928.65</v>
      </c>
    </row>
    <row r="152" spans="1:17" x14ac:dyDescent="0.3">
      <c r="A152" t="s">
        <v>163</v>
      </c>
      <c r="B152" t="s">
        <v>1561</v>
      </c>
      <c r="C152" s="1">
        <v>45858</v>
      </c>
      <c r="D152" t="s">
        <v>2730</v>
      </c>
      <c r="E152" t="s">
        <v>3399</v>
      </c>
      <c r="F152" t="s">
        <v>4565</v>
      </c>
      <c r="G152" t="s">
        <v>4579</v>
      </c>
      <c r="H152" t="s">
        <v>4584</v>
      </c>
      <c r="I152" t="s">
        <v>4603</v>
      </c>
      <c r="J152">
        <v>2</v>
      </c>
      <c r="K152">
        <v>9.8699999999999992</v>
      </c>
      <c r="L152">
        <v>0</v>
      </c>
      <c r="M152">
        <v>0</v>
      </c>
      <c r="N152" t="s">
        <v>5466</v>
      </c>
      <c r="O152" t="s">
        <v>5470</v>
      </c>
      <c r="P152" t="s">
        <v>5475</v>
      </c>
      <c r="Q152" s="4">
        <v>19.739999999999998</v>
      </c>
    </row>
    <row r="153" spans="1:17" x14ac:dyDescent="0.3">
      <c r="A153" t="s">
        <v>164</v>
      </c>
      <c r="B153" t="s">
        <v>1562</v>
      </c>
      <c r="C153" s="1">
        <v>45705</v>
      </c>
      <c r="D153" t="s">
        <v>2752</v>
      </c>
      <c r="E153" t="s">
        <v>3400</v>
      </c>
      <c r="F153" t="s">
        <v>4569</v>
      </c>
      <c r="G153" t="s">
        <v>4581</v>
      </c>
      <c r="H153" t="s">
        <v>4584</v>
      </c>
      <c r="I153" t="s">
        <v>4595</v>
      </c>
      <c r="J153">
        <v>3</v>
      </c>
      <c r="K153">
        <v>44.05</v>
      </c>
      <c r="L153">
        <v>0.1</v>
      </c>
      <c r="M153">
        <v>10.82</v>
      </c>
      <c r="N153" t="s">
        <v>5481</v>
      </c>
      <c r="O153" t="s">
        <v>5472</v>
      </c>
      <c r="P153" t="s">
        <v>5479</v>
      </c>
      <c r="Q153" s="4">
        <v>118.93499999999999</v>
      </c>
    </row>
    <row r="154" spans="1:17" x14ac:dyDescent="0.3">
      <c r="A154" t="s">
        <v>165</v>
      </c>
      <c r="B154" t="s">
        <v>1563</v>
      </c>
      <c r="C154" s="1">
        <v>45623</v>
      </c>
      <c r="D154" t="s">
        <v>2698</v>
      </c>
      <c r="E154" t="s">
        <v>3401</v>
      </c>
      <c r="F154" t="s">
        <v>4566</v>
      </c>
      <c r="G154" t="s">
        <v>5481</v>
      </c>
      <c r="H154" t="s">
        <v>4585</v>
      </c>
      <c r="I154" t="s">
        <v>4602</v>
      </c>
      <c r="J154">
        <v>3</v>
      </c>
      <c r="K154">
        <v>4.17</v>
      </c>
      <c r="L154">
        <v>0</v>
      </c>
      <c r="M154">
        <v>11.79</v>
      </c>
      <c r="N154" t="s">
        <v>5464</v>
      </c>
      <c r="O154" t="s">
        <v>5470</v>
      </c>
      <c r="P154" t="s">
        <v>5477</v>
      </c>
      <c r="Q154" s="4">
        <v>12.51</v>
      </c>
    </row>
    <row r="155" spans="1:17" x14ac:dyDescent="0.3">
      <c r="A155" t="s">
        <v>166</v>
      </c>
      <c r="B155" t="s">
        <v>1564</v>
      </c>
      <c r="C155" s="1">
        <v>45367</v>
      </c>
      <c r="D155" t="s">
        <v>2753</v>
      </c>
      <c r="E155" t="s">
        <v>3402</v>
      </c>
      <c r="F155" t="s">
        <v>4549</v>
      </c>
      <c r="G155" t="s">
        <v>4574</v>
      </c>
      <c r="H155" t="s">
        <v>4583</v>
      </c>
      <c r="I155" t="s">
        <v>4610</v>
      </c>
      <c r="J155">
        <v>4</v>
      </c>
      <c r="K155">
        <v>82.28</v>
      </c>
      <c r="L155">
        <v>0.1</v>
      </c>
      <c r="M155">
        <v>1.73</v>
      </c>
      <c r="N155" t="s">
        <v>5468</v>
      </c>
      <c r="O155" t="s">
        <v>5473</v>
      </c>
      <c r="P155" t="s">
        <v>5476</v>
      </c>
      <c r="Q155" s="4">
        <v>296.20800000000003</v>
      </c>
    </row>
    <row r="156" spans="1:17" x14ac:dyDescent="0.3">
      <c r="A156" t="s">
        <v>167</v>
      </c>
      <c r="B156" t="s">
        <v>1565</v>
      </c>
      <c r="C156" s="1">
        <v>45457</v>
      </c>
      <c r="D156" t="s">
        <v>2754</v>
      </c>
      <c r="E156" t="s">
        <v>3403</v>
      </c>
      <c r="F156" t="s">
        <v>4565</v>
      </c>
      <c r="G156" t="s">
        <v>4575</v>
      </c>
      <c r="H156" t="s">
        <v>4586</v>
      </c>
      <c r="I156" t="s">
        <v>4609</v>
      </c>
      <c r="J156">
        <v>1</v>
      </c>
      <c r="K156">
        <v>131.56</v>
      </c>
      <c r="L156">
        <v>0</v>
      </c>
      <c r="M156">
        <v>11.85</v>
      </c>
      <c r="N156" t="s">
        <v>5466</v>
      </c>
      <c r="O156" t="s">
        <v>5470</v>
      </c>
      <c r="P156" t="s">
        <v>5477</v>
      </c>
      <c r="Q156" s="4">
        <v>131.56</v>
      </c>
    </row>
    <row r="157" spans="1:17" x14ac:dyDescent="0.3">
      <c r="A157" t="s">
        <v>168</v>
      </c>
      <c r="B157" t="s">
        <v>1566</v>
      </c>
      <c r="C157" s="1">
        <v>45319</v>
      </c>
      <c r="D157" t="s">
        <v>2753</v>
      </c>
      <c r="E157" t="s">
        <v>3404</v>
      </c>
      <c r="F157" t="s">
        <v>4549</v>
      </c>
      <c r="G157" t="s">
        <v>4574</v>
      </c>
      <c r="H157" t="s">
        <v>4587</v>
      </c>
      <c r="I157" t="s">
        <v>4600</v>
      </c>
      <c r="J157">
        <v>2</v>
      </c>
      <c r="K157">
        <v>12.85</v>
      </c>
      <c r="L157">
        <v>0</v>
      </c>
      <c r="M157">
        <v>4.38</v>
      </c>
      <c r="N157" t="s">
        <v>5462</v>
      </c>
      <c r="O157" t="s">
        <v>5474</v>
      </c>
      <c r="P157" t="s">
        <v>5476</v>
      </c>
      <c r="Q157" s="4">
        <v>25.7</v>
      </c>
    </row>
    <row r="158" spans="1:17" x14ac:dyDescent="0.3">
      <c r="A158" t="s">
        <v>169</v>
      </c>
      <c r="B158" t="s">
        <v>1567</v>
      </c>
      <c r="C158" s="1">
        <v>45827</v>
      </c>
      <c r="D158" t="s">
        <v>2755</v>
      </c>
      <c r="E158" t="s">
        <v>3405</v>
      </c>
      <c r="F158" t="s">
        <v>4565</v>
      </c>
      <c r="G158" t="s">
        <v>4576</v>
      </c>
      <c r="H158" t="s">
        <v>4583</v>
      </c>
      <c r="I158" t="s">
        <v>4588</v>
      </c>
      <c r="J158">
        <v>10</v>
      </c>
      <c r="K158">
        <v>39.67</v>
      </c>
      <c r="L158">
        <v>0</v>
      </c>
      <c r="M158">
        <v>4.43</v>
      </c>
      <c r="N158" t="s">
        <v>5467</v>
      </c>
      <c r="O158" t="s">
        <v>5470</v>
      </c>
      <c r="P158" t="s">
        <v>5477</v>
      </c>
      <c r="Q158" s="4">
        <v>396.70000000000005</v>
      </c>
    </row>
    <row r="159" spans="1:17" x14ac:dyDescent="0.3">
      <c r="A159" t="s">
        <v>170</v>
      </c>
      <c r="B159" t="s">
        <v>1568</v>
      </c>
      <c r="C159" s="1">
        <v>45411</v>
      </c>
      <c r="D159" t="s">
        <v>2756</v>
      </c>
      <c r="E159" t="s">
        <v>3406</v>
      </c>
      <c r="F159" t="s">
        <v>4566</v>
      </c>
      <c r="G159" t="s">
        <v>4573</v>
      </c>
      <c r="H159" t="s">
        <v>4585</v>
      </c>
      <c r="I159" t="s">
        <v>4590</v>
      </c>
      <c r="J159">
        <v>10</v>
      </c>
      <c r="K159">
        <v>13.61</v>
      </c>
      <c r="L159">
        <v>0</v>
      </c>
      <c r="M159">
        <v>4.67</v>
      </c>
      <c r="N159" t="s">
        <v>5465</v>
      </c>
      <c r="O159" t="s">
        <v>5474</v>
      </c>
      <c r="P159" t="s">
        <v>5477</v>
      </c>
      <c r="Q159" s="4">
        <v>136.1</v>
      </c>
    </row>
    <row r="160" spans="1:17" x14ac:dyDescent="0.3">
      <c r="A160" t="s">
        <v>171</v>
      </c>
      <c r="B160" t="s">
        <v>1569</v>
      </c>
      <c r="C160" s="1">
        <v>45690</v>
      </c>
      <c r="D160" t="s">
        <v>2757</v>
      </c>
      <c r="E160" t="s">
        <v>3407</v>
      </c>
      <c r="F160" t="s">
        <v>4549</v>
      </c>
      <c r="G160" t="s">
        <v>4573</v>
      </c>
      <c r="H160" t="s">
        <v>4587</v>
      </c>
      <c r="I160" t="s">
        <v>4596</v>
      </c>
      <c r="J160">
        <v>4</v>
      </c>
      <c r="K160">
        <v>15.75</v>
      </c>
      <c r="L160">
        <v>0</v>
      </c>
      <c r="M160">
        <v>12.88</v>
      </c>
      <c r="N160" t="s">
        <v>5467</v>
      </c>
      <c r="O160" t="s">
        <v>5469</v>
      </c>
      <c r="P160" t="s">
        <v>5477</v>
      </c>
      <c r="Q160" s="4">
        <v>63</v>
      </c>
    </row>
    <row r="161" spans="1:17" x14ac:dyDescent="0.3">
      <c r="A161" t="s">
        <v>172</v>
      </c>
      <c r="B161" t="s">
        <v>1570</v>
      </c>
      <c r="C161" s="1">
        <v>45542</v>
      </c>
      <c r="D161" t="s">
        <v>2758</v>
      </c>
      <c r="E161" t="s">
        <v>3408</v>
      </c>
      <c r="F161" t="s">
        <v>4566</v>
      </c>
      <c r="G161" t="s">
        <v>4582</v>
      </c>
      <c r="H161" t="s">
        <v>4584</v>
      </c>
      <c r="I161" t="s">
        <v>4608</v>
      </c>
      <c r="J161">
        <v>2</v>
      </c>
      <c r="K161">
        <v>18.649999999999999</v>
      </c>
      <c r="L161">
        <v>0</v>
      </c>
      <c r="M161">
        <v>2.31</v>
      </c>
      <c r="N161" t="s">
        <v>5468</v>
      </c>
      <c r="O161" t="s">
        <v>5474</v>
      </c>
      <c r="P161" t="s">
        <v>5479</v>
      </c>
      <c r="Q161" s="4">
        <v>37.299999999999997</v>
      </c>
    </row>
    <row r="162" spans="1:17" x14ac:dyDescent="0.3">
      <c r="A162" t="s">
        <v>173</v>
      </c>
      <c r="B162" t="s">
        <v>1571</v>
      </c>
      <c r="C162" s="1">
        <v>45817</v>
      </c>
      <c r="D162" t="s">
        <v>2759</v>
      </c>
      <c r="E162" t="s">
        <v>3409</v>
      </c>
      <c r="F162" t="s">
        <v>4549</v>
      </c>
      <c r="G162" t="s">
        <v>4573</v>
      </c>
      <c r="H162" t="s">
        <v>4585</v>
      </c>
      <c r="I162" t="s">
        <v>4598</v>
      </c>
      <c r="J162">
        <v>3</v>
      </c>
      <c r="K162">
        <v>3.17</v>
      </c>
      <c r="L162">
        <v>0</v>
      </c>
      <c r="M162">
        <v>0</v>
      </c>
      <c r="N162" t="s">
        <v>5465</v>
      </c>
      <c r="O162" t="s">
        <v>5469</v>
      </c>
      <c r="P162" t="s">
        <v>5476</v>
      </c>
      <c r="Q162" s="4">
        <v>9.51</v>
      </c>
    </row>
    <row r="163" spans="1:17" x14ac:dyDescent="0.3">
      <c r="A163" t="s">
        <v>174</v>
      </c>
      <c r="B163" t="s">
        <v>1572</v>
      </c>
      <c r="C163" s="1">
        <v>45450</v>
      </c>
      <c r="D163" t="s">
        <v>2760</v>
      </c>
      <c r="E163" t="s">
        <v>3410</v>
      </c>
      <c r="F163" t="s">
        <v>4566</v>
      </c>
      <c r="G163" t="s">
        <v>4573</v>
      </c>
      <c r="H163" t="s">
        <v>4587</v>
      </c>
      <c r="I163" t="s">
        <v>4594</v>
      </c>
      <c r="J163">
        <v>1</v>
      </c>
      <c r="K163">
        <v>58.97</v>
      </c>
      <c r="L163">
        <v>0.05</v>
      </c>
      <c r="M163">
        <v>0.68</v>
      </c>
      <c r="N163" t="s">
        <v>5481</v>
      </c>
      <c r="O163" t="s">
        <v>5474</v>
      </c>
      <c r="P163" t="s">
        <v>5477</v>
      </c>
      <c r="Q163" s="4">
        <v>56.021499999999996</v>
      </c>
    </row>
    <row r="164" spans="1:17" x14ac:dyDescent="0.3">
      <c r="A164" t="s">
        <v>175</v>
      </c>
      <c r="B164" t="s">
        <v>1573</v>
      </c>
      <c r="C164" s="1">
        <v>45442</v>
      </c>
      <c r="D164" t="s">
        <v>5488</v>
      </c>
      <c r="E164" t="s">
        <v>3411</v>
      </c>
      <c r="F164" t="s">
        <v>4569</v>
      </c>
      <c r="G164" t="s">
        <v>4580</v>
      </c>
      <c r="H164" t="s">
        <v>4587</v>
      </c>
      <c r="I164" t="s">
        <v>4606</v>
      </c>
      <c r="J164">
        <v>1</v>
      </c>
      <c r="K164">
        <v>31.07</v>
      </c>
      <c r="L164">
        <v>0.05</v>
      </c>
      <c r="M164">
        <v>1.1299999999999999</v>
      </c>
      <c r="N164" t="s">
        <v>5481</v>
      </c>
      <c r="O164" t="s">
        <v>5481</v>
      </c>
      <c r="P164" t="s">
        <v>5475</v>
      </c>
      <c r="Q164" s="4">
        <v>29.516500000000001</v>
      </c>
    </row>
    <row r="165" spans="1:17" x14ac:dyDescent="0.3">
      <c r="A165" t="s">
        <v>176</v>
      </c>
      <c r="B165" t="s">
        <v>1574</v>
      </c>
      <c r="C165" s="1">
        <v>45650</v>
      </c>
      <c r="D165" t="s">
        <v>2761</v>
      </c>
      <c r="E165" t="s">
        <v>3412</v>
      </c>
      <c r="F165" t="s">
        <v>4549</v>
      </c>
      <c r="G165" t="s">
        <v>4574</v>
      </c>
      <c r="H165" t="s">
        <v>4587</v>
      </c>
      <c r="I165" t="s">
        <v>4596</v>
      </c>
      <c r="J165">
        <v>1</v>
      </c>
      <c r="K165">
        <v>15.57</v>
      </c>
      <c r="L165">
        <v>0.1</v>
      </c>
      <c r="M165">
        <v>13.08</v>
      </c>
      <c r="N165" t="s">
        <v>5466</v>
      </c>
      <c r="O165" t="s">
        <v>5470</v>
      </c>
      <c r="P165" t="s">
        <v>5479</v>
      </c>
      <c r="Q165" s="4">
        <v>14.013</v>
      </c>
    </row>
    <row r="166" spans="1:17" x14ac:dyDescent="0.3">
      <c r="A166" t="s">
        <v>177</v>
      </c>
      <c r="B166" t="s">
        <v>1575</v>
      </c>
      <c r="C166" s="1">
        <v>45670</v>
      </c>
      <c r="D166" t="s">
        <v>3041</v>
      </c>
      <c r="E166" t="s">
        <v>3413</v>
      </c>
      <c r="F166" t="s">
        <v>4565</v>
      </c>
      <c r="G166" t="s">
        <v>4579</v>
      </c>
      <c r="H166" t="s">
        <v>4583</v>
      </c>
      <c r="I166" t="s">
        <v>4588</v>
      </c>
      <c r="J166">
        <v>4</v>
      </c>
      <c r="K166">
        <v>38.090000000000003</v>
      </c>
      <c r="L166">
        <v>0.1</v>
      </c>
      <c r="M166">
        <v>5.61</v>
      </c>
      <c r="N166" t="s">
        <v>5467</v>
      </c>
      <c r="O166" t="s">
        <v>5469</v>
      </c>
      <c r="P166" t="s">
        <v>5477</v>
      </c>
      <c r="Q166" s="4">
        <v>137.12400000000002</v>
      </c>
    </row>
    <row r="167" spans="1:17" x14ac:dyDescent="0.3">
      <c r="A167" t="s">
        <v>178</v>
      </c>
      <c r="B167" t="s">
        <v>1576</v>
      </c>
      <c r="C167" s="1">
        <v>45632</v>
      </c>
      <c r="D167" t="s">
        <v>2645</v>
      </c>
      <c r="E167" t="s">
        <v>3414</v>
      </c>
      <c r="F167" t="s">
        <v>4564</v>
      </c>
      <c r="G167" t="s">
        <v>4573</v>
      </c>
      <c r="H167" t="s">
        <v>4587</v>
      </c>
      <c r="I167" t="s">
        <v>4600</v>
      </c>
      <c r="J167">
        <v>1</v>
      </c>
      <c r="K167">
        <v>12.48</v>
      </c>
      <c r="L167">
        <v>0.1</v>
      </c>
      <c r="M167">
        <v>12.14</v>
      </c>
      <c r="N167" t="s">
        <v>5466</v>
      </c>
      <c r="O167" t="s">
        <v>5481</v>
      </c>
      <c r="P167" t="s">
        <v>5477</v>
      </c>
      <c r="Q167" s="4">
        <v>11.232000000000001</v>
      </c>
    </row>
    <row r="168" spans="1:17" x14ac:dyDescent="0.3">
      <c r="A168" t="s">
        <v>179</v>
      </c>
      <c r="B168" t="s">
        <v>1577</v>
      </c>
      <c r="C168" s="1">
        <v>45487</v>
      </c>
      <c r="D168" t="s">
        <v>2763</v>
      </c>
      <c r="E168" t="s">
        <v>3415</v>
      </c>
      <c r="F168" t="s">
        <v>4564</v>
      </c>
      <c r="G168" t="s">
        <v>4578</v>
      </c>
      <c r="H168" t="s">
        <v>4583</v>
      </c>
      <c r="I168" t="s">
        <v>4605</v>
      </c>
      <c r="J168">
        <v>2</v>
      </c>
      <c r="K168">
        <v>43.88</v>
      </c>
      <c r="L168">
        <v>0.1</v>
      </c>
      <c r="M168">
        <v>5.0199999999999996</v>
      </c>
      <c r="N168" t="s">
        <v>5468</v>
      </c>
      <c r="O168" t="s">
        <v>5472</v>
      </c>
      <c r="P168" t="s">
        <v>5479</v>
      </c>
      <c r="Q168" s="4">
        <v>78.984000000000009</v>
      </c>
    </row>
    <row r="169" spans="1:17" x14ac:dyDescent="0.3">
      <c r="A169" t="s">
        <v>180</v>
      </c>
      <c r="B169" t="s">
        <v>1578</v>
      </c>
      <c r="C169" s="1">
        <v>45532</v>
      </c>
      <c r="D169" t="s">
        <v>2764</v>
      </c>
      <c r="E169" t="s">
        <v>3416</v>
      </c>
      <c r="F169" t="s">
        <v>4566</v>
      </c>
      <c r="G169" t="s">
        <v>4577</v>
      </c>
      <c r="H169" t="s">
        <v>4583</v>
      </c>
      <c r="I169" t="s">
        <v>4610</v>
      </c>
      <c r="J169">
        <v>2</v>
      </c>
      <c r="K169">
        <v>79.709999999999994</v>
      </c>
      <c r="L169">
        <v>0</v>
      </c>
      <c r="M169">
        <v>2.99</v>
      </c>
      <c r="N169" t="s">
        <v>5467</v>
      </c>
      <c r="O169" t="s">
        <v>5469</v>
      </c>
      <c r="P169" t="s">
        <v>5477</v>
      </c>
      <c r="Q169" s="4">
        <v>159.41999999999999</v>
      </c>
    </row>
    <row r="170" spans="1:17" x14ac:dyDescent="0.3">
      <c r="A170" t="s">
        <v>181</v>
      </c>
      <c r="B170" t="s">
        <v>1579</v>
      </c>
      <c r="C170" s="1">
        <v>45782</v>
      </c>
      <c r="D170" t="s">
        <v>2765</v>
      </c>
      <c r="E170" t="s">
        <v>3417</v>
      </c>
      <c r="F170" t="s">
        <v>4569</v>
      </c>
      <c r="G170" t="s">
        <v>4580</v>
      </c>
      <c r="H170" t="s">
        <v>4587</v>
      </c>
      <c r="I170" t="s">
        <v>4600</v>
      </c>
      <c r="J170">
        <v>1</v>
      </c>
      <c r="K170">
        <v>13.39</v>
      </c>
      <c r="L170">
        <v>0</v>
      </c>
      <c r="M170">
        <v>1.56</v>
      </c>
      <c r="N170" t="s">
        <v>5481</v>
      </c>
      <c r="O170" t="s">
        <v>5470</v>
      </c>
      <c r="P170" t="s">
        <v>5477</v>
      </c>
      <c r="Q170" s="4">
        <v>13.39</v>
      </c>
    </row>
    <row r="171" spans="1:17" x14ac:dyDescent="0.3">
      <c r="A171" t="s">
        <v>182</v>
      </c>
      <c r="B171" t="s">
        <v>1580</v>
      </c>
      <c r="C171" s="1">
        <v>45891</v>
      </c>
      <c r="D171" t="s">
        <v>2644</v>
      </c>
      <c r="E171" t="s">
        <v>3418</v>
      </c>
      <c r="F171" t="s">
        <v>4569</v>
      </c>
      <c r="G171" t="s">
        <v>4572</v>
      </c>
      <c r="H171" t="s">
        <v>4583</v>
      </c>
      <c r="I171" t="s">
        <v>4588</v>
      </c>
      <c r="J171">
        <v>2</v>
      </c>
      <c r="K171">
        <v>39.54</v>
      </c>
      <c r="L171">
        <v>0.15</v>
      </c>
      <c r="M171">
        <v>0.17</v>
      </c>
      <c r="N171" t="s">
        <v>5468</v>
      </c>
      <c r="O171" t="s">
        <v>5481</v>
      </c>
      <c r="P171" t="s">
        <v>5479</v>
      </c>
      <c r="Q171" s="4">
        <v>67.218000000000004</v>
      </c>
    </row>
    <row r="172" spans="1:17" x14ac:dyDescent="0.3">
      <c r="A172" t="s">
        <v>183</v>
      </c>
      <c r="B172" t="s">
        <v>1581</v>
      </c>
      <c r="C172" s="1">
        <v>45717</v>
      </c>
      <c r="D172" t="s">
        <v>2766</v>
      </c>
      <c r="E172" t="s">
        <v>3419</v>
      </c>
      <c r="F172" t="s">
        <v>4549</v>
      </c>
      <c r="G172" t="s">
        <v>4574</v>
      </c>
      <c r="H172" t="s">
        <v>4586</v>
      </c>
      <c r="I172" t="s">
        <v>4593</v>
      </c>
      <c r="J172">
        <v>1</v>
      </c>
      <c r="K172">
        <v>114.43</v>
      </c>
      <c r="L172">
        <v>0</v>
      </c>
      <c r="M172">
        <v>11.13</v>
      </c>
      <c r="N172" t="s">
        <v>5481</v>
      </c>
      <c r="O172" t="s">
        <v>5472</v>
      </c>
      <c r="P172" t="s">
        <v>5476</v>
      </c>
      <c r="Q172" s="4">
        <v>114.43</v>
      </c>
    </row>
    <row r="173" spans="1:17" x14ac:dyDescent="0.3">
      <c r="A173" t="s">
        <v>184</v>
      </c>
      <c r="B173" t="s">
        <v>1582</v>
      </c>
      <c r="C173" s="1">
        <v>45506</v>
      </c>
      <c r="D173" t="s">
        <v>2767</v>
      </c>
      <c r="E173" t="s">
        <v>3420</v>
      </c>
      <c r="F173" t="s">
        <v>4569</v>
      </c>
      <c r="G173" t="s">
        <v>4572</v>
      </c>
      <c r="H173" t="s">
        <v>4585</v>
      </c>
      <c r="I173" t="s">
        <v>4592</v>
      </c>
      <c r="J173">
        <v>1</v>
      </c>
      <c r="K173">
        <v>6.66</v>
      </c>
      <c r="L173">
        <v>0</v>
      </c>
      <c r="M173">
        <v>0.92</v>
      </c>
      <c r="N173" t="s">
        <v>5481</v>
      </c>
      <c r="O173" t="s">
        <v>5474</v>
      </c>
      <c r="P173" t="s">
        <v>5477</v>
      </c>
      <c r="Q173" s="4">
        <v>6.66</v>
      </c>
    </row>
    <row r="174" spans="1:17" x14ac:dyDescent="0.3">
      <c r="A174" t="s">
        <v>185</v>
      </c>
      <c r="B174" t="s">
        <v>1583</v>
      </c>
      <c r="C174" s="1">
        <v>45879</v>
      </c>
      <c r="D174" t="s">
        <v>2768</v>
      </c>
      <c r="E174" t="s">
        <v>3421</v>
      </c>
      <c r="F174" t="s">
        <v>4569</v>
      </c>
      <c r="G174" t="s">
        <v>4581</v>
      </c>
      <c r="H174" t="s">
        <v>4585</v>
      </c>
      <c r="I174" t="s">
        <v>4602</v>
      </c>
      <c r="J174">
        <v>1</v>
      </c>
      <c r="K174">
        <v>4.3099999999999996</v>
      </c>
      <c r="L174">
        <v>0</v>
      </c>
      <c r="M174">
        <v>5.2</v>
      </c>
      <c r="N174" t="s">
        <v>5464</v>
      </c>
      <c r="O174" t="s">
        <v>5474</v>
      </c>
      <c r="P174" t="s">
        <v>5477</v>
      </c>
      <c r="Q174" s="4">
        <v>4.3099999999999996</v>
      </c>
    </row>
    <row r="175" spans="1:17" x14ac:dyDescent="0.3">
      <c r="A175" t="s">
        <v>186</v>
      </c>
      <c r="B175" t="s">
        <v>1584</v>
      </c>
      <c r="C175" s="1">
        <v>45591</v>
      </c>
      <c r="D175" t="s">
        <v>2769</v>
      </c>
      <c r="E175" t="s">
        <v>3422</v>
      </c>
      <c r="F175" t="s">
        <v>4566</v>
      </c>
      <c r="G175" t="s">
        <v>4577</v>
      </c>
      <c r="H175" t="s">
        <v>4585</v>
      </c>
      <c r="I175" t="s">
        <v>4602</v>
      </c>
      <c r="J175">
        <v>1</v>
      </c>
      <c r="K175">
        <v>4.45</v>
      </c>
      <c r="L175">
        <v>0.15</v>
      </c>
      <c r="M175">
        <v>0</v>
      </c>
      <c r="N175" t="s">
        <v>5481</v>
      </c>
      <c r="O175" t="s">
        <v>5474</v>
      </c>
      <c r="P175" t="s">
        <v>5477</v>
      </c>
      <c r="Q175" s="4">
        <v>3.7825000000000002</v>
      </c>
    </row>
    <row r="176" spans="1:17" x14ac:dyDescent="0.3">
      <c r="A176" t="s">
        <v>187</v>
      </c>
      <c r="B176" t="s">
        <v>1585</v>
      </c>
      <c r="C176" s="1">
        <v>45872</v>
      </c>
      <c r="D176" t="s">
        <v>2663</v>
      </c>
      <c r="E176" t="s">
        <v>3423</v>
      </c>
      <c r="F176" t="s">
        <v>4565</v>
      </c>
      <c r="G176" t="s">
        <v>4579</v>
      </c>
      <c r="H176" t="s">
        <v>4587</v>
      </c>
      <c r="I176" t="s">
        <v>4596</v>
      </c>
      <c r="J176">
        <v>2</v>
      </c>
      <c r="K176">
        <v>14.29</v>
      </c>
      <c r="L176">
        <v>0.05</v>
      </c>
      <c r="M176">
        <v>0.65</v>
      </c>
      <c r="N176" t="s">
        <v>5468</v>
      </c>
      <c r="O176" t="s">
        <v>5470</v>
      </c>
      <c r="P176" t="s">
        <v>5477</v>
      </c>
      <c r="Q176" s="4">
        <v>27.150999999999996</v>
      </c>
    </row>
    <row r="177" spans="1:17" x14ac:dyDescent="0.3">
      <c r="A177" t="s">
        <v>188</v>
      </c>
      <c r="B177" t="s">
        <v>1586</v>
      </c>
      <c r="C177" s="1">
        <v>45588</v>
      </c>
      <c r="D177" t="s">
        <v>2770</v>
      </c>
      <c r="E177" t="s">
        <v>3424</v>
      </c>
      <c r="F177" t="s">
        <v>4566</v>
      </c>
      <c r="G177" t="s">
        <v>4573</v>
      </c>
      <c r="H177" t="s">
        <v>4586</v>
      </c>
      <c r="I177" t="s">
        <v>4593</v>
      </c>
      <c r="J177">
        <v>2</v>
      </c>
      <c r="K177">
        <v>114.11</v>
      </c>
      <c r="L177">
        <v>0</v>
      </c>
      <c r="M177">
        <v>0</v>
      </c>
      <c r="N177" t="s">
        <v>5463</v>
      </c>
      <c r="O177" t="s">
        <v>5473</v>
      </c>
      <c r="P177" t="s">
        <v>5477</v>
      </c>
      <c r="Q177" s="4">
        <v>228.22</v>
      </c>
    </row>
    <row r="178" spans="1:17" x14ac:dyDescent="0.3">
      <c r="A178" t="s">
        <v>189</v>
      </c>
      <c r="B178" t="s">
        <v>1587</v>
      </c>
      <c r="C178" s="1">
        <v>45433</v>
      </c>
      <c r="D178" t="s">
        <v>2771</v>
      </c>
      <c r="E178" t="s">
        <v>3425</v>
      </c>
      <c r="F178" t="s">
        <v>4564</v>
      </c>
      <c r="G178" t="s">
        <v>4573</v>
      </c>
      <c r="H178" t="s">
        <v>4585</v>
      </c>
      <c r="I178" t="s">
        <v>4592</v>
      </c>
      <c r="J178">
        <v>1</v>
      </c>
      <c r="K178">
        <v>6.55</v>
      </c>
      <c r="L178">
        <v>0</v>
      </c>
      <c r="M178">
        <v>1.06</v>
      </c>
      <c r="N178" t="s">
        <v>5464</v>
      </c>
      <c r="O178" t="s">
        <v>5470</v>
      </c>
      <c r="P178" t="s">
        <v>5477</v>
      </c>
      <c r="Q178" s="4">
        <v>6.55</v>
      </c>
    </row>
    <row r="179" spans="1:17" x14ac:dyDescent="0.3">
      <c r="A179" t="s">
        <v>190</v>
      </c>
      <c r="B179" t="s">
        <v>1588</v>
      </c>
      <c r="C179" s="1">
        <v>45751</v>
      </c>
      <c r="D179" t="s">
        <v>2733</v>
      </c>
      <c r="E179" t="s">
        <v>5481</v>
      </c>
      <c r="F179" t="s">
        <v>4569</v>
      </c>
      <c r="G179" t="s">
        <v>4580</v>
      </c>
      <c r="H179" t="s">
        <v>4587</v>
      </c>
      <c r="I179" t="s">
        <v>4596</v>
      </c>
      <c r="J179">
        <v>5</v>
      </c>
      <c r="K179">
        <v>15.11</v>
      </c>
      <c r="L179">
        <v>0.05</v>
      </c>
      <c r="M179">
        <v>0</v>
      </c>
      <c r="N179" t="s">
        <v>5465</v>
      </c>
      <c r="O179" t="s">
        <v>5473</v>
      </c>
      <c r="P179" t="s">
        <v>5477</v>
      </c>
      <c r="Q179" s="4">
        <v>71.772499999999994</v>
      </c>
    </row>
    <row r="180" spans="1:17" x14ac:dyDescent="0.3">
      <c r="A180" t="s">
        <v>191</v>
      </c>
      <c r="B180" t="s">
        <v>1589</v>
      </c>
      <c r="C180" s="1">
        <v>45742</v>
      </c>
      <c r="D180" t="s">
        <v>2847</v>
      </c>
      <c r="E180" t="s">
        <v>3426</v>
      </c>
      <c r="F180" t="s">
        <v>4566</v>
      </c>
      <c r="G180" t="s">
        <v>4582</v>
      </c>
      <c r="H180" t="s">
        <v>4583</v>
      </c>
      <c r="I180" t="s">
        <v>4588</v>
      </c>
      <c r="J180">
        <v>1</v>
      </c>
      <c r="K180">
        <v>39.32</v>
      </c>
      <c r="L180">
        <v>0</v>
      </c>
      <c r="M180">
        <v>7.99</v>
      </c>
      <c r="N180" t="s">
        <v>5481</v>
      </c>
      <c r="O180" t="s">
        <v>5472</v>
      </c>
      <c r="P180" t="s">
        <v>5475</v>
      </c>
      <c r="Q180" s="4">
        <v>39.32</v>
      </c>
    </row>
    <row r="181" spans="1:17" x14ac:dyDescent="0.3">
      <c r="A181" t="s">
        <v>192</v>
      </c>
      <c r="B181" t="s">
        <v>1590</v>
      </c>
      <c r="C181" s="1">
        <v>45373</v>
      </c>
      <c r="D181" t="s">
        <v>2757</v>
      </c>
      <c r="E181" t="s">
        <v>3427</v>
      </c>
      <c r="F181" t="s">
        <v>4564</v>
      </c>
      <c r="G181" t="s">
        <v>4573</v>
      </c>
      <c r="H181" t="s">
        <v>4584</v>
      </c>
      <c r="I181" t="s">
        <v>4589</v>
      </c>
      <c r="J181">
        <v>1</v>
      </c>
      <c r="K181">
        <v>33.729999999999997</v>
      </c>
      <c r="L181">
        <v>0</v>
      </c>
      <c r="M181">
        <v>2.89</v>
      </c>
      <c r="N181" t="s">
        <v>5463</v>
      </c>
      <c r="O181" t="s">
        <v>5471</v>
      </c>
      <c r="P181" t="s">
        <v>5477</v>
      </c>
      <c r="Q181" s="4">
        <v>33.729999999999997</v>
      </c>
    </row>
    <row r="182" spans="1:17" x14ac:dyDescent="0.3">
      <c r="A182" t="s">
        <v>193</v>
      </c>
      <c r="B182" t="s">
        <v>1591</v>
      </c>
      <c r="C182" s="1">
        <v>45798</v>
      </c>
      <c r="D182" t="s">
        <v>2774</v>
      </c>
      <c r="E182" t="s">
        <v>3428</v>
      </c>
      <c r="F182" t="s">
        <v>4549</v>
      </c>
      <c r="G182" t="s">
        <v>4574</v>
      </c>
      <c r="H182" t="s">
        <v>4587</v>
      </c>
      <c r="I182" t="s">
        <v>4606</v>
      </c>
      <c r="J182">
        <v>1</v>
      </c>
      <c r="K182">
        <v>28.77</v>
      </c>
      <c r="L182">
        <v>0.15</v>
      </c>
      <c r="M182">
        <v>0</v>
      </c>
      <c r="N182" t="s">
        <v>5463</v>
      </c>
      <c r="O182" t="s">
        <v>5473</v>
      </c>
      <c r="P182" t="s">
        <v>5476</v>
      </c>
      <c r="Q182" s="4">
        <v>24.454499999999999</v>
      </c>
    </row>
    <row r="183" spans="1:17" x14ac:dyDescent="0.3">
      <c r="A183" t="s">
        <v>194</v>
      </c>
      <c r="B183" t="s">
        <v>1592</v>
      </c>
      <c r="C183" s="1">
        <v>45514</v>
      </c>
      <c r="D183" t="s">
        <v>2764</v>
      </c>
      <c r="E183" t="s">
        <v>3429</v>
      </c>
      <c r="F183" t="s">
        <v>4564</v>
      </c>
      <c r="G183" t="s">
        <v>4578</v>
      </c>
      <c r="H183" t="s">
        <v>4586</v>
      </c>
      <c r="I183" t="s">
        <v>4597</v>
      </c>
      <c r="J183">
        <v>2</v>
      </c>
      <c r="K183">
        <v>91.77</v>
      </c>
      <c r="L183">
        <v>0.1</v>
      </c>
      <c r="M183">
        <v>7.54</v>
      </c>
      <c r="N183" t="s">
        <v>5468</v>
      </c>
      <c r="O183" t="s">
        <v>5481</v>
      </c>
      <c r="P183" t="s">
        <v>5477</v>
      </c>
      <c r="Q183" s="4">
        <v>165.18600000000001</v>
      </c>
    </row>
    <row r="184" spans="1:17" x14ac:dyDescent="0.3">
      <c r="A184" t="s">
        <v>195</v>
      </c>
      <c r="B184" t="s">
        <v>1593</v>
      </c>
      <c r="C184" s="1">
        <v>45676</v>
      </c>
      <c r="D184" t="s">
        <v>2775</v>
      </c>
      <c r="E184" t="s">
        <v>3430</v>
      </c>
      <c r="F184" t="s">
        <v>4566</v>
      </c>
      <c r="G184" t="s">
        <v>4573</v>
      </c>
      <c r="H184" t="s">
        <v>4587</v>
      </c>
      <c r="I184" t="s">
        <v>4594</v>
      </c>
      <c r="J184">
        <v>2</v>
      </c>
      <c r="K184">
        <v>61.48</v>
      </c>
      <c r="L184">
        <v>0</v>
      </c>
      <c r="M184">
        <v>10.28</v>
      </c>
      <c r="N184" t="s">
        <v>5462</v>
      </c>
      <c r="O184" t="s">
        <v>5470</v>
      </c>
      <c r="P184" t="s">
        <v>5476</v>
      </c>
      <c r="Q184" s="4">
        <v>122.96</v>
      </c>
    </row>
    <row r="185" spans="1:17" x14ac:dyDescent="0.3">
      <c r="A185" t="s">
        <v>196</v>
      </c>
      <c r="B185" t="s">
        <v>1594</v>
      </c>
      <c r="C185" s="1">
        <v>45782</v>
      </c>
      <c r="D185" t="s">
        <v>2827</v>
      </c>
      <c r="E185" t="s">
        <v>3431</v>
      </c>
      <c r="F185" t="s">
        <v>4569</v>
      </c>
      <c r="G185" t="s">
        <v>4580</v>
      </c>
      <c r="H185" t="s">
        <v>4587</v>
      </c>
      <c r="I185" t="s">
        <v>4596</v>
      </c>
      <c r="J185">
        <v>4</v>
      </c>
      <c r="K185">
        <v>15.53</v>
      </c>
      <c r="L185">
        <v>0</v>
      </c>
      <c r="M185">
        <v>10.45</v>
      </c>
      <c r="N185" t="s">
        <v>5468</v>
      </c>
      <c r="O185" t="s">
        <v>5481</v>
      </c>
      <c r="P185" t="s">
        <v>5477</v>
      </c>
      <c r="Q185" s="4">
        <v>62.12</v>
      </c>
    </row>
    <row r="186" spans="1:17" x14ac:dyDescent="0.3">
      <c r="A186" t="s">
        <v>197</v>
      </c>
      <c r="B186" t="s">
        <v>1595</v>
      </c>
      <c r="C186" s="1">
        <v>45314</v>
      </c>
      <c r="D186" t="s">
        <v>2705</v>
      </c>
      <c r="E186" t="s">
        <v>3432</v>
      </c>
      <c r="F186" t="s">
        <v>4564</v>
      </c>
      <c r="G186" t="s">
        <v>4573</v>
      </c>
      <c r="H186" t="s">
        <v>4587</v>
      </c>
      <c r="I186" t="s">
        <v>4606</v>
      </c>
      <c r="J186">
        <v>1</v>
      </c>
      <c r="K186">
        <v>30.16</v>
      </c>
      <c r="L186">
        <v>0</v>
      </c>
      <c r="M186">
        <v>12.9</v>
      </c>
      <c r="N186" t="s">
        <v>5466</v>
      </c>
      <c r="O186" t="s">
        <v>5472</v>
      </c>
      <c r="P186" t="s">
        <v>5475</v>
      </c>
      <c r="Q186" s="4">
        <v>30.16</v>
      </c>
    </row>
    <row r="187" spans="1:17" x14ac:dyDescent="0.3">
      <c r="A187" t="s">
        <v>198</v>
      </c>
      <c r="B187" t="s">
        <v>1596</v>
      </c>
      <c r="C187" s="1">
        <v>45582</v>
      </c>
      <c r="D187" t="s">
        <v>2769</v>
      </c>
      <c r="E187" t="s">
        <v>3433</v>
      </c>
      <c r="F187" t="s">
        <v>4569</v>
      </c>
      <c r="G187" t="s">
        <v>4580</v>
      </c>
      <c r="H187" t="s">
        <v>4584</v>
      </c>
      <c r="I187" t="s">
        <v>4589</v>
      </c>
      <c r="J187">
        <v>3</v>
      </c>
      <c r="K187">
        <v>36.64</v>
      </c>
      <c r="L187">
        <v>0</v>
      </c>
      <c r="M187">
        <v>8.49</v>
      </c>
      <c r="N187" t="s">
        <v>5481</v>
      </c>
      <c r="O187" t="s">
        <v>5481</v>
      </c>
      <c r="P187" t="s">
        <v>5475</v>
      </c>
      <c r="Q187" s="4">
        <v>109.92</v>
      </c>
    </row>
    <row r="188" spans="1:17" x14ac:dyDescent="0.3">
      <c r="A188" t="s">
        <v>199</v>
      </c>
      <c r="B188" t="s">
        <v>1597</v>
      </c>
      <c r="C188" s="1">
        <v>45552</v>
      </c>
      <c r="D188" t="s">
        <v>2778</v>
      </c>
      <c r="E188" t="s">
        <v>3434</v>
      </c>
      <c r="F188" t="s">
        <v>4569</v>
      </c>
      <c r="G188" t="s">
        <v>4572</v>
      </c>
      <c r="H188" t="s">
        <v>4587</v>
      </c>
      <c r="I188" t="s">
        <v>4594</v>
      </c>
      <c r="J188">
        <v>5</v>
      </c>
      <c r="K188">
        <v>62.7</v>
      </c>
      <c r="L188">
        <v>0</v>
      </c>
      <c r="M188">
        <v>0.1</v>
      </c>
      <c r="N188" t="s">
        <v>5468</v>
      </c>
      <c r="O188" t="s">
        <v>5470</v>
      </c>
      <c r="P188" t="s">
        <v>5477</v>
      </c>
      <c r="Q188" s="4">
        <v>313.5</v>
      </c>
    </row>
    <row r="189" spans="1:17" x14ac:dyDescent="0.3">
      <c r="A189" t="s">
        <v>200</v>
      </c>
      <c r="B189" t="s">
        <v>1598</v>
      </c>
      <c r="C189" s="1">
        <v>45637</v>
      </c>
      <c r="D189" t="s">
        <v>2779</v>
      </c>
      <c r="E189" t="s">
        <v>3435</v>
      </c>
      <c r="F189" t="s">
        <v>4564</v>
      </c>
      <c r="G189" t="s">
        <v>4578</v>
      </c>
      <c r="H189" t="s">
        <v>4585</v>
      </c>
      <c r="I189" t="s">
        <v>4602</v>
      </c>
      <c r="J189">
        <v>4</v>
      </c>
      <c r="K189">
        <v>4.37</v>
      </c>
      <c r="L189">
        <v>0</v>
      </c>
      <c r="M189">
        <v>11.45</v>
      </c>
      <c r="N189" t="s">
        <v>5462</v>
      </c>
      <c r="O189" t="s">
        <v>5472</v>
      </c>
      <c r="P189" t="s">
        <v>5477</v>
      </c>
      <c r="Q189" s="4">
        <v>17.48</v>
      </c>
    </row>
    <row r="190" spans="1:17" x14ac:dyDescent="0.3">
      <c r="A190" t="s">
        <v>201</v>
      </c>
      <c r="B190" t="s">
        <v>1599</v>
      </c>
      <c r="C190" s="1">
        <v>45981</v>
      </c>
      <c r="D190" t="s">
        <v>2780</v>
      </c>
      <c r="E190" t="s">
        <v>3436</v>
      </c>
      <c r="F190" t="s">
        <v>4569</v>
      </c>
      <c r="G190" t="s">
        <v>4581</v>
      </c>
      <c r="H190" t="s">
        <v>4585</v>
      </c>
      <c r="I190" t="s">
        <v>4590</v>
      </c>
      <c r="J190">
        <v>1</v>
      </c>
      <c r="K190">
        <v>13.81</v>
      </c>
      <c r="L190">
        <v>0</v>
      </c>
      <c r="M190">
        <v>4.8</v>
      </c>
      <c r="N190" t="s">
        <v>5464</v>
      </c>
      <c r="O190" t="s">
        <v>5469</v>
      </c>
      <c r="P190" t="s">
        <v>5477</v>
      </c>
      <c r="Q190" s="4">
        <v>13.81</v>
      </c>
    </row>
    <row r="191" spans="1:17" x14ac:dyDescent="0.3">
      <c r="A191" t="s">
        <v>202</v>
      </c>
      <c r="B191" t="s">
        <v>1600</v>
      </c>
      <c r="C191" s="1">
        <v>45626</v>
      </c>
      <c r="D191" t="s">
        <v>5490</v>
      </c>
      <c r="E191" t="s">
        <v>5481</v>
      </c>
      <c r="F191" t="s">
        <v>4564</v>
      </c>
      <c r="G191" t="s">
        <v>4573</v>
      </c>
      <c r="H191" t="s">
        <v>4584</v>
      </c>
      <c r="I191" t="s">
        <v>4601</v>
      </c>
      <c r="J191">
        <v>2</v>
      </c>
      <c r="K191">
        <v>185.88</v>
      </c>
      <c r="L191">
        <v>0</v>
      </c>
      <c r="M191">
        <v>1.66</v>
      </c>
      <c r="N191" t="s">
        <v>5468</v>
      </c>
      <c r="O191" t="s">
        <v>5473</v>
      </c>
      <c r="P191" t="s">
        <v>5477</v>
      </c>
      <c r="Q191" s="4">
        <v>371.76</v>
      </c>
    </row>
    <row r="192" spans="1:17" x14ac:dyDescent="0.3">
      <c r="A192" t="s">
        <v>203</v>
      </c>
      <c r="B192" t="s">
        <v>1601</v>
      </c>
      <c r="C192" s="1">
        <v>45478</v>
      </c>
      <c r="D192" t="s">
        <v>2725</v>
      </c>
      <c r="E192" t="s">
        <v>3437</v>
      </c>
      <c r="F192" t="s">
        <v>4565</v>
      </c>
      <c r="G192" t="s">
        <v>4576</v>
      </c>
      <c r="H192" t="s">
        <v>4584</v>
      </c>
      <c r="I192" t="s">
        <v>4607</v>
      </c>
      <c r="J192">
        <v>2</v>
      </c>
      <c r="K192">
        <v>26.06</v>
      </c>
      <c r="L192">
        <v>0</v>
      </c>
      <c r="N192" t="s">
        <v>5468</v>
      </c>
      <c r="O192" t="s">
        <v>5469</v>
      </c>
      <c r="P192" t="s">
        <v>5476</v>
      </c>
      <c r="Q192" s="4">
        <v>52.12</v>
      </c>
    </row>
    <row r="193" spans="1:17" x14ac:dyDescent="0.3">
      <c r="A193" t="s">
        <v>204</v>
      </c>
      <c r="B193" t="s">
        <v>1602</v>
      </c>
      <c r="C193" s="1">
        <v>45771</v>
      </c>
      <c r="D193" t="s">
        <v>2933</v>
      </c>
      <c r="E193" t="s">
        <v>3438</v>
      </c>
      <c r="F193" t="s">
        <v>4565</v>
      </c>
      <c r="G193" t="s">
        <v>4575</v>
      </c>
      <c r="H193" t="s">
        <v>4587</v>
      </c>
      <c r="I193" t="s">
        <v>4594</v>
      </c>
      <c r="J193">
        <v>1</v>
      </c>
      <c r="K193">
        <v>57.01</v>
      </c>
      <c r="L193">
        <v>0.05</v>
      </c>
      <c r="M193">
        <v>3.21</v>
      </c>
      <c r="N193" t="s">
        <v>5465</v>
      </c>
      <c r="O193" t="s">
        <v>5474</v>
      </c>
      <c r="P193" t="s">
        <v>5477</v>
      </c>
      <c r="Q193" s="4">
        <v>54.159499999999994</v>
      </c>
    </row>
    <row r="194" spans="1:17" x14ac:dyDescent="0.3">
      <c r="A194" t="s">
        <v>205</v>
      </c>
      <c r="B194" t="s">
        <v>1603</v>
      </c>
      <c r="C194" s="1">
        <v>45309</v>
      </c>
      <c r="D194" t="s">
        <v>2963</v>
      </c>
      <c r="E194" t="s">
        <v>3439</v>
      </c>
      <c r="F194" t="s">
        <v>4569</v>
      </c>
      <c r="G194" t="s">
        <v>4580</v>
      </c>
      <c r="H194" t="s">
        <v>4587</v>
      </c>
      <c r="I194" t="s">
        <v>4606</v>
      </c>
      <c r="J194">
        <v>1</v>
      </c>
      <c r="K194">
        <v>29.36</v>
      </c>
      <c r="L194">
        <v>0</v>
      </c>
      <c r="M194">
        <v>8.39</v>
      </c>
      <c r="N194" t="s">
        <v>5465</v>
      </c>
      <c r="O194" t="s">
        <v>5472</v>
      </c>
      <c r="P194" t="s">
        <v>5477</v>
      </c>
      <c r="Q194" s="4">
        <v>29.36</v>
      </c>
    </row>
    <row r="195" spans="1:17" x14ac:dyDescent="0.3">
      <c r="A195" t="s">
        <v>206</v>
      </c>
      <c r="B195" t="s">
        <v>1604</v>
      </c>
      <c r="C195" s="1">
        <v>45945</v>
      </c>
      <c r="D195" t="s">
        <v>2784</v>
      </c>
      <c r="E195" t="s">
        <v>5481</v>
      </c>
      <c r="F195" t="s">
        <v>4566</v>
      </c>
      <c r="G195" t="s">
        <v>4577</v>
      </c>
      <c r="H195" t="s">
        <v>4586</v>
      </c>
      <c r="I195" t="s">
        <v>4599</v>
      </c>
      <c r="J195">
        <v>3</v>
      </c>
      <c r="K195">
        <v>242.38</v>
      </c>
      <c r="L195">
        <v>0</v>
      </c>
      <c r="N195" t="s">
        <v>5481</v>
      </c>
      <c r="O195" t="s">
        <v>5474</v>
      </c>
      <c r="P195" t="s">
        <v>5477</v>
      </c>
      <c r="Q195" s="4">
        <v>727.14</v>
      </c>
    </row>
    <row r="196" spans="1:17" x14ac:dyDescent="0.3">
      <c r="A196" t="s">
        <v>207</v>
      </c>
      <c r="B196" t="s">
        <v>1479</v>
      </c>
      <c r="C196" s="1">
        <v>45744</v>
      </c>
      <c r="D196" t="s">
        <v>3015</v>
      </c>
      <c r="E196" t="s">
        <v>3440</v>
      </c>
      <c r="F196" t="s">
        <v>4565</v>
      </c>
      <c r="G196" t="s">
        <v>4579</v>
      </c>
      <c r="H196" t="s">
        <v>4586</v>
      </c>
      <c r="I196" t="s">
        <v>4597</v>
      </c>
      <c r="J196">
        <v>1</v>
      </c>
      <c r="K196">
        <v>84.78</v>
      </c>
      <c r="L196">
        <v>0</v>
      </c>
      <c r="M196">
        <v>6.54</v>
      </c>
      <c r="N196" t="s">
        <v>5481</v>
      </c>
      <c r="O196" t="s">
        <v>5469</v>
      </c>
      <c r="P196" t="s">
        <v>5477</v>
      </c>
      <c r="Q196" s="4">
        <v>84.78</v>
      </c>
    </row>
    <row r="197" spans="1:17" x14ac:dyDescent="0.3">
      <c r="A197" t="s">
        <v>208</v>
      </c>
      <c r="B197" t="s">
        <v>1605</v>
      </c>
      <c r="C197" s="1">
        <v>45945</v>
      </c>
      <c r="D197" t="s">
        <v>2786</v>
      </c>
      <c r="E197" t="s">
        <v>3441</v>
      </c>
      <c r="F197" t="s">
        <v>4569</v>
      </c>
      <c r="G197" t="s">
        <v>4580</v>
      </c>
      <c r="H197" t="s">
        <v>4585</v>
      </c>
      <c r="I197" t="s">
        <v>4602</v>
      </c>
      <c r="J197">
        <v>1</v>
      </c>
      <c r="K197">
        <v>4.22</v>
      </c>
      <c r="L197">
        <v>0.1</v>
      </c>
      <c r="M197">
        <v>0.13</v>
      </c>
      <c r="N197" t="s">
        <v>5465</v>
      </c>
      <c r="O197" t="s">
        <v>5471</v>
      </c>
      <c r="P197" t="s">
        <v>5479</v>
      </c>
      <c r="Q197" s="4">
        <v>3.798</v>
      </c>
    </row>
    <row r="198" spans="1:17" x14ac:dyDescent="0.3">
      <c r="A198" t="s">
        <v>209</v>
      </c>
      <c r="B198" t="s">
        <v>1606</v>
      </c>
      <c r="C198" s="1">
        <v>45908</v>
      </c>
      <c r="D198" t="s">
        <v>2725</v>
      </c>
      <c r="E198" t="s">
        <v>3442</v>
      </c>
      <c r="F198" t="s">
        <v>4565</v>
      </c>
      <c r="G198" t="s">
        <v>4576</v>
      </c>
      <c r="H198" t="s">
        <v>4586</v>
      </c>
      <c r="I198" t="s">
        <v>4609</v>
      </c>
      <c r="J198">
        <v>1</v>
      </c>
      <c r="K198">
        <v>128.76</v>
      </c>
      <c r="L198">
        <v>0.1</v>
      </c>
      <c r="M198">
        <v>5.7</v>
      </c>
      <c r="N198" t="s">
        <v>5463</v>
      </c>
      <c r="O198" t="s">
        <v>5474</v>
      </c>
      <c r="P198" t="s">
        <v>5475</v>
      </c>
      <c r="Q198" s="4">
        <v>115.884</v>
      </c>
    </row>
    <row r="199" spans="1:17" x14ac:dyDescent="0.3">
      <c r="A199" t="s">
        <v>210</v>
      </c>
      <c r="B199" t="s">
        <v>1607</v>
      </c>
      <c r="C199" s="1">
        <v>45679</v>
      </c>
      <c r="D199" t="s">
        <v>2787</v>
      </c>
      <c r="E199" t="s">
        <v>3443</v>
      </c>
      <c r="F199" t="s">
        <v>4566</v>
      </c>
      <c r="G199" t="s">
        <v>4573</v>
      </c>
      <c r="H199" t="s">
        <v>4587</v>
      </c>
      <c r="I199" t="s">
        <v>4600</v>
      </c>
      <c r="J199">
        <v>1</v>
      </c>
      <c r="K199">
        <v>12.85</v>
      </c>
      <c r="L199">
        <v>0</v>
      </c>
      <c r="M199">
        <v>7.78</v>
      </c>
      <c r="N199" t="s">
        <v>5462</v>
      </c>
      <c r="O199" t="s">
        <v>5470</v>
      </c>
      <c r="P199" t="s">
        <v>5479</v>
      </c>
      <c r="Q199" s="4">
        <v>12.85</v>
      </c>
    </row>
    <row r="200" spans="1:17" x14ac:dyDescent="0.3">
      <c r="A200" t="s">
        <v>211</v>
      </c>
      <c r="B200" t="s">
        <v>1608</v>
      </c>
      <c r="C200" s="1">
        <v>45749</v>
      </c>
      <c r="D200" t="s">
        <v>2788</v>
      </c>
      <c r="E200" t="s">
        <v>5481</v>
      </c>
      <c r="F200" t="s">
        <v>4569</v>
      </c>
      <c r="G200" t="s">
        <v>4581</v>
      </c>
      <c r="H200" t="s">
        <v>4583</v>
      </c>
      <c r="I200" t="s">
        <v>4588</v>
      </c>
      <c r="J200">
        <v>5</v>
      </c>
      <c r="K200">
        <v>40.47</v>
      </c>
      <c r="L200">
        <v>0.1</v>
      </c>
      <c r="M200">
        <v>0</v>
      </c>
      <c r="N200" t="s">
        <v>5463</v>
      </c>
      <c r="O200" t="s">
        <v>5469</v>
      </c>
      <c r="P200" t="s">
        <v>5475</v>
      </c>
      <c r="Q200" s="4">
        <v>182.11500000000001</v>
      </c>
    </row>
    <row r="201" spans="1:17" x14ac:dyDescent="0.3">
      <c r="A201" t="s">
        <v>212</v>
      </c>
      <c r="B201" t="s">
        <v>1609</v>
      </c>
      <c r="C201" s="1">
        <v>45572</v>
      </c>
      <c r="D201" t="s">
        <v>2789</v>
      </c>
      <c r="E201" t="s">
        <v>3444</v>
      </c>
      <c r="F201" t="s">
        <v>4566</v>
      </c>
      <c r="G201" t="s">
        <v>4582</v>
      </c>
      <c r="H201" t="s">
        <v>4583</v>
      </c>
      <c r="I201" t="s">
        <v>4604</v>
      </c>
      <c r="J201">
        <v>2</v>
      </c>
      <c r="K201">
        <v>23.31</v>
      </c>
      <c r="L201">
        <v>0</v>
      </c>
      <c r="M201">
        <v>13.42</v>
      </c>
      <c r="N201" t="s">
        <v>5481</v>
      </c>
      <c r="O201" t="s">
        <v>5470</v>
      </c>
      <c r="P201" t="s">
        <v>5476</v>
      </c>
      <c r="Q201" s="4">
        <v>46.62</v>
      </c>
    </row>
    <row r="202" spans="1:17" x14ac:dyDescent="0.3">
      <c r="A202" t="s">
        <v>213</v>
      </c>
      <c r="B202" t="s">
        <v>1610</v>
      </c>
      <c r="C202" s="1">
        <v>45715</v>
      </c>
      <c r="D202" t="s">
        <v>2887</v>
      </c>
      <c r="E202" t="s">
        <v>3445</v>
      </c>
      <c r="F202" t="s">
        <v>4564</v>
      </c>
      <c r="G202" t="s">
        <v>4578</v>
      </c>
      <c r="H202" t="s">
        <v>4584</v>
      </c>
      <c r="I202" t="s">
        <v>4595</v>
      </c>
      <c r="J202">
        <v>1</v>
      </c>
      <c r="K202">
        <v>40.78</v>
      </c>
      <c r="L202">
        <v>0.15</v>
      </c>
      <c r="M202">
        <v>5.63</v>
      </c>
      <c r="N202" t="s">
        <v>5481</v>
      </c>
      <c r="O202" t="s">
        <v>5481</v>
      </c>
      <c r="P202" t="s">
        <v>5477</v>
      </c>
      <c r="Q202" s="4">
        <v>34.662999999999997</v>
      </c>
    </row>
    <row r="203" spans="1:17" x14ac:dyDescent="0.3">
      <c r="A203" t="s">
        <v>214</v>
      </c>
      <c r="B203" t="s">
        <v>1611</v>
      </c>
      <c r="C203" s="1">
        <v>45409</v>
      </c>
      <c r="D203" t="s">
        <v>2791</v>
      </c>
      <c r="E203" t="s">
        <v>3446</v>
      </c>
      <c r="F203" t="s">
        <v>4564</v>
      </c>
      <c r="G203" t="s">
        <v>4573</v>
      </c>
      <c r="H203" t="s">
        <v>4585</v>
      </c>
      <c r="I203" t="s">
        <v>4602</v>
      </c>
      <c r="J203">
        <v>1</v>
      </c>
      <c r="K203">
        <v>4.24</v>
      </c>
      <c r="L203">
        <v>0.05</v>
      </c>
      <c r="M203">
        <v>0.39</v>
      </c>
      <c r="N203" t="s">
        <v>5462</v>
      </c>
      <c r="O203" t="s">
        <v>5470</v>
      </c>
      <c r="P203" t="s">
        <v>5476</v>
      </c>
      <c r="Q203" s="4">
        <v>4.0279999999999996</v>
      </c>
    </row>
    <row r="204" spans="1:17" x14ac:dyDescent="0.3">
      <c r="A204" t="s">
        <v>215</v>
      </c>
      <c r="B204" t="s">
        <v>1612</v>
      </c>
      <c r="C204" s="1">
        <v>45644</v>
      </c>
      <c r="D204" t="s">
        <v>2765</v>
      </c>
      <c r="E204" t="s">
        <v>3447</v>
      </c>
      <c r="F204" t="s">
        <v>4566</v>
      </c>
      <c r="G204" t="s">
        <v>4582</v>
      </c>
      <c r="H204" t="s">
        <v>4585</v>
      </c>
      <c r="I204" t="s">
        <v>4602</v>
      </c>
      <c r="J204">
        <v>1</v>
      </c>
      <c r="K204">
        <v>4.13</v>
      </c>
      <c r="L204">
        <v>0.05</v>
      </c>
      <c r="M204">
        <v>10.94</v>
      </c>
      <c r="N204" t="s">
        <v>5465</v>
      </c>
      <c r="O204" t="s">
        <v>5472</v>
      </c>
      <c r="P204" t="s">
        <v>5475</v>
      </c>
      <c r="Q204" s="4">
        <v>3.9234999999999998</v>
      </c>
    </row>
    <row r="205" spans="1:17" x14ac:dyDescent="0.3">
      <c r="A205" t="s">
        <v>216</v>
      </c>
      <c r="B205" t="s">
        <v>1613</v>
      </c>
      <c r="C205" s="1">
        <v>45639</v>
      </c>
      <c r="D205" t="s">
        <v>2793</v>
      </c>
      <c r="E205" t="s">
        <v>3448</v>
      </c>
      <c r="F205" t="s">
        <v>4549</v>
      </c>
      <c r="G205" t="s">
        <v>4573</v>
      </c>
      <c r="H205" t="s">
        <v>4585</v>
      </c>
      <c r="I205" t="s">
        <v>4590</v>
      </c>
      <c r="J205">
        <v>5</v>
      </c>
      <c r="K205">
        <v>14.19</v>
      </c>
      <c r="L205">
        <v>0</v>
      </c>
      <c r="M205">
        <v>13.35</v>
      </c>
      <c r="N205" t="s">
        <v>5462</v>
      </c>
      <c r="O205" t="s">
        <v>5471</v>
      </c>
      <c r="P205" t="s">
        <v>5477</v>
      </c>
      <c r="Q205" s="4">
        <v>70.95</v>
      </c>
    </row>
    <row r="206" spans="1:17" x14ac:dyDescent="0.3">
      <c r="A206" t="s">
        <v>217</v>
      </c>
      <c r="B206" t="s">
        <v>1614</v>
      </c>
      <c r="C206" s="1">
        <v>45427</v>
      </c>
      <c r="D206" t="s">
        <v>2794</v>
      </c>
      <c r="E206" t="s">
        <v>3449</v>
      </c>
      <c r="F206" t="s">
        <v>4564</v>
      </c>
      <c r="G206" t="s">
        <v>4573</v>
      </c>
      <c r="H206" t="s">
        <v>4587</v>
      </c>
      <c r="I206" t="s">
        <v>4600</v>
      </c>
      <c r="J206">
        <v>3</v>
      </c>
      <c r="K206">
        <v>12.73</v>
      </c>
      <c r="L206">
        <v>0.05</v>
      </c>
      <c r="M206">
        <v>6.57</v>
      </c>
      <c r="N206" t="s">
        <v>5465</v>
      </c>
      <c r="O206" t="s">
        <v>5481</v>
      </c>
      <c r="P206" t="s">
        <v>5476</v>
      </c>
      <c r="Q206" s="4">
        <v>36.280499999999996</v>
      </c>
    </row>
    <row r="207" spans="1:17" x14ac:dyDescent="0.3">
      <c r="A207" t="s">
        <v>218</v>
      </c>
      <c r="B207" t="s">
        <v>1615</v>
      </c>
      <c r="C207" s="1">
        <v>45338</v>
      </c>
      <c r="D207" t="s">
        <v>2795</v>
      </c>
      <c r="E207" t="s">
        <v>3450</v>
      </c>
      <c r="F207" t="s">
        <v>4569</v>
      </c>
      <c r="G207" t="s">
        <v>4572</v>
      </c>
      <c r="H207" t="s">
        <v>4585</v>
      </c>
      <c r="I207" t="s">
        <v>4590</v>
      </c>
      <c r="J207">
        <v>1</v>
      </c>
      <c r="K207">
        <v>13.68</v>
      </c>
      <c r="L207">
        <v>0</v>
      </c>
      <c r="M207">
        <v>13.72</v>
      </c>
      <c r="N207" t="s">
        <v>5481</v>
      </c>
      <c r="O207" t="s">
        <v>5474</v>
      </c>
      <c r="P207" t="s">
        <v>5475</v>
      </c>
      <c r="Q207" s="4">
        <v>13.68</v>
      </c>
    </row>
    <row r="208" spans="1:17" x14ac:dyDescent="0.3">
      <c r="A208" t="s">
        <v>219</v>
      </c>
      <c r="B208" t="s">
        <v>1616</v>
      </c>
      <c r="C208" s="1">
        <v>45905</v>
      </c>
      <c r="D208" t="s">
        <v>2796</v>
      </c>
      <c r="E208" t="s">
        <v>3451</v>
      </c>
      <c r="F208" t="s">
        <v>4569</v>
      </c>
      <c r="G208" t="s">
        <v>4581</v>
      </c>
      <c r="H208" t="s">
        <v>4584</v>
      </c>
      <c r="I208" t="s">
        <v>4601</v>
      </c>
      <c r="J208">
        <v>2</v>
      </c>
      <c r="K208">
        <v>193.92</v>
      </c>
      <c r="L208">
        <v>0</v>
      </c>
      <c r="M208">
        <v>0</v>
      </c>
      <c r="N208" t="s">
        <v>5464</v>
      </c>
      <c r="O208" t="s">
        <v>5473</v>
      </c>
      <c r="P208" t="s">
        <v>5479</v>
      </c>
      <c r="Q208" s="4">
        <v>387.84</v>
      </c>
    </row>
    <row r="209" spans="1:17" x14ac:dyDescent="0.3">
      <c r="A209" t="s">
        <v>220</v>
      </c>
      <c r="B209" t="s">
        <v>1617</v>
      </c>
      <c r="C209" s="1">
        <v>46002</v>
      </c>
      <c r="D209" t="s">
        <v>2797</v>
      </c>
      <c r="E209" t="s">
        <v>3452</v>
      </c>
      <c r="F209" t="s">
        <v>4564</v>
      </c>
      <c r="G209" t="s">
        <v>4578</v>
      </c>
      <c r="H209" t="s">
        <v>4584</v>
      </c>
      <c r="I209" t="s">
        <v>4607</v>
      </c>
      <c r="J209">
        <v>3</v>
      </c>
      <c r="K209">
        <v>23.91</v>
      </c>
      <c r="L209">
        <v>0.05</v>
      </c>
      <c r="M209">
        <v>8.91</v>
      </c>
      <c r="N209" t="s">
        <v>5467</v>
      </c>
      <c r="O209" t="s">
        <v>5474</v>
      </c>
      <c r="P209" t="s">
        <v>5476</v>
      </c>
      <c r="Q209" s="4">
        <v>68.143500000000003</v>
      </c>
    </row>
    <row r="210" spans="1:17" x14ac:dyDescent="0.3">
      <c r="A210" t="s">
        <v>221</v>
      </c>
      <c r="B210" t="s">
        <v>1618</v>
      </c>
      <c r="C210" s="1">
        <v>45565</v>
      </c>
      <c r="D210" t="s">
        <v>2798</v>
      </c>
      <c r="E210" t="s">
        <v>3453</v>
      </c>
      <c r="F210" t="s">
        <v>4565</v>
      </c>
      <c r="G210" t="s">
        <v>5481</v>
      </c>
      <c r="H210" t="s">
        <v>4586</v>
      </c>
      <c r="I210" t="s">
        <v>4609</v>
      </c>
      <c r="J210">
        <v>4</v>
      </c>
      <c r="K210">
        <v>129.03</v>
      </c>
      <c r="L210">
        <v>0</v>
      </c>
      <c r="M210">
        <v>6.09</v>
      </c>
      <c r="N210" t="s">
        <v>5463</v>
      </c>
      <c r="O210" t="s">
        <v>5471</v>
      </c>
      <c r="P210" t="s">
        <v>5477</v>
      </c>
      <c r="Q210" s="4">
        <v>516.12</v>
      </c>
    </row>
    <row r="211" spans="1:17" x14ac:dyDescent="0.3">
      <c r="A211" t="s">
        <v>222</v>
      </c>
      <c r="B211" t="s">
        <v>1619</v>
      </c>
      <c r="C211" s="1">
        <v>45500</v>
      </c>
      <c r="D211" t="s">
        <v>2707</v>
      </c>
      <c r="E211" t="s">
        <v>3454</v>
      </c>
      <c r="F211" t="s">
        <v>4564</v>
      </c>
      <c r="G211" t="s">
        <v>4578</v>
      </c>
      <c r="H211" t="s">
        <v>4585</v>
      </c>
      <c r="I211" t="s">
        <v>4592</v>
      </c>
      <c r="J211">
        <v>2</v>
      </c>
      <c r="K211">
        <v>6.52</v>
      </c>
      <c r="L211">
        <v>0.1</v>
      </c>
      <c r="M211">
        <v>8.94</v>
      </c>
      <c r="N211" t="s">
        <v>5467</v>
      </c>
      <c r="O211" t="s">
        <v>5469</v>
      </c>
      <c r="P211" t="s">
        <v>5477</v>
      </c>
      <c r="Q211" s="4">
        <v>11.735999999999999</v>
      </c>
    </row>
    <row r="212" spans="1:17" x14ac:dyDescent="0.3">
      <c r="A212" t="s">
        <v>223</v>
      </c>
      <c r="B212" t="s">
        <v>1620</v>
      </c>
      <c r="C212" s="1">
        <v>45706</v>
      </c>
      <c r="D212" t="s">
        <v>2941</v>
      </c>
      <c r="E212" t="s">
        <v>3455</v>
      </c>
      <c r="F212" t="s">
        <v>4549</v>
      </c>
      <c r="G212" t="s">
        <v>4573</v>
      </c>
      <c r="H212" t="s">
        <v>4584</v>
      </c>
      <c r="I212" t="s">
        <v>4607</v>
      </c>
      <c r="J212">
        <v>2</v>
      </c>
      <c r="K212">
        <v>23.87</v>
      </c>
      <c r="L212">
        <v>0.05</v>
      </c>
      <c r="M212">
        <v>6.19</v>
      </c>
      <c r="N212" t="s">
        <v>5462</v>
      </c>
      <c r="O212" t="s">
        <v>5470</v>
      </c>
      <c r="P212" t="s">
        <v>5477</v>
      </c>
      <c r="Q212" s="4">
        <v>45.353000000000002</v>
      </c>
    </row>
    <row r="213" spans="1:17" x14ac:dyDescent="0.3">
      <c r="A213" t="s">
        <v>224</v>
      </c>
      <c r="B213" t="s">
        <v>1621</v>
      </c>
      <c r="C213" s="1">
        <v>45993</v>
      </c>
      <c r="D213" t="s">
        <v>2911</v>
      </c>
      <c r="E213" t="s">
        <v>3456</v>
      </c>
      <c r="F213" t="s">
        <v>4564</v>
      </c>
      <c r="G213" t="s">
        <v>4573</v>
      </c>
      <c r="H213" t="s">
        <v>4587</v>
      </c>
      <c r="I213" t="s">
        <v>4600</v>
      </c>
      <c r="J213">
        <v>1</v>
      </c>
      <c r="K213">
        <v>13.24</v>
      </c>
      <c r="L213">
        <v>0</v>
      </c>
      <c r="M213">
        <v>0.82</v>
      </c>
      <c r="N213" t="s">
        <v>5468</v>
      </c>
      <c r="O213" t="s">
        <v>5481</v>
      </c>
      <c r="P213" t="s">
        <v>5477</v>
      </c>
      <c r="Q213" s="4">
        <v>13.24</v>
      </c>
    </row>
    <row r="214" spans="1:17" x14ac:dyDescent="0.3">
      <c r="A214" t="s">
        <v>225</v>
      </c>
      <c r="B214" t="s">
        <v>1622</v>
      </c>
      <c r="C214" s="1">
        <v>45998</v>
      </c>
      <c r="D214" t="s">
        <v>2802</v>
      </c>
      <c r="E214" t="s">
        <v>3457</v>
      </c>
      <c r="F214" t="s">
        <v>4569</v>
      </c>
      <c r="G214" t="s">
        <v>4580</v>
      </c>
      <c r="H214" t="s">
        <v>4583</v>
      </c>
      <c r="I214" t="s">
        <v>4588</v>
      </c>
      <c r="J214">
        <v>5</v>
      </c>
      <c r="K214">
        <v>38.47</v>
      </c>
      <c r="L214">
        <v>0.1</v>
      </c>
      <c r="M214">
        <v>10.6</v>
      </c>
      <c r="N214" t="s">
        <v>5481</v>
      </c>
      <c r="O214" t="s">
        <v>5481</v>
      </c>
      <c r="P214" t="s">
        <v>5477</v>
      </c>
      <c r="Q214" s="4">
        <v>173.11500000000001</v>
      </c>
    </row>
    <row r="215" spans="1:17" x14ac:dyDescent="0.3">
      <c r="A215" t="s">
        <v>226</v>
      </c>
      <c r="B215" t="s">
        <v>1623</v>
      </c>
      <c r="C215" s="1">
        <v>45927</v>
      </c>
      <c r="D215" t="s">
        <v>2803</v>
      </c>
      <c r="E215" t="s">
        <v>3458</v>
      </c>
      <c r="F215" t="s">
        <v>4549</v>
      </c>
      <c r="G215" t="s">
        <v>4574</v>
      </c>
      <c r="H215" t="s">
        <v>4584</v>
      </c>
      <c r="I215" t="s">
        <v>4603</v>
      </c>
      <c r="J215">
        <v>1</v>
      </c>
      <c r="K215">
        <v>9.4600000000000009</v>
      </c>
      <c r="L215">
        <v>0</v>
      </c>
      <c r="M215">
        <v>1.56</v>
      </c>
      <c r="N215" t="s">
        <v>5467</v>
      </c>
      <c r="O215" t="s">
        <v>5470</v>
      </c>
      <c r="P215" t="s">
        <v>5476</v>
      </c>
      <c r="Q215" s="4">
        <v>9.4600000000000009</v>
      </c>
    </row>
    <row r="216" spans="1:17" x14ac:dyDescent="0.3">
      <c r="A216" t="s">
        <v>227</v>
      </c>
      <c r="B216" t="s">
        <v>1624</v>
      </c>
      <c r="C216" s="1">
        <v>45967</v>
      </c>
      <c r="D216" t="s">
        <v>2795</v>
      </c>
      <c r="E216" t="s">
        <v>3459</v>
      </c>
      <c r="F216" t="s">
        <v>4564</v>
      </c>
      <c r="G216" t="s">
        <v>4573</v>
      </c>
      <c r="H216" t="s">
        <v>4584</v>
      </c>
      <c r="I216" t="s">
        <v>4595</v>
      </c>
      <c r="J216">
        <v>1</v>
      </c>
      <c r="K216">
        <v>40.74</v>
      </c>
      <c r="L216">
        <v>0.1</v>
      </c>
      <c r="M216">
        <v>4.3899999999999997</v>
      </c>
      <c r="N216" t="s">
        <v>5468</v>
      </c>
      <c r="O216" t="s">
        <v>5474</v>
      </c>
      <c r="P216" t="s">
        <v>5476</v>
      </c>
      <c r="Q216" s="4">
        <v>36.666000000000004</v>
      </c>
    </row>
    <row r="217" spans="1:17" x14ac:dyDescent="0.3">
      <c r="A217" t="s">
        <v>228</v>
      </c>
      <c r="B217" t="s">
        <v>1625</v>
      </c>
      <c r="C217" s="1">
        <v>45684</v>
      </c>
      <c r="D217" t="s">
        <v>3110</v>
      </c>
      <c r="E217" t="s">
        <v>3460</v>
      </c>
      <c r="F217" t="s">
        <v>4549</v>
      </c>
      <c r="G217" t="s">
        <v>5481</v>
      </c>
      <c r="H217" t="s">
        <v>4583</v>
      </c>
      <c r="I217" t="s">
        <v>4604</v>
      </c>
      <c r="J217">
        <v>5</v>
      </c>
      <c r="K217">
        <v>21.6</v>
      </c>
      <c r="L217">
        <v>0.15</v>
      </c>
      <c r="M217">
        <v>4.05</v>
      </c>
      <c r="N217" t="s">
        <v>5467</v>
      </c>
      <c r="O217" t="s">
        <v>5473</v>
      </c>
      <c r="P217" t="s">
        <v>5477</v>
      </c>
      <c r="Q217" s="4">
        <v>91.8</v>
      </c>
    </row>
    <row r="218" spans="1:17" x14ac:dyDescent="0.3">
      <c r="A218" t="s">
        <v>229</v>
      </c>
      <c r="B218" t="s">
        <v>1626</v>
      </c>
      <c r="C218" s="1">
        <v>45564</v>
      </c>
      <c r="D218" t="s">
        <v>3162</v>
      </c>
      <c r="E218" t="s">
        <v>3461</v>
      </c>
      <c r="F218" t="s">
        <v>4549</v>
      </c>
      <c r="G218" t="s">
        <v>4573</v>
      </c>
      <c r="H218" t="s">
        <v>4584</v>
      </c>
      <c r="I218" t="s">
        <v>4608</v>
      </c>
      <c r="J218">
        <v>1</v>
      </c>
      <c r="K218">
        <v>18.55</v>
      </c>
      <c r="L218">
        <v>0</v>
      </c>
      <c r="M218">
        <v>9.07</v>
      </c>
      <c r="N218" t="s">
        <v>5465</v>
      </c>
      <c r="O218" t="s">
        <v>5472</v>
      </c>
      <c r="P218" t="s">
        <v>5475</v>
      </c>
      <c r="Q218" s="4">
        <v>18.55</v>
      </c>
    </row>
    <row r="219" spans="1:17" x14ac:dyDescent="0.3">
      <c r="A219" t="s">
        <v>230</v>
      </c>
      <c r="B219" t="s">
        <v>1627</v>
      </c>
      <c r="C219" s="1">
        <v>46018</v>
      </c>
      <c r="D219" t="s">
        <v>2807</v>
      </c>
      <c r="E219" t="s">
        <v>3462</v>
      </c>
      <c r="F219" t="s">
        <v>4569</v>
      </c>
      <c r="G219" t="s">
        <v>4572</v>
      </c>
      <c r="H219" t="s">
        <v>4583</v>
      </c>
      <c r="I219" t="s">
        <v>4604</v>
      </c>
      <c r="J219">
        <v>3</v>
      </c>
      <c r="K219">
        <v>21.72</v>
      </c>
      <c r="L219">
        <v>0.1</v>
      </c>
      <c r="M219">
        <v>11.38</v>
      </c>
      <c r="N219" t="s">
        <v>5463</v>
      </c>
      <c r="O219" t="s">
        <v>5470</v>
      </c>
      <c r="P219" t="s">
        <v>5477</v>
      </c>
      <c r="Q219" s="4">
        <v>58.643999999999998</v>
      </c>
    </row>
    <row r="220" spans="1:17" x14ac:dyDescent="0.3">
      <c r="A220" t="s">
        <v>231</v>
      </c>
      <c r="B220" t="s">
        <v>1628</v>
      </c>
      <c r="C220" s="1">
        <v>45497</v>
      </c>
      <c r="D220" t="s">
        <v>2761</v>
      </c>
      <c r="E220" t="s">
        <v>3463</v>
      </c>
      <c r="F220" t="s">
        <v>4566</v>
      </c>
      <c r="G220" t="s">
        <v>4582</v>
      </c>
      <c r="H220" t="s">
        <v>4586</v>
      </c>
      <c r="I220" t="s">
        <v>4597</v>
      </c>
      <c r="J220">
        <v>10</v>
      </c>
      <c r="K220">
        <v>87.14</v>
      </c>
      <c r="L220">
        <v>0</v>
      </c>
      <c r="M220">
        <v>5.12</v>
      </c>
      <c r="N220" t="s">
        <v>5481</v>
      </c>
      <c r="O220" t="s">
        <v>5471</v>
      </c>
      <c r="P220" t="s">
        <v>5477</v>
      </c>
      <c r="Q220" s="4">
        <v>871.4</v>
      </c>
    </row>
    <row r="221" spans="1:17" x14ac:dyDescent="0.3">
      <c r="A221" t="s">
        <v>232</v>
      </c>
      <c r="B221" t="s">
        <v>1629</v>
      </c>
      <c r="C221" s="1">
        <v>45617</v>
      </c>
      <c r="D221" t="s">
        <v>2808</v>
      </c>
      <c r="E221" t="s">
        <v>3464</v>
      </c>
      <c r="F221" t="s">
        <v>4549</v>
      </c>
      <c r="G221" t="s">
        <v>4574</v>
      </c>
      <c r="H221" t="s">
        <v>5481</v>
      </c>
      <c r="I221" t="s">
        <v>4591</v>
      </c>
      <c r="J221">
        <v>4</v>
      </c>
      <c r="K221">
        <v>7.56</v>
      </c>
      <c r="L221">
        <v>0.05</v>
      </c>
      <c r="M221">
        <v>10.79</v>
      </c>
      <c r="N221" t="s">
        <v>5464</v>
      </c>
      <c r="O221" t="s">
        <v>5481</v>
      </c>
      <c r="P221" t="s">
        <v>5476</v>
      </c>
      <c r="Q221" s="4">
        <v>28.727999999999998</v>
      </c>
    </row>
    <row r="222" spans="1:17" x14ac:dyDescent="0.3">
      <c r="A222" t="s">
        <v>233</v>
      </c>
      <c r="B222" t="s">
        <v>1630</v>
      </c>
      <c r="C222" s="1">
        <v>45795</v>
      </c>
      <c r="D222" t="s">
        <v>2809</v>
      </c>
      <c r="E222" t="s">
        <v>3465</v>
      </c>
      <c r="F222" t="s">
        <v>4565</v>
      </c>
      <c r="G222" t="s">
        <v>4579</v>
      </c>
      <c r="H222" t="s">
        <v>4585</v>
      </c>
      <c r="I222" t="s">
        <v>4598</v>
      </c>
      <c r="J222">
        <v>1</v>
      </c>
      <c r="K222">
        <v>3.02</v>
      </c>
      <c r="L222">
        <v>0.05</v>
      </c>
      <c r="M222">
        <v>4.96</v>
      </c>
      <c r="N222" t="s">
        <v>5466</v>
      </c>
      <c r="O222" t="s">
        <v>5481</v>
      </c>
      <c r="P222" t="s">
        <v>5477</v>
      </c>
      <c r="Q222" s="4">
        <v>2.8689999999999998</v>
      </c>
    </row>
    <row r="223" spans="1:17" x14ac:dyDescent="0.3">
      <c r="A223" t="s">
        <v>234</v>
      </c>
      <c r="B223" t="s">
        <v>1631</v>
      </c>
      <c r="C223" s="1">
        <v>45749</v>
      </c>
      <c r="D223" t="s">
        <v>2663</v>
      </c>
      <c r="E223" t="s">
        <v>3466</v>
      </c>
      <c r="F223" t="s">
        <v>4566</v>
      </c>
      <c r="G223" t="s">
        <v>4573</v>
      </c>
      <c r="H223" t="s">
        <v>4584</v>
      </c>
      <c r="I223" t="s">
        <v>4607</v>
      </c>
      <c r="J223">
        <v>1</v>
      </c>
      <c r="K223">
        <v>24.09</v>
      </c>
      <c r="L223">
        <v>0</v>
      </c>
      <c r="M223">
        <v>0.02</v>
      </c>
      <c r="N223" t="s">
        <v>5468</v>
      </c>
      <c r="O223" t="s">
        <v>5474</v>
      </c>
      <c r="P223" t="s">
        <v>5477</v>
      </c>
      <c r="Q223" s="4">
        <v>24.09</v>
      </c>
    </row>
    <row r="224" spans="1:17" x14ac:dyDescent="0.3">
      <c r="A224" t="s">
        <v>235</v>
      </c>
      <c r="B224" t="s">
        <v>1632</v>
      </c>
      <c r="C224" s="1">
        <v>46006</v>
      </c>
      <c r="D224" t="s">
        <v>2756</v>
      </c>
      <c r="E224" t="s">
        <v>3467</v>
      </c>
      <c r="F224" t="s">
        <v>4566</v>
      </c>
      <c r="G224" t="s">
        <v>4582</v>
      </c>
      <c r="H224" t="s">
        <v>4583</v>
      </c>
      <c r="I224" t="s">
        <v>4604</v>
      </c>
      <c r="J224">
        <v>1</v>
      </c>
      <c r="K224">
        <v>22.92</v>
      </c>
      <c r="L224">
        <v>0.05</v>
      </c>
      <c r="M224">
        <v>5.73</v>
      </c>
      <c r="N224" t="s">
        <v>5468</v>
      </c>
      <c r="O224" t="s">
        <v>5471</v>
      </c>
      <c r="P224" t="s">
        <v>5477</v>
      </c>
      <c r="Q224" s="4">
        <v>21.774000000000001</v>
      </c>
    </row>
    <row r="225" spans="1:17" x14ac:dyDescent="0.3">
      <c r="A225" t="s">
        <v>236</v>
      </c>
      <c r="B225" t="s">
        <v>1633</v>
      </c>
      <c r="C225" s="1">
        <v>45523</v>
      </c>
      <c r="D225" t="s">
        <v>2811</v>
      </c>
      <c r="E225" t="s">
        <v>3468</v>
      </c>
      <c r="F225" t="s">
        <v>4565</v>
      </c>
      <c r="G225" t="s">
        <v>4575</v>
      </c>
      <c r="H225" t="s">
        <v>4587</v>
      </c>
      <c r="I225" t="s">
        <v>4594</v>
      </c>
      <c r="J225">
        <v>10</v>
      </c>
      <c r="K225">
        <v>57.62</v>
      </c>
      <c r="L225">
        <v>0.1</v>
      </c>
      <c r="M225">
        <v>10.1</v>
      </c>
      <c r="N225" t="s">
        <v>5463</v>
      </c>
      <c r="O225" t="s">
        <v>5472</v>
      </c>
      <c r="P225" t="s">
        <v>5477</v>
      </c>
      <c r="Q225" s="4">
        <v>518.57999999999993</v>
      </c>
    </row>
    <row r="226" spans="1:17" x14ac:dyDescent="0.3">
      <c r="A226" t="s">
        <v>237</v>
      </c>
      <c r="B226" t="s">
        <v>1634</v>
      </c>
      <c r="C226" s="1">
        <v>45741</v>
      </c>
      <c r="D226" t="s">
        <v>2721</v>
      </c>
      <c r="E226" t="s">
        <v>3469</v>
      </c>
      <c r="F226" t="s">
        <v>4569</v>
      </c>
      <c r="G226" t="s">
        <v>4572</v>
      </c>
      <c r="H226" t="s">
        <v>4584</v>
      </c>
      <c r="I226" t="s">
        <v>4607</v>
      </c>
      <c r="J226">
        <v>4</v>
      </c>
      <c r="K226">
        <v>25.92</v>
      </c>
      <c r="L226">
        <v>0</v>
      </c>
      <c r="M226">
        <v>11.5</v>
      </c>
      <c r="N226" t="s">
        <v>5468</v>
      </c>
      <c r="O226" t="s">
        <v>5481</v>
      </c>
      <c r="P226" t="s">
        <v>5477</v>
      </c>
      <c r="Q226" s="4">
        <v>103.68</v>
      </c>
    </row>
    <row r="227" spans="1:17" x14ac:dyDescent="0.3">
      <c r="A227" t="s">
        <v>238</v>
      </c>
      <c r="B227" t="s">
        <v>1635</v>
      </c>
      <c r="C227" s="1">
        <v>45456</v>
      </c>
      <c r="D227" t="s">
        <v>2812</v>
      </c>
      <c r="E227" t="s">
        <v>3470</v>
      </c>
      <c r="F227" t="s">
        <v>4549</v>
      </c>
      <c r="G227" t="s">
        <v>4573</v>
      </c>
      <c r="H227" t="s">
        <v>4587</v>
      </c>
      <c r="I227" t="s">
        <v>4600</v>
      </c>
      <c r="J227">
        <v>4</v>
      </c>
      <c r="K227">
        <v>12.98</v>
      </c>
      <c r="L227">
        <v>0</v>
      </c>
      <c r="M227">
        <v>0</v>
      </c>
      <c r="N227" t="s">
        <v>5464</v>
      </c>
      <c r="O227" t="s">
        <v>5471</v>
      </c>
      <c r="P227" t="s">
        <v>5477</v>
      </c>
      <c r="Q227" s="4">
        <v>51.92</v>
      </c>
    </row>
    <row r="228" spans="1:17" x14ac:dyDescent="0.3">
      <c r="A228" t="s">
        <v>239</v>
      </c>
      <c r="B228" t="s">
        <v>1636</v>
      </c>
      <c r="C228" s="1">
        <v>45917</v>
      </c>
      <c r="D228" t="s">
        <v>2817</v>
      </c>
      <c r="E228" t="s">
        <v>3471</v>
      </c>
      <c r="F228" t="s">
        <v>4549</v>
      </c>
      <c r="G228" t="s">
        <v>4573</v>
      </c>
      <c r="H228" t="s">
        <v>4583</v>
      </c>
      <c r="I228" t="s">
        <v>4604</v>
      </c>
      <c r="J228">
        <v>4</v>
      </c>
      <c r="K228">
        <v>21.4</v>
      </c>
      <c r="L228">
        <v>0.15</v>
      </c>
      <c r="M228">
        <v>4.05</v>
      </c>
      <c r="N228" t="s">
        <v>5466</v>
      </c>
      <c r="O228" t="s">
        <v>5472</v>
      </c>
      <c r="P228" t="s">
        <v>5476</v>
      </c>
      <c r="Q228" s="4">
        <v>72.759999999999991</v>
      </c>
    </row>
    <row r="229" spans="1:17" x14ac:dyDescent="0.3">
      <c r="A229" t="s">
        <v>240</v>
      </c>
      <c r="B229" t="s">
        <v>1504</v>
      </c>
      <c r="C229" s="1">
        <v>45387</v>
      </c>
      <c r="D229" t="s">
        <v>2758</v>
      </c>
      <c r="E229" t="s">
        <v>3472</v>
      </c>
      <c r="F229" t="s">
        <v>4566</v>
      </c>
      <c r="G229" t="s">
        <v>4573</v>
      </c>
      <c r="H229" t="s">
        <v>4586</v>
      </c>
      <c r="I229" t="s">
        <v>4599</v>
      </c>
      <c r="J229">
        <v>4</v>
      </c>
      <c r="K229">
        <v>255.51</v>
      </c>
      <c r="L229">
        <v>0.05</v>
      </c>
      <c r="M229">
        <v>10.42</v>
      </c>
      <c r="N229" t="s">
        <v>5465</v>
      </c>
      <c r="O229" t="s">
        <v>5473</v>
      </c>
      <c r="P229" t="s">
        <v>5477</v>
      </c>
      <c r="Q229" s="4">
        <v>970.93799999999987</v>
      </c>
    </row>
    <row r="230" spans="1:17" x14ac:dyDescent="0.3">
      <c r="A230" t="s">
        <v>241</v>
      </c>
      <c r="B230" t="s">
        <v>1637</v>
      </c>
      <c r="C230" s="1">
        <v>45791</v>
      </c>
      <c r="D230" t="s">
        <v>2814</v>
      </c>
      <c r="E230" t="s">
        <v>3473</v>
      </c>
      <c r="F230" t="s">
        <v>4569</v>
      </c>
      <c r="G230" t="s">
        <v>4572</v>
      </c>
      <c r="H230" t="s">
        <v>4583</v>
      </c>
      <c r="I230" t="s">
        <v>4604</v>
      </c>
      <c r="J230">
        <v>10</v>
      </c>
      <c r="K230">
        <v>22.13</v>
      </c>
      <c r="L230">
        <v>0</v>
      </c>
      <c r="M230">
        <v>0</v>
      </c>
      <c r="N230" t="s">
        <v>5466</v>
      </c>
      <c r="O230" t="s">
        <v>5471</v>
      </c>
      <c r="P230" t="s">
        <v>5479</v>
      </c>
      <c r="Q230" s="4">
        <v>221.29999999999998</v>
      </c>
    </row>
    <row r="231" spans="1:17" x14ac:dyDescent="0.3">
      <c r="A231" t="s">
        <v>242</v>
      </c>
      <c r="B231" t="s">
        <v>1638</v>
      </c>
      <c r="C231" s="1">
        <v>45340</v>
      </c>
      <c r="D231" t="s">
        <v>2815</v>
      </c>
      <c r="E231" t="s">
        <v>3474</v>
      </c>
      <c r="F231" t="s">
        <v>4549</v>
      </c>
      <c r="G231" t="s">
        <v>4573</v>
      </c>
      <c r="H231" t="s">
        <v>4583</v>
      </c>
      <c r="I231" t="s">
        <v>4604</v>
      </c>
      <c r="J231">
        <v>2</v>
      </c>
      <c r="K231">
        <v>22.62</v>
      </c>
      <c r="L231">
        <v>0.1</v>
      </c>
      <c r="M231">
        <v>4.08</v>
      </c>
      <c r="N231" t="s">
        <v>5463</v>
      </c>
      <c r="O231" t="s">
        <v>5472</v>
      </c>
      <c r="P231" t="s">
        <v>5476</v>
      </c>
      <c r="Q231" s="4">
        <v>40.716000000000001</v>
      </c>
    </row>
    <row r="232" spans="1:17" x14ac:dyDescent="0.3">
      <c r="A232" t="s">
        <v>243</v>
      </c>
      <c r="B232" t="s">
        <v>1639</v>
      </c>
      <c r="C232" s="1">
        <v>45808</v>
      </c>
      <c r="D232" t="s">
        <v>2816</v>
      </c>
      <c r="E232" t="s">
        <v>3475</v>
      </c>
      <c r="F232" t="s">
        <v>4569</v>
      </c>
      <c r="G232" t="s">
        <v>4572</v>
      </c>
      <c r="H232" t="s">
        <v>4583</v>
      </c>
      <c r="I232" t="s">
        <v>4605</v>
      </c>
      <c r="J232">
        <v>1</v>
      </c>
      <c r="K232">
        <v>43.12</v>
      </c>
      <c r="L232">
        <v>0</v>
      </c>
      <c r="M232">
        <v>8.41</v>
      </c>
      <c r="N232" t="s">
        <v>5463</v>
      </c>
      <c r="O232" t="s">
        <v>5471</v>
      </c>
      <c r="P232" t="s">
        <v>5479</v>
      </c>
      <c r="Q232" s="4">
        <v>43.12</v>
      </c>
    </row>
    <row r="233" spans="1:17" x14ac:dyDescent="0.3">
      <c r="A233" t="s">
        <v>244</v>
      </c>
      <c r="B233" t="s">
        <v>1640</v>
      </c>
      <c r="C233" s="1">
        <v>45632</v>
      </c>
      <c r="D233" t="s">
        <v>2817</v>
      </c>
      <c r="E233" t="s">
        <v>3476</v>
      </c>
      <c r="F233" t="s">
        <v>4566</v>
      </c>
      <c r="G233" t="s">
        <v>4573</v>
      </c>
      <c r="H233" t="s">
        <v>4584</v>
      </c>
      <c r="I233" t="s">
        <v>4595</v>
      </c>
      <c r="J233">
        <v>1</v>
      </c>
      <c r="K233">
        <v>42.86</v>
      </c>
      <c r="L233">
        <v>0.05</v>
      </c>
      <c r="M233">
        <v>4.32</v>
      </c>
      <c r="N233" t="s">
        <v>5462</v>
      </c>
      <c r="O233" t="s">
        <v>5473</v>
      </c>
      <c r="P233" t="s">
        <v>5479</v>
      </c>
      <c r="Q233" s="4">
        <v>40.716999999999999</v>
      </c>
    </row>
    <row r="234" spans="1:17" x14ac:dyDescent="0.3">
      <c r="A234" t="s">
        <v>245</v>
      </c>
      <c r="B234" t="s">
        <v>1641</v>
      </c>
      <c r="C234" s="1">
        <v>45342</v>
      </c>
      <c r="D234" t="s">
        <v>2818</v>
      </c>
      <c r="E234" t="s">
        <v>3477</v>
      </c>
      <c r="F234" t="s">
        <v>4549</v>
      </c>
      <c r="G234" t="s">
        <v>4573</v>
      </c>
      <c r="H234" t="s">
        <v>4587</v>
      </c>
      <c r="I234" t="s">
        <v>4606</v>
      </c>
      <c r="J234">
        <v>1</v>
      </c>
      <c r="K234">
        <v>29.55</v>
      </c>
      <c r="L234">
        <v>0.05</v>
      </c>
      <c r="M234">
        <v>13.26</v>
      </c>
      <c r="N234" t="s">
        <v>5465</v>
      </c>
      <c r="O234" t="s">
        <v>5469</v>
      </c>
      <c r="P234" t="s">
        <v>5479</v>
      </c>
      <c r="Q234" s="4">
        <v>28.072499999999998</v>
      </c>
    </row>
    <row r="235" spans="1:17" x14ac:dyDescent="0.3">
      <c r="A235" t="s">
        <v>246</v>
      </c>
      <c r="B235" t="s">
        <v>1642</v>
      </c>
      <c r="C235" s="1">
        <v>45876</v>
      </c>
      <c r="D235" t="s">
        <v>2819</v>
      </c>
      <c r="E235" t="s">
        <v>3478</v>
      </c>
      <c r="F235" t="s">
        <v>4564</v>
      </c>
      <c r="G235" t="s">
        <v>4573</v>
      </c>
      <c r="H235" t="s">
        <v>4585</v>
      </c>
      <c r="I235" t="s">
        <v>4592</v>
      </c>
      <c r="J235">
        <v>1</v>
      </c>
      <c r="K235">
        <v>6.41</v>
      </c>
      <c r="L235">
        <v>0</v>
      </c>
      <c r="M235">
        <v>9.2799999999999994</v>
      </c>
      <c r="N235" t="s">
        <v>5464</v>
      </c>
      <c r="O235" t="s">
        <v>5481</v>
      </c>
      <c r="P235" t="s">
        <v>5477</v>
      </c>
      <c r="Q235" s="4">
        <v>6.41</v>
      </c>
    </row>
    <row r="236" spans="1:17" x14ac:dyDescent="0.3">
      <c r="A236" t="s">
        <v>247</v>
      </c>
      <c r="B236" t="s">
        <v>1643</v>
      </c>
      <c r="C236" s="1">
        <v>45859</v>
      </c>
      <c r="D236" t="s">
        <v>2664</v>
      </c>
      <c r="E236" t="s">
        <v>3479</v>
      </c>
      <c r="F236" t="s">
        <v>4569</v>
      </c>
      <c r="G236" t="s">
        <v>4572</v>
      </c>
      <c r="H236" t="s">
        <v>4584</v>
      </c>
      <c r="I236" t="s">
        <v>4595</v>
      </c>
      <c r="J236">
        <v>1</v>
      </c>
      <c r="K236">
        <v>40.369999999999997</v>
      </c>
      <c r="L236">
        <v>0</v>
      </c>
      <c r="M236">
        <v>8.58</v>
      </c>
      <c r="N236" t="s">
        <v>5462</v>
      </c>
      <c r="O236" t="s">
        <v>5471</v>
      </c>
      <c r="P236" t="s">
        <v>5477</v>
      </c>
      <c r="Q236" s="4">
        <v>40.369999999999997</v>
      </c>
    </row>
    <row r="237" spans="1:17" x14ac:dyDescent="0.3">
      <c r="A237" t="s">
        <v>248</v>
      </c>
      <c r="B237" t="s">
        <v>1644</v>
      </c>
      <c r="C237" s="1">
        <v>45340</v>
      </c>
      <c r="D237" t="s">
        <v>2821</v>
      </c>
      <c r="E237" t="s">
        <v>3480</v>
      </c>
      <c r="F237" t="s">
        <v>4566</v>
      </c>
      <c r="G237" t="s">
        <v>4573</v>
      </c>
      <c r="H237" t="s">
        <v>4585</v>
      </c>
      <c r="I237" t="s">
        <v>4590</v>
      </c>
      <c r="J237">
        <v>1</v>
      </c>
      <c r="K237">
        <v>14.05</v>
      </c>
      <c r="L237">
        <v>0.1</v>
      </c>
      <c r="M237">
        <v>11.88</v>
      </c>
      <c r="N237" t="s">
        <v>5468</v>
      </c>
      <c r="O237" t="s">
        <v>5470</v>
      </c>
      <c r="P237" t="s">
        <v>5477</v>
      </c>
      <c r="Q237" s="4">
        <v>12.645000000000001</v>
      </c>
    </row>
    <row r="238" spans="1:17" x14ac:dyDescent="0.3">
      <c r="A238" t="s">
        <v>249</v>
      </c>
      <c r="B238" t="s">
        <v>1645</v>
      </c>
      <c r="C238" s="1">
        <v>46020</v>
      </c>
      <c r="D238" t="s">
        <v>2766</v>
      </c>
      <c r="E238" t="s">
        <v>3481</v>
      </c>
      <c r="F238" t="s">
        <v>4569</v>
      </c>
      <c r="G238" t="s">
        <v>4581</v>
      </c>
      <c r="H238" t="s">
        <v>4585</v>
      </c>
      <c r="I238" t="s">
        <v>4602</v>
      </c>
      <c r="J238">
        <v>1</v>
      </c>
      <c r="K238">
        <v>4.4400000000000004</v>
      </c>
      <c r="L238">
        <v>0.05</v>
      </c>
      <c r="M238">
        <v>0</v>
      </c>
      <c r="N238" t="s">
        <v>5462</v>
      </c>
      <c r="O238" t="s">
        <v>5481</v>
      </c>
      <c r="P238" t="s">
        <v>5477</v>
      </c>
      <c r="Q238" s="4">
        <v>4.218</v>
      </c>
    </row>
    <row r="239" spans="1:17" x14ac:dyDescent="0.3">
      <c r="A239" t="s">
        <v>250</v>
      </c>
      <c r="B239" t="s">
        <v>1627</v>
      </c>
      <c r="C239" s="1">
        <v>46018</v>
      </c>
      <c r="D239" t="s">
        <v>2639</v>
      </c>
      <c r="E239" t="s">
        <v>3482</v>
      </c>
      <c r="F239" t="s">
        <v>4566</v>
      </c>
      <c r="G239" t="s">
        <v>4577</v>
      </c>
      <c r="H239" t="s">
        <v>4586</v>
      </c>
      <c r="I239" t="s">
        <v>4609</v>
      </c>
      <c r="J239">
        <v>1</v>
      </c>
      <c r="K239">
        <v>127.67</v>
      </c>
      <c r="L239">
        <v>0.1</v>
      </c>
      <c r="M239">
        <v>6.08</v>
      </c>
      <c r="N239" t="s">
        <v>5465</v>
      </c>
      <c r="O239" t="s">
        <v>5474</v>
      </c>
      <c r="P239" t="s">
        <v>5477</v>
      </c>
      <c r="Q239" s="4">
        <v>114.90300000000001</v>
      </c>
    </row>
    <row r="240" spans="1:17" x14ac:dyDescent="0.3">
      <c r="A240" t="s">
        <v>251</v>
      </c>
      <c r="B240" t="s">
        <v>1646</v>
      </c>
      <c r="C240" s="1">
        <v>45432</v>
      </c>
      <c r="D240" t="s">
        <v>2726</v>
      </c>
      <c r="E240" t="s">
        <v>3483</v>
      </c>
      <c r="F240" t="s">
        <v>4565</v>
      </c>
      <c r="G240" t="s">
        <v>4575</v>
      </c>
      <c r="H240" t="s">
        <v>5481</v>
      </c>
      <c r="I240" t="s">
        <v>4592</v>
      </c>
      <c r="J240">
        <v>1</v>
      </c>
      <c r="K240">
        <v>6.68</v>
      </c>
      <c r="L240">
        <v>0</v>
      </c>
      <c r="M240">
        <v>9.9700000000000006</v>
      </c>
      <c r="N240" t="s">
        <v>5465</v>
      </c>
      <c r="O240" t="s">
        <v>5472</v>
      </c>
      <c r="P240" t="s">
        <v>5477</v>
      </c>
      <c r="Q240" s="4">
        <v>6.68</v>
      </c>
    </row>
    <row r="241" spans="1:17" x14ac:dyDescent="0.3">
      <c r="A241" t="s">
        <v>252</v>
      </c>
      <c r="B241" t="s">
        <v>1647</v>
      </c>
      <c r="C241" s="1">
        <v>45318</v>
      </c>
      <c r="D241" t="s">
        <v>3021</v>
      </c>
      <c r="E241" t="s">
        <v>3484</v>
      </c>
      <c r="F241" t="s">
        <v>4565</v>
      </c>
      <c r="G241" t="s">
        <v>4576</v>
      </c>
      <c r="H241" t="s">
        <v>5481</v>
      </c>
      <c r="I241" t="s">
        <v>4603</v>
      </c>
      <c r="J241">
        <v>4</v>
      </c>
      <c r="K241">
        <v>9.6300000000000008</v>
      </c>
      <c r="L241">
        <v>0.1</v>
      </c>
      <c r="M241">
        <v>3.36</v>
      </c>
      <c r="N241" t="s">
        <v>5465</v>
      </c>
      <c r="O241" t="s">
        <v>5474</v>
      </c>
      <c r="P241" t="s">
        <v>5477</v>
      </c>
      <c r="Q241" s="4">
        <v>34.668000000000006</v>
      </c>
    </row>
    <row r="242" spans="1:17" x14ac:dyDescent="0.3">
      <c r="A242" t="s">
        <v>253</v>
      </c>
      <c r="B242" t="s">
        <v>1648</v>
      </c>
      <c r="C242" s="1">
        <v>45987</v>
      </c>
      <c r="D242" t="s">
        <v>2825</v>
      </c>
      <c r="E242" t="s">
        <v>3485</v>
      </c>
      <c r="F242" t="s">
        <v>4566</v>
      </c>
      <c r="G242" t="s">
        <v>4582</v>
      </c>
      <c r="H242" t="s">
        <v>4584</v>
      </c>
      <c r="I242" t="s">
        <v>4603</v>
      </c>
      <c r="J242">
        <v>4</v>
      </c>
      <c r="K242">
        <v>9.57</v>
      </c>
      <c r="L242">
        <v>0.15</v>
      </c>
      <c r="M242">
        <v>13.14</v>
      </c>
      <c r="N242" t="s">
        <v>5464</v>
      </c>
      <c r="O242" t="s">
        <v>5472</v>
      </c>
      <c r="P242" t="s">
        <v>5475</v>
      </c>
      <c r="Q242" s="4">
        <v>32.537999999999997</v>
      </c>
    </row>
    <row r="243" spans="1:17" x14ac:dyDescent="0.3">
      <c r="A243" t="s">
        <v>254</v>
      </c>
      <c r="B243" t="s">
        <v>1649</v>
      </c>
      <c r="C243" s="1">
        <v>45582</v>
      </c>
      <c r="D243" t="s">
        <v>2826</v>
      </c>
      <c r="E243" t="s">
        <v>3486</v>
      </c>
      <c r="F243" t="s">
        <v>4566</v>
      </c>
      <c r="G243" t="s">
        <v>4573</v>
      </c>
      <c r="H243" t="s">
        <v>4585</v>
      </c>
      <c r="I243" t="s">
        <v>4592</v>
      </c>
      <c r="J243">
        <v>1</v>
      </c>
      <c r="K243">
        <v>6.28</v>
      </c>
      <c r="L243">
        <v>0.15</v>
      </c>
      <c r="M243">
        <v>0.02</v>
      </c>
      <c r="N243" t="s">
        <v>5468</v>
      </c>
      <c r="O243" t="s">
        <v>5470</v>
      </c>
      <c r="P243" t="s">
        <v>5477</v>
      </c>
      <c r="Q243" s="4">
        <v>5.3380000000000001</v>
      </c>
    </row>
    <row r="244" spans="1:17" x14ac:dyDescent="0.3">
      <c r="A244" t="s">
        <v>255</v>
      </c>
      <c r="B244" t="s">
        <v>1650</v>
      </c>
      <c r="C244" s="1">
        <v>45872</v>
      </c>
      <c r="D244" t="s">
        <v>2827</v>
      </c>
      <c r="E244" t="s">
        <v>3487</v>
      </c>
      <c r="F244" t="s">
        <v>4569</v>
      </c>
      <c r="G244" t="s">
        <v>4580</v>
      </c>
      <c r="H244" t="s">
        <v>4583</v>
      </c>
      <c r="I244" t="s">
        <v>4588</v>
      </c>
      <c r="J244">
        <v>2</v>
      </c>
      <c r="K244">
        <v>41.37</v>
      </c>
      <c r="L244">
        <v>0.05</v>
      </c>
      <c r="M244">
        <v>0</v>
      </c>
      <c r="N244" t="s">
        <v>5464</v>
      </c>
      <c r="O244" t="s">
        <v>5470</v>
      </c>
      <c r="P244" t="s">
        <v>5477</v>
      </c>
      <c r="Q244" s="4">
        <v>78.602999999999994</v>
      </c>
    </row>
    <row r="245" spans="1:17" x14ac:dyDescent="0.3">
      <c r="A245" t="s">
        <v>256</v>
      </c>
      <c r="B245" t="s">
        <v>1651</v>
      </c>
      <c r="C245" s="1">
        <v>45390</v>
      </c>
      <c r="D245" t="s">
        <v>2828</v>
      </c>
      <c r="E245" t="s">
        <v>3488</v>
      </c>
      <c r="F245" t="s">
        <v>4549</v>
      </c>
      <c r="G245" t="s">
        <v>4574</v>
      </c>
      <c r="H245" t="s">
        <v>4586</v>
      </c>
      <c r="I245" t="s">
        <v>4597</v>
      </c>
      <c r="J245">
        <v>3</v>
      </c>
      <c r="K245">
        <v>84.77</v>
      </c>
      <c r="L245">
        <v>0</v>
      </c>
      <c r="M245">
        <v>0.11</v>
      </c>
      <c r="N245" t="s">
        <v>5466</v>
      </c>
      <c r="O245" t="s">
        <v>5474</v>
      </c>
      <c r="P245" t="s">
        <v>5477</v>
      </c>
      <c r="Q245" s="4">
        <v>254.31</v>
      </c>
    </row>
    <row r="246" spans="1:17" x14ac:dyDescent="0.3">
      <c r="A246" t="s">
        <v>257</v>
      </c>
      <c r="B246" t="s">
        <v>1652</v>
      </c>
      <c r="C246" s="1">
        <v>45804</v>
      </c>
      <c r="D246" t="s">
        <v>2829</v>
      </c>
      <c r="E246" t="s">
        <v>3489</v>
      </c>
      <c r="F246" t="s">
        <v>4549</v>
      </c>
      <c r="G246" t="s">
        <v>4573</v>
      </c>
      <c r="H246" t="s">
        <v>4584</v>
      </c>
      <c r="I246" t="s">
        <v>4595</v>
      </c>
      <c r="J246">
        <v>4</v>
      </c>
      <c r="K246">
        <v>42.43</v>
      </c>
      <c r="L246">
        <v>0.15</v>
      </c>
      <c r="M246">
        <v>8.7100000000000009</v>
      </c>
      <c r="N246" t="s">
        <v>5462</v>
      </c>
      <c r="O246" t="s">
        <v>5473</v>
      </c>
      <c r="P246" t="s">
        <v>5477</v>
      </c>
      <c r="Q246" s="4">
        <v>144.262</v>
      </c>
    </row>
    <row r="247" spans="1:17" x14ac:dyDescent="0.3">
      <c r="A247" t="s">
        <v>258</v>
      </c>
      <c r="B247" t="s">
        <v>1653</v>
      </c>
      <c r="C247" s="1">
        <v>45888</v>
      </c>
      <c r="D247" t="s">
        <v>3009</v>
      </c>
      <c r="E247" t="s">
        <v>3490</v>
      </c>
      <c r="F247" t="s">
        <v>4564</v>
      </c>
      <c r="G247" t="s">
        <v>4573</v>
      </c>
      <c r="H247" t="s">
        <v>4584</v>
      </c>
      <c r="I247" t="s">
        <v>4595</v>
      </c>
      <c r="J247">
        <v>1</v>
      </c>
      <c r="K247">
        <v>40.1</v>
      </c>
      <c r="L247">
        <v>0</v>
      </c>
      <c r="M247">
        <v>0.18</v>
      </c>
      <c r="N247" t="s">
        <v>5463</v>
      </c>
      <c r="O247" t="s">
        <v>5472</v>
      </c>
      <c r="P247" t="s">
        <v>5477</v>
      </c>
      <c r="Q247" s="4">
        <v>40.1</v>
      </c>
    </row>
    <row r="248" spans="1:17" x14ac:dyDescent="0.3">
      <c r="A248" t="s">
        <v>259</v>
      </c>
      <c r="B248" t="s">
        <v>1654</v>
      </c>
      <c r="C248" s="1">
        <v>45409</v>
      </c>
      <c r="D248" t="s">
        <v>2831</v>
      </c>
      <c r="E248" t="s">
        <v>3491</v>
      </c>
      <c r="F248" t="s">
        <v>4564</v>
      </c>
      <c r="G248" t="s">
        <v>4573</v>
      </c>
      <c r="H248" t="s">
        <v>4583</v>
      </c>
      <c r="I248" t="s">
        <v>4610</v>
      </c>
      <c r="J248">
        <v>3</v>
      </c>
      <c r="K248">
        <v>82.38</v>
      </c>
      <c r="L248">
        <v>0.1</v>
      </c>
      <c r="M248">
        <v>7.48</v>
      </c>
      <c r="N248" t="s">
        <v>5463</v>
      </c>
      <c r="O248" t="s">
        <v>5473</v>
      </c>
      <c r="P248" t="s">
        <v>5477</v>
      </c>
      <c r="Q248" s="4">
        <v>222.42599999999999</v>
      </c>
    </row>
    <row r="249" spans="1:17" x14ac:dyDescent="0.3">
      <c r="A249" t="s">
        <v>260</v>
      </c>
      <c r="B249" t="s">
        <v>1655</v>
      </c>
      <c r="C249" s="1">
        <v>45722</v>
      </c>
      <c r="D249" t="s">
        <v>2832</v>
      </c>
      <c r="E249" t="s">
        <v>5481</v>
      </c>
      <c r="F249" t="s">
        <v>4564</v>
      </c>
      <c r="G249" t="s">
        <v>4578</v>
      </c>
      <c r="H249" t="s">
        <v>4586</v>
      </c>
      <c r="I249" t="s">
        <v>4593</v>
      </c>
      <c r="J249">
        <v>10</v>
      </c>
      <c r="K249">
        <v>106.6</v>
      </c>
      <c r="L249">
        <v>0.15</v>
      </c>
      <c r="M249">
        <v>5.41</v>
      </c>
      <c r="N249" t="s">
        <v>5462</v>
      </c>
      <c r="O249" t="s">
        <v>5481</v>
      </c>
      <c r="P249" t="s">
        <v>5477</v>
      </c>
      <c r="Q249" s="4">
        <v>906.1</v>
      </c>
    </row>
    <row r="250" spans="1:17" x14ac:dyDescent="0.3">
      <c r="A250" t="s">
        <v>261</v>
      </c>
      <c r="B250" t="s">
        <v>1656</v>
      </c>
      <c r="C250" s="1">
        <v>45464</v>
      </c>
      <c r="D250" t="s">
        <v>2833</v>
      </c>
      <c r="E250" t="s">
        <v>3492</v>
      </c>
      <c r="F250" t="s">
        <v>4549</v>
      </c>
      <c r="G250" t="s">
        <v>4573</v>
      </c>
      <c r="H250" t="s">
        <v>4585</v>
      </c>
      <c r="I250" t="s">
        <v>4590</v>
      </c>
      <c r="J250">
        <v>10</v>
      </c>
      <c r="K250">
        <v>14.53</v>
      </c>
      <c r="L250">
        <v>0</v>
      </c>
      <c r="M250">
        <v>8.11</v>
      </c>
      <c r="N250" t="s">
        <v>5463</v>
      </c>
      <c r="O250" t="s">
        <v>5474</v>
      </c>
      <c r="P250" t="s">
        <v>5477</v>
      </c>
      <c r="Q250" s="4">
        <v>145.29999999999998</v>
      </c>
    </row>
    <row r="251" spans="1:17" x14ac:dyDescent="0.3">
      <c r="A251" t="s">
        <v>262</v>
      </c>
      <c r="B251" t="s">
        <v>1657</v>
      </c>
      <c r="C251" s="1">
        <v>45947</v>
      </c>
      <c r="D251" t="s">
        <v>2698</v>
      </c>
      <c r="E251" t="s">
        <v>3493</v>
      </c>
      <c r="F251" t="s">
        <v>4566</v>
      </c>
      <c r="G251" t="s">
        <v>4582</v>
      </c>
      <c r="H251" t="s">
        <v>4584</v>
      </c>
      <c r="I251" t="s">
        <v>4595</v>
      </c>
      <c r="J251">
        <v>5</v>
      </c>
      <c r="K251">
        <v>41.34</v>
      </c>
      <c r="L251">
        <v>0.05</v>
      </c>
      <c r="M251">
        <v>14.82</v>
      </c>
      <c r="N251" t="s">
        <v>5468</v>
      </c>
      <c r="O251" t="s">
        <v>5469</v>
      </c>
      <c r="P251" t="s">
        <v>5475</v>
      </c>
      <c r="Q251" s="4">
        <v>196.36500000000001</v>
      </c>
    </row>
    <row r="252" spans="1:17" x14ac:dyDescent="0.3">
      <c r="A252" t="s">
        <v>263</v>
      </c>
      <c r="B252" t="s">
        <v>1658</v>
      </c>
      <c r="C252" s="1">
        <v>45507</v>
      </c>
      <c r="D252" t="s">
        <v>2687</v>
      </c>
      <c r="E252" t="s">
        <v>3494</v>
      </c>
      <c r="F252" t="s">
        <v>4565</v>
      </c>
      <c r="G252" t="s">
        <v>4579</v>
      </c>
      <c r="H252" t="s">
        <v>4587</v>
      </c>
      <c r="I252" t="s">
        <v>4594</v>
      </c>
      <c r="J252">
        <v>3</v>
      </c>
      <c r="K252">
        <v>59.6</v>
      </c>
      <c r="L252">
        <v>0</v>
      </c>
      <c r="M252">
        <v>14.76</v>
      </c>
      <c r="N252" t="s">
        <v>5468</v>
      </c>
      <c r="O252" t="s">
        <v>5470</v>
      </c>
      <c r="P252" t="s">
        <v>5477</v>
      </c>
      <c r="Q252" s="4">
        <v>178.8</v>
      </c>
    </row>
    <row r="253" spans="1:17" x14ac:dyDescent="0.3">
      <c r="A253" t="s">
        <v>264</v>
      </c>
      <c r="B253" t="s">
        <v>1659</v>
      </c>
      <c r="C253" s="1">
        <v>45552</v>
      </c>
      <c r="D253" t="s">
        <v>2644</v>
      </c>
      <c r="E253" t="s">
        <v>3495</v>
      </c>
      <c r="F253" t="s">
        <v>4549</v>
      </c>
      <c r="G253" t="s">
        <v>4574</v>
      </c>
      <c r="H253" t="s">
        <v>4583</v>
      </c>
      <c r="I253" t="s">
        <v>4605</v>
      </c>
      <c r="J253">
        <v>5</v>
      </c>
      <c r="K253">
        <v>43.68</v>
      </c>
      <c r="L253">
        <v>0.05</v>
      </c>
      <c r="M253">
        <v>1.26</v>
      </c>
      <c r="N253" t="s">
        <v>5481</v>
      </c>
      <c r="O253" t="s">
        <v>5470</v>
      </c>
      <c r="P253" t="s">
        <v>5475</v>
      </c>
      <c r="Q253" s="4">
        <v>207.48</v>
      </c>
    </row>
    <row r="254" spans="1:17" x14ac:dyDescent="0.3">
      <c r="A254" t="s">
        <v>265</v>
      </c>
      <c r="B254" t="s">
        <v>1660</v>
      </c>
      <c r="C254" s="1">
        <v>45496</v>
      </c>
      <c r="D254" t="s">
        <v>2835</v>
      </c>
      <c r="E254" t="s">
        <v>3496</v>
      </c>
      <c r="F254" t="s">
        <v>4549</v>
      </c>
      <c r="G254" t="s">
        <v>4573</v>
      </c>
      <c r="H254" t="s">
        <v>4584</v>
      </c>
      <c r="I254" t="s">
        <v>4595</v>
      </c>
      <c r="J254">
        <v>5</v>
      </c>
      <c r="K254">
        <v>41.4</v>
      </c>
      <c r="L254">
        <v>0</v>
      </c>
      <c r="M254">
        <v>8.9600000000000009</v>
      </c>
      <c r="N254" t="s">
        <v>5466</v>
      </c>
      <c r="O254" t="s">
        <v>5472</v>
      </c>
      <c r="P254" t="s">
        <v>5477</v>
      </c>
      <c r="Q254" s="4">
        <v>207</v>
      </c>
    </row>
    <row r="255" spans="1:17" x14ac:dyDescent="0.3">
      <c r="A255" t="s">
        <v>266</v>
      </c>
      <c r="B255" t="s">
        <v>1661</v>
      </c>
      <c r="C255" s="1">
        <v>45658</v>
      </c>
      <c r="D255" t="s">
        <v>2689</v>
      </c>
      <c r="E255" t="s">
        <v>3497</v>
      </c>
      <c r="F255" t="s">
        <v>4564</v>
      </c>
      <c r="G255" t="s">
        <v>4578</v>
      </c>
      <c r="H255" t="s">
        <v>4583</v>
      </c>
      <c r="I255" t="s">
        <v>4605</v>
      </c>
      <c r="J255">
        <v>2</v>
      </c>
      <c r="K255">
        <v>44.63</v>
      </c>
      <c r="L255">
        <v>0.1</v>
      </c>
      <c r="M255">
        <v>3.65</v>
      </c>
      <c r="N255" t="s">
        <v>5464</v>
      </c>
      <c r="O255" t="s">
        <v>5469</v>
      </c>
      <c r="P255" t="s">
        <v>5477</v>
      </c>
      <c r="Q255" s="4">
        <v>80.334000000000003</v>
      </c>
    </row>
    <row r="256" spans="1:17" x14ac:dyDescent="0.3">
      <c r="A256" t="s">
        <v>267</v>
      </c>
      <c r="B256" t="s">
        <v>1662</v>
      </c>
      <c r="C256" s="1">
        <v>46005</v>
      </c>
      <c r="D256" t="s">
        <v>2833</v>
      </c>
      <c r="E256" t="s">
        <v>3498</v>
      </c>
      <c r="F256" t="s">
        <v>4565</v>
      </c>
      <c r="G256" t="s">
        <v>4579</v>
      </c>
      <c r="H256" t="s">
        <v>4584</v>
      </c>
      <c r="I256" t="s">
        <v>4607</v>
      </c>
      <c r="J256">
        <v>2</v>
      </c>
      <c r="K256">
        <v>25.98</v>
      </c>
      <c r="L256">
        <v>0.1</v>
      </c>
      <c r="M256">
        <v>1.61</v>
      </c>
      <c r="N256" t="s">
        <v>5464</v>
      </c>
      <c r="O256" t="s">
        <v>5471</v>
      </c>
      <c r="P256" t="s">
        <v>5477</v>
      </c>
      <c r="Q256" s="4">
        <v>46.764000000000003</v>
      </c>
    </row>
    <row r="257" spans="1:17" x14ac:dyDescent="0.3">
      <c r="A257" t="s">
        <v>268</v>
      </c>
      <c r="B257" t="s">
        <v>1663</v>
      </c>
      <c r="C257" s="1">
        <v>45403</v>
      </c>
      <c r="D257" t="s">
        <v>2642</v>
      </c>
      <c r="E257" t="s">
        <v>3499</v>
      </c>
      <c r="F257" t="s">
        <v>4564</v>
      </c>
      <c r="G257" t="s">
        <v>4573</v>
      </c>
      <c r="H257" t="s">
        <v>4586</v>
      </c>
      <c r="I257" t="s">
        <v>4593</v>
      </c>
      <c r="J257">
        <v>1</v>
      </c>
      <c r="K257">
        <v>106.24</v>
      </c>
      <c r="L257">
        <v>0.05</v>
      </c>
      <c r="M257">
        <v>13.76</v>
      </c>
      <c r="N257" t="s">
        <v>5468</v>
      </c>
      <c r="O257" t="s">
        <v>5481</v>
      </c>
      <c r="P257" t="s">
        <v>5476</v>
      </c>
      <c r="Q257" s="4">
        <v>100.928</v>
      </c>
    </row>
    <row r="258" spans="1:17" x14ac:dyDescent="0.3">
      <c r="A258" t="s">
        <v>269</v>
      </c>
      <c r="B258" t="s">
        <v>1664</v>
      </c>
      <c r="C258" s="1">
        <v>45688</v>
      </c>
      <c r="D258" t="s">
        <v>2727</v>
      </c>
      <c r="E258" t="s">
        <v>3500</v>
      </c>
      <c r="F258" t="s">
        <v>4569</v>
      </c>
      <c r="G258" t="s">
        <v>4581</v>
      </c>
      <c r="H258" t="s">
        <v>4586</v>
      </c>
      <c r="I258" t="s">
        <v>4599</v>
      </c>
      <c r="J258">
        <v>1</v>
      </c>
      <c r="K258">
        <v>237.08</v>
      </c>
      <c r="L258">
        <v>0.05</v>
      </c>
      <c r="M258">
        <v>10.52</v>
      </c>
      <c r="N258" t="s">
        <v>5464</v>
      </c>
      <c r="O258" t="s">
        <v>5469</v>
      </c>
      <c r="P258" t="s">
        <v>5477</v>
      </c>
      <c r="Q258" s="4">
        <v>225.226</v>
      </c>
    </row>
    <row r="259" spans="1:17" x14ac:dyDescent="0.3">
      <c r="A259" t="s">
        <v>270</v>
      </c>
      <c r="B259" t="s">
        <v>1665</v>
      </c>
      <c r="C259" s="1">
        <v>45433</v>
      </c>
      <c r="D259" t="s">
        <v>2678</v>
      </c>
      <c r="E259" t="s">
        <v>3501</v>
      </c>
      <c r="F259" t="s">
        <v>4566</v>
      </c>
      <c r="G259" t="s">
        <v>4573</v>
      </c>
      <c r="H259" t="s">
        <v>4584</v>
      </c>
      <c r="I259" t="s">
        <v>4595</v>
      </c>
      <c r="J259">
        <v>3</v>
      </c>
      <c r="K259">
        <v>40.06</v>
      </c>
      <c r="L259">
        <v>0.05</v>
      </c>
      <c r="M259">
        <v>3.92</v>
      </c>
      <c r="N259" t="s">
        <v>5462</v>
      </c>
      <c r="O259" t="s">
        <v>5472</v>
      </c>
      <c r="P259" t="s">
        <v>5475</v>
      </c>
      <c r="Q259" s="4">
        <v>114.17100000000001</v>
      </c>
    </row>
    <row r="260" spans="1:17" x14ac:dyDescent="0.3">
      <c r="A260" t="s">
        <v>271</v>
      </c>
      <c r="B260" t="s">
        <v>1666</v>
      </c>
      <c r="C260" s="1">
        <v>45846</v>
      </c>
      <c r="D260" t="s">
        <v>2838</v>
      </c>
      <c r="E260" t="s">
        <v>3502</v>
      </c>
      <c r="F260" t="s">
        <v>4549</v>
      </c>
      <c r="G260" t="s">
        <v>4574</v>
      </c>
      <c r="H260" t="s">
        <v>4587</v>
      </c>
      <c r="I260" t="s">
        <v>4606</v>
      </c>
      <c r="J260">
        <v>4</v>
      </c>
      <c r="K260">
        <v>29.19</v>
      </c>
      <c r="L260">
        <v>0.05</v>
      </c>
      <c r="M260">
        <v>7.37</v>
      </c>
      <c r="N260" t="s">
        <v>5465</v>
      </c>
      <c r="O260" t="s">
        <v>5472</v>
      </c>
      <c r="P260" t="s">
        <v>5477</v>
      </c>
      <c r="Q260" s="4">
        <v>110.922</v>
      </c>
    </row>
    <row r="261" spans="1:17" x14ac:dyDescent="0.3">
      <c r="A261" t="s">
        <v>272</v>
      </c>
      <c r="B261" t="s">
        <v>1667</v>
      </c>
      <c r="C261" s="1">
        <v>45629</v>
      </c>
      <c r="D261" t="s">
        <v>2839</v>
      </c>
      <c r="E261" t="s">
        <v>3503</v>
      </c>
      <c r="F261" t="s">
        <v>4549</v>
      </c>
      <c r="G261" t="s">
        <v>4574</v>
      </c>
      <c r="H261" t="s">
        <v>4586</v>
      </c>
      <c r="I261" t="s">
        <v>4597</v>
      </c>
      <c r="J261">
        <v>1</v>
      </c>
      <c r="K261">
        <v>86.84</v>
      </c>
      <c r="L261">
        <v>0</v>
      </c>
      <c r="M261">
        <v>0</v>
      </c>
      <c r="N261" t="s">
        <v>5467</v>
      </c>
      <c r="O261" t="s">
        <v>5471</v>
      </c>
      <c r="P261" t="s">
        <v>5477</v>
      </c>
      <c r="Q261" s="4">
        <v>86.84</v>
      </c>
    </row>
    <row r="262" spans="1:17" x14ac:dyDescent="0.3">
      <c r="C262" s="1"/>
      <c r="E262" t="s">
        <v>5481</v>
      </c>
      <c r="G262" t="s">
        <v>5481</v>
      </c>
      <c r="H262" t="s">
        <v>5481</v>
      </c>
      <c r="L262">
        <v>0</v>
      </c>
      <c r="N262" t="s">
        <v>5481</v>
      </c>
      <c r="O262" t="s">
        <v>5481</v>
      </c>
    </row>
    <row r="263" spans="1:17" x14ac:dyDescent="0.3">
      <c r="A263" t="s">
        <v>273</v>
      </c>
      <c r="B263" t="s">
        <v>1668</v>
      </c>
      <c r="C263" s="1">
        <v>45557</v>
      </c>
      <c r="D263" t="s">
        <v>2640</v>
      </c>
      <c r="E263" t="s">
        <v>3504</v>
      </c>
      <c r="F263" t="s">
        <v>4569</v>
      </c>
      <c r="G263" t="s">
        <v>4581</v>
      </c>
      <c r="H263" t="s">
        <v>4585</v>
      </c>
      <c r="I263" t="s">
        <v>4602</v>
      </c>
      <c r="J263">
        <v>1</v>
      </c>
      <c r="K263">
        <v>4.2300000000000004</v>
      </c>
      <c r="L263">
        <v>0.05</v>
      </c>
      <c r="M263">
        <v>0</v>
      </c>
      <c r="N263" t="s">
        <v>5467</v>
      </c>
      <c r="O263" t="s">
        <v>5471</v>
      </c>
      <c r="P263" t="s">
        <v>5477</v>
      </c>
      <c r="Q263" s="4">
        <v>4.0185000000000004</v>
      </c>
    </row>
    <row r="264" spans="1:17" x14ac:dyDescent="0.3">
      <c r="A264" t="s">
        <v>274</v>
      </c>
      <c r="B264" t="s">
        <v>1669</v>
      </c>
      <c r="C264" s="1">
        <v>45822</v>
      </c>
      <c r="D264" t="s">
        <v>2840</v>
      </c>
      <c r="E264" t="s">
        <v>3505</v>
      </c>
      <c r="F264" t="s">
        <v>4565</v>
      </c>
      <c r="G264" t="s">
        <v>4575</v>
      </c>
      <c r="H264" t="s">
        <v>4583</v>
      </c>
      <c r="I264" t="s">
        <v>4604</v>
      </c>
      <c r="J264">
        <v>1</v>
      </c>
      <c r="K264">
        <v>22.45</v>
      </c>
      <c r="L264">
        <v>0</v>
      </c>
      <c r="M264">
        <v>0.18</v>
      </c>
      <c r="N264" t="s">
        <v>5463</v>
      </c>
      <c r="O264" t="s">
        <v>5473</v>
      </c>
      <c r="P264" t="s">
        <v>5477</v>
      </c>
      <c r="Q264" s="4">
        <v>22.45</v>
      </c>
    </row>
    <row r="265" spans="1:17" x14ac:dyDescent="0.3">
      <c r="A265" t="s">
        <v>275</v>
      </c>
      <c r="B265" t="s">
        <v>1670</v>
      </c>
      <c r="C265" s="1">
        <v>45429</v>
      </c>
      <c r="D265" t="s">
        <v>2841</v>
      </c>
      <c r="E265" t="s">
        <v>5481</v>
      </c>
      <c r="F265" t="s">
        <v>4549</v>
      </c>
      <c r="G265" t="s">
        <v>4573</v>
      </c>
      <c r="H265" t="s">
        <v>4583</v>
      </c>
      <c r="I265" t="s">
        <v>4604</v>
      </c>
      <c r="J265">
        <v>3</v>
      </c>
      <c r="K265">
        <v>22.65</v>
      </c>
      <c r="L265">
        <v>0</v>
      </c>
      <c r="M265">
        <v>2.73</v>
      </c>
      <c r="N265" t="s">
        <v>5467</v>
      </c>
      <c r="O265" t="s">
        <v>5481</v>
      </c>
      <c r="P265" t="s">
        <v>5477</v>
      </c>
      <c r="Q265" s="4">
        <v>67.949999999999989</v>
      </c>
    </row>
    <row r="266" spans="1:17" x14ac:dyDescent="0.3">
      <c r="A266" t="s">
        <v>276</v>
      </c>
      <c r="B266" t="s">
        <v>1671</v>
      </c>
      <c r="C266" s="1">
        <v>45299</v>
      </c>
      <c r="D266" t="s">
        <v>2994</v>
      </c>
      <c r="E266" t="s">
        <v>3506</v>
      </c>
      <c r="F266" t="s">
        <v>4565</v>
      </c>
      <c r="G266" t="s">
        <v>4576</v>
      </c>
      <c r="H266" t="s">
        <v>4587</v>
      </c>
      <c r="I266" t="s">
        <v>4596</v>
      </c>
      <c r="J266">
        <v>10</v>
      </c>
      <c r="K266">
        <v>14.97</v>
      </c>
      <c r="L266">
        <v>0.05</v>
      </c>
      <c r="M266">
        <v>0.22</v>
      </c>
      <c r="N266" t="s">
        <v>5465</v>
      </c>
      <c r="O266" t="s">
        <v>5481</v>
      </c>
      <c r="P266" t="s">
        <v>5475</v>
      </c>
      <c r="Q266" s="4">
        <v>142.215</v>
      </c>
    </row>
    <row r="267" spans="1:17" x14ac:dyDescent="0.3">
      <c r="A267" t="s">
        <v>277</v>
      </c>
      <c r="B267" t="s">
        <v>1444</v>
      </c>
      <c r="C267" s="1">
        <v>45426</v>
      </c>
      <c r="D267" t="s">
        <v>2843</v>
      </c>
      <c r="E267" t="s">
        <v>3507</v>
      </c>
      <c r="F267" t="s">
        <v>4566</v>
      </c>
      <c r="G267" t="s">
        <v>4582</v>
      </c>
      <c r="H267" t="s">
        <v>4587</v>
      </c>
      <c r="I267" t="s">
        <v>4596</v>
      </c>
      <c r="J267">
        <v>1</v>
      </c>
      <c r="K267">
        <v>15.22</v>
      </c>
      <c r="L267">
        <v>0</v>
      </c>
      <c r="M267">
        <v>0</v>
      </c>
      <c r="N267" t="s">
        <v>5465</v>
      </c>
      <c r="O267" t="s">
        <v>5470</v>
      </c>
      <c r="P267" t="s">
        <v>5477</v>
      </c>
      <c r="Q267" s="4">
        <v>15.22</v>
      </c>
    </row>
    <row r="268" spans="1:17" x14ac:dyDescent="0.3">
      <c r="A268" t="s">
        <v>278</v>
      </c>
      <c r="B268" t="s">
        <v>1672</v>
      </c>
      <c r="C268" s="1">
        <v>45398</v>
      </c>
      <c r="D268" t="s">
        <v>2724</v>
      </c>
      <c r="E268" t="s">
        <v>3508</v>
      </c>
      <c r="F268" t="s">
        <v>4566</v>
      </c>
      <c r="G268" t="s">
        <v>4582</v>
      </c>
      <c r="H268" t="s">
        <v>4584</v>
      </c>
      <c r="I268" t="s">
        <v>4608</v>
      </c>
      <c r="J268">
        <v>10</v>
      </c>
      <c r="K268">
        <v>19.34</v>
      </c>
      <c r="L268">
        <v>0</v>
      </c>
      <c r="M268">
        <v>0</v>
      </c>
      <c r="N268" t="s">
        <v>5467</v>
      </c>
      <c r="O268" t="s">
        <v>5470</v>
      </c>
      <c r="P268" t="s">
        <v>5477</v>
      </c>
      <c r="Q268" s="4">
        <v>193.4</v>
      </c>
    </row>
    <row r="269" spans="1:17" x14ac:dyDescent="0.3">
      <c r="A269" t="s">
        <v>279</v>
      </c>
      <c r="B269" t="s">
        <v>1673</v>
      </c>
      <c r="C269" s="1">
        <v>45910</v>
      </c>
      <c r="D269" t="s">
        <v>2844</v>
      </c>
      <c r="E269" t="s">
        <v>3509</v>
      </c>
      <c r="F269" t="s">
        <v>4565</v>
      </c>
      <c r="G269" t="s">
        <v>4579</v>
      </c>
      <c r="H269" t="s">
        <v>4587</v>
      </c>
      <c r="I269" t="s">
        <v>4596</v>
      </c>
      <c r="J269">
        <v>10</v>
      </c>
      <c r="K269">
        <v>15.13</v>
      </c>
      <c r="L269">
        <v>0.1</v>
      </c>
      <c r="M269">
        <v>6.6</v>
      </c>
      <c r="N269" t="s">
        <v>5463</v>
      </c>
      <c r="O269" t="s">
        <v>5469</v>
      </c>
      <c r="P269" t="s">
        <v>5477</v>
      </c>
      <c r="Q269" s="4">
        <v>136.17000000000002</v>
      </c>
    </row>
    <row r="270" spans="1:17" x14ac:dyDescent="0.3">
      <c r="A270" t="s">
        <v>280</v>
      </c>
      <c r="B270" t="s">
        <v>1674</v>
      </c>
      <c r="C270" s="1">
        <v>45551</v>
      </c>
      <c r="D270" t="s">
        <v>2845</v>
      </c>
      <c r="E270" t="s">
        <v>3510</v>
      </c>
      <c r="F270" t="s">
        <v>4564</v>
      </c>
      <c r="G270" t="s">
        <v>4573</v>
      </c>
      <c r="H270" t="s">
        <v>4587</v>
      </c>
      <c r="I270" t="s">
        <v>4606</v>
      </c>
      <c r="J270">
        <v>3</v>
      </c>
      <c r="K270">
        <v>29.83</v>
      </c>
      <c r="L270">
        <v>0</v>
      </c>
      <c r="M270">
        <v>12.79</v>
      </c>
      <c r="N270" t="s">
        <v>5481</v>
      </c>
      <c r="O270" t="s">
        <v>5474</v>
      </c>
      <c r="P270" t="s">
        <v>5479</v>
      </c>
      <c r="Q270" s="4">
        <v>89.49</v>
      </c>
    </row>
    <row r="271" spans="1:17" x14ac:dyDescent="0.3">
      <c r="A271" t="s">
        <v>281</v>
      </c>
      <c r="B271" t="s">
        <v>1675</v>
      </c>
      <c r="C271" s="1">
        <v>45800</v>
      </c>
      <c r="D271" t="s">
        <v>2846</v>
      </c>
      <c r="E271" t="s">
        <v>3511</v>
      </c>
      <c r="F271" t="s">
        <v>4569</v>
      </c>
      <c r="G271" t="s">
        <v>4580</v>
      </c>
      <c r="H271" t="s">
        <v>4583</v>
      </c>
      <c r="I271" t="s">
        <v>4610</v>
      </c>
      <c r="J271">
        <v>5</v>
      </c>
      <c r="K271">
        <v>81.44</v>
      </c>
      <c r="L271">
        <v>0</v>
      </c>
      <c r="M271">
        <v>14.07</v>
      </c>
      <c r="N271" t="s">
        <v>5467</v>
      </c>
      <c r="O271" t="s">
        <v>5469</v>
      </c>
      <c r="P271" t="s">
        <v>5476</v>
      </c>
      <c r="Q271" s="4">
        <v>407.2</v>
      </c>
    </row>
    <row r="272" spans="1:17" x14ac:dyDescent="0.3">
      <c r="A272" t="s">
        <v>191</v>
      </c>
      <c r="B272" t="s">
        <v>1589</v>
      </c>
      <c r="C272" s="1">
        <v>45742</v>
      </c>
      <c r="D272" t="s">
        <v>2847</v>
      </c>
      <c r="E272" t="s">
        <v>3426</v>
      </c>
      <c r="F272" t="s">
        <v>4566</v>
      </c>
      <c r="G272" t="s">
        <v>4582</v>
      </c>
      <c r="H272" t="s">
        <v>4583</v>
      </c>
      <c r="I272" t="s">
        <v>4588</v>
      </c>
      <c r="J272">
        <v>1</v>
      </c>
      <c r="K272">
        <v>39.32</v>
      </c>
      <c r="L272">
        <v>0</v>
      </c>
      <c r="M272">
        <v>7.99</v>
      </c>
      <c r="N272" t="s">
        <v>5481</v>
      </c>
      <c r="O272" t="s">
        <v>5472</v>
      </c>
      <c r="P272" t="s">
        <v>5475</v>
      </c>
      <c r="Q272" s="4">
        <v>39.32</v>
      </c>
    </row>
    <row r="273" spans="1:17" x14ac:dyDescent="0.3">
      <c r="A273" t="s">
        <v>282</v>
      </c>
      <c r="B273" t="s">
        <v>1676</v>
      </c>
      <c r="C273" s="1">
        <v>45692</v>
      </c>
      <c r="D273" t="s">
        <v>2724</v>
      </c>
      <c r="E273" t="s">
        <v>3512</v>
      </c>
      <c r="F273" t="s">
        <v>4564</v>
      </c>
      <c r="G273" t="s">
        <v>4573</v>
      </c>
      <c r="H273" t="s">
        <v>4587</v>
      </c>
      <c r="I273" t="s">
        <v>4606</v>
      </c>
      <c r="J273">
        <v>1</v>
      </c>
      <c r="K273">
        <v>29.9</v>
      </c>
      <c r="L273">
        <v>0</v>
      </c>
      <c r="M273">
        <v>0.17</v>
      </c>
      <c r="N273" t="s">
        <v>5462</v>
      </c>
      <c r="O273" t="s">
        <v>5474</v>
      </c>
      <c r="P273" t="s">
        <v>5477</v>
      </c>
      <c r="Q273" s="4">
        <v>29.9</v>
      </c>
    </row>
    <row r="274" spans="1:17" x14ac:dyDescent="0.3">
      <c r="A274" t="s">
        <v>283</v>
      </c>
      <c r="B274" t="s">
        <v>1677</v>
      </c>
      <c r="C274" s="1">
        <v>45416</v>
      </c>
      <c r="D274" t="s">
        <v>2849</v>
      </c>
      <c r="E274" t="s">
        <v>5481</v>
      </c>
      <c r="F274" t="s">
        <v>4564</v>
      </c>
      <c r="G274" t="s">
        <v>4578</v>
      </c>
      <c r="H274" t="s">
        <v>5481</v>
      </c>
      <c r="I274" t="s">
        <v>4600</v>
      </c>
      <c r="J274">
        <v>2</v>
      </c>
      <c r="K274">
        <v>12.92</v>
      </c>
      <c r="L274">
        <v>0.15</v>
      </c>
      <c r="M274">
        <v>9.08</v>
      </c>
      <c r="N274" t="s">
        <v>5464</v>
      </c>
      <c r="O274" t="s">
        <v>5481</v>
      </c>
      <c r="P274" t="s">
        <v>5479</v>
      </c>
      <c r="Q274" s="4">
        <v>21.963999999999999</v>
      </c>
    </row>
    <row r="275" spans="1:17" x14ac:dyDescent="0.3">
      <c r="A275" t="s">
        <v>284</v>
      </c>
      <c r="B275" t="s">
        <v>1678</v>
      </c>
      <c r="C275" s="1">
        <v>45404</v>
      </c>
      <c r="D275" t="s">
        <v>2789</v>
      </c>
      <c r="E275" t="s">
        <v>3513</v>
      </c>
      <c r="F275" t="s">
        <v>4549</v>
      </c>
      <c r="G275" t="s">
        <v>4573</v>
      </c>
      <c r="H275" t="s">
        <v>4587</v>
      </c>
      <c r="I275" t="s">
        <v>4606</v>
      </c>
      <c r="J275">
        <v>1</v>
      </c>
      <c r="K275">
        <v>29.8</v>
      </c>
      <c r="L275">
        <v>0.05</v>
      </c>
      <c r="M275">
        <v>3.82</v>
      </c>
      <c r="N275" t="s">
        <v>5466</v>
      </c>
      <c r="O275" t="s">
        <v>5472</v>
      </c>
      <c r="P275" t="s">
        <v>5477</v>
      </c>
      <c r="Q275" s="4">
        <v>28.31</v>
      </c>
    </row>
    <row r="276" spans="1:17" x14ac:dyDescent="0.3">
      <c r="A276" t="s">
        <v>285</v>
      </c>
      <c r="B276" t="s">
        <v>1679</v>
      </c>
      <c r="C276" s="1">
        <v>45774</v>
      </c>
      <c r="D276" t="s">
        <v>2840</v>
      </c>
      <c r="E276" t="s">
        <v>5481</v>
      </c>
      <c r="F276" t="s">
        <v>4566</v>
      </c>
      <c r="G276" t="s">
        <v>4577</v>
      </c>
      <c r="H276" t="s">
        <v>4583</v>
      </c>
      <c r="I276" t="s">
        <v>4610</v>
      </c>
      <c r="J276">
        <v>2</v>
      </c>
      <c r="K276">
        <v>83.44</v>
      </c>
      <c r="L276">
        <v>0.15</v>
      </c>
      <c r="M276">
        <v>4.12</v>
      </c>
      <c r="N276" t="s">
        <v>5468</v>
      </c>
      <c r="O276" t="s">
        <v>5470</v>
      </c>
      <c r="P276" t="s">
        <v>5477</v>
      </c>
      <c r="Q276" s="4">
        <v>141.84799999999998</v>
      </c>
    </row>
    <row r="277" spans="1:17" x14ac:dyDescent="0.3">
      <c r="A277" t="s">
        <v>286</v>
      </c>
      <c r="B277" t="s">
        <v>1680</v>
      </c>
      <c r="C277" s="1">
        <v>45638</v>
      </c>
      <c r="D277" t="s">
        <v>2850</v>
      </c>
      <c r="E277" t="s">
        <v>3514</v>
      </c>
      <c r="F277" t="s">
        <v>4566</v>
      </c>
      <c r="G277" t="s">
        <v>4573</v>
      </c>
      <c r="H277" t="s">
        <v>4584</v>
      </c>
      <c r="I277" t="s">
        <v>4595</v>
      </c>
      <c r="J277">
        <v>1</v>
      </c>
      <c r="K277">
        <v>39.979999999999997</v>
      </c>
      <c r="L277">
        <v>0</v>
      </c>
      <c r="M277">
        <v>10.57</v>
      </c>
      <c r="N277" t="s">
        <v>5468</v>
      </c>
      <c r="O277" t="s">
        <v>5471</v>
      </c>
      <c r="P277" t="s">
        <v>5477</v>
      </c>
      <c r="Q277" s="4">
        <v>39.979999999999997</v>
      </c>
    </row>
    <row r="278" spans="1:17" x14ac:dyDescent="0.3">
      <c r="A278" t="s">
        <v>287</v>
      </c>
      <c r="B278" t="s">
        <v>1629</v>
      </c>
      <c r="C278" s="1">
        <v>45617</v>
      </c>
      <c r="D278" t="s">
        <v>2851</v>
      </c>
      <c r="E278" t="s">
        <v>3515</v>
      </c>
      <c r="F278" t="s">
        <v>4564</v>
      </c>
      <c r="G278" t="s">
        <v>4573</v>
      </c>
      <c r="H278" t="s">
        <v>4586</v>
      </c>
      <c r="I278" t="s">
        <v>4609</v>
      </c>
      <c r="J278">
        <v>5</v>
      </c>
      <c r="K278">
        <v>125.1</v>
      </c>
      <c r="L278">
        <v>0.15</v>
      </c>
      <c r="M278">
        <v>9.89</v>
      </c>
      <c r="N278" t="s">
        <v>5464</v>
      </c>
      <c r="O278" t="s">
        <v>5470</v>
      </c>
      <c r="P278" t="s">
        <v>5475</v>
      </c>
      <c r="Q278" s="4">
        <v>531.67499999999995</v>
      </c>
    </row>
    <row r="279" spans="1:17" x14ac:dyDescent="0.3">
      <c r="A279" t="s">
        <v>288</v>
      </c>
      <c r="B279" t="s">
        <v>1681</v>
      </c>
      <c r="C279" s="1">
        <v>45515</v>
      </c>
      <c r="D279" t="s">
        <v>2627</v>
      </c>
      <c r="E279" t="s">
        <v>3516</v>
      </c>
      <c r="F279" t="s">
        <v>4564</v>
      </c>
      <c r="G279" t="s">
        <v>4573</v>
      </c>
      <c r="H279" t="s">
        <v>4584</v>
      </c>
      <c r="I279" t="s">
        <v>4603</v>
      </c>
      <c r="J279">
        <v>3</v>
      </c>
      <c r="K279">
        <v>9.59</v>
      </c>
      <c r="L279">
        <v>0.05</v>
      </c>
      <c r="M279">
        <v>1.33</v>
      </c>
      <c r="N279" t="s">
        <v>5463</v>
      </c>
      <c r="O279" t="s">
        <v>5470</v>
      </c>
      <c r="P279" t="s">
        <v>5477</v>
      </c>
      <c r="Q279" s="4">
        <v>27.331499999999998</v>
      </c>
    </row>
    <row r="280" spans="1:17" x14ac:dyDescent="0.3">
      <c r="A280" t="s">
        <v>289</v>
      </c>
      <c r="B280" t="s">
        <v>1682</v>
      </c>
      <c r="C280" s="1">
        <v>45345</v>
      </c>
      <c r="D280" t="s">
        <v>2753</v>
      </c>
      <c r="E280" t="s">
        <v>3517</v>
      </c>
      <c r="F280" t="s">
        <v>4569</v>
      </c>
      <c r="G280" t="s">
        <v>4580</v>
      </c>
      <c r="H280" t="s">
        <v>4586</v>
      </c>
      <c r="I280" t="s">
        <v>4593</v>
      </c>
      <c r="J280">
        <v>4</v>
      </c>
      <c r="K280">
        <v>109.58</v>
      </c>
      <c r="L280">
        <v>0</v>
      </c>
      <c r="M280">
        <v>8.32</v>
      </c>
      <c r="N280" t="s">
        <v>5466</v>
      </c>
      <c r="O280" t="s">
        <v>5471</v>
      </c>
      <c r="P280" t="s">
        <v>5477</v>
      </c>
      <c r="Q280" s="4">
        <v>438.32</v>
      </c>
    </row>
    <row r="281" spans="1:17" x14ac:dyDescent="0.3">
      <c r="A281" t="s">
        <v>290</v>
      </c>
      <c r="B281" t="s">
        <v>1683</v>
      </c>
      <c r="C281" s="1">
        <v>45648</v>
      </c>
      <c r="D281" t="s">
        <v>3054</v>
      </c>
      <c r="E281" t="s">
        <v>3518</v>
      </c>
      <c r="F281" t="s">
        <v>4549</v>
      </c>
      <c r="G281" t="s">
        <v>4574</v>
      </c>
      <c r="H281" t="s">
        <v>4587</v>
      </c>
      <c r="I281" t="s">
        <v>4594</v>
      </c>
      <c r="J281">
        <v>1</v>
      </c>
      <c r="K281">
        <v>60.62</v>
      </c>
      <c r="L281">
        <v>0</v>
      </c>
      <c r="M281">
        <v>1.01</v>
      </c>
      <c r="N281" t="s">
        <v>5467</v>
      </c>
      <c r="O281" t="s">
        <v>5481</v>
      </c>
      <c r="P281" t="s">
        <v>5477</v>
      </c>
      <c r="Q281" s="4">
        <v>60.62</v>
      </c>
    </row>
    <row r="282" spans="1:17" x14ac:dyDescent="0.3">
      <c r="A282" t="s">
        <v>291</v>
      </c>
      <c r="B282" t="s">
        <v>1684</v>
      </c>
      <c r="C282" s="1">
        <v>45371</v>
      </c>
      <c r="D282" t="s">
        <v>2853</v>
      </c>
      <c r="E282" t="s">
        <v>3519</v>
      </c>
      <c r="F282" t="s">
        <v>4564</v>
      </c>
      <c r="G282" t="s">
        <v>4578</v>
      </c>
      <c r="H282" t="s">
        <v>4586</v>
      </c>
      <c r="I282" t="s">
        <v>4599</v>
      </c>
      <c r="J282">
        <v>2</v>
      </c>
      <c r="K282">
        <v>246.39</v>
      </c>
      <c r="L282">
        <v>0.1</v>
      </c>
      <c r="M282">
        <v>13.35</v>
      </c>
      <c r="N282" t="s">
        <v>5464</v>
      </c>
      <c r="O282" t="s">
        <v>5469</v>
      </c>
      <c r="P282" t="s">
        <v>5477</v>
      </c>
      <c r="Q282" s="4">
        <v>443.50200000000001</v>
      </c>
    </row>
    <row r="283" spans="1:17" x14ac:dyDescent="0.3">
      <c r="A283" t="s">
        <v>292</v>
      </c>
      <c r="B283" t="s">
        <v>1685</v>
      </c>
      <c r="C283" s="1">
        <v>45981</v>
      </c>
      <c r="D283" t="s">
        <v>2854</v>
      </c>
      <c r="E283" t="s">
        <v>3520</v>
      </c>
      <c r="F283" t="s">
        <v>4565</v>
      </c>
      <c r="G283" t="s">
        <v>4575</v>
      </c>
      <c r="H283" t="s">
        <v>4584</v>
      </c>
      <c r="I283" t="s">
        <v>4589</v>
      </c>
      <c r="J283">
        <v>1</v>
      </c>
      <c r="K283">
        <v>35.020000000000003</v>
      </c>
      <c r="L283">
        <v>0.05</v>
      </c>
      <c r="M283">
        <v>11.6</v>
      </c>
      <c r="N283" t="s">
        <v>5464</v>
      </c>
      <c r="O283" t="s">
        <v>5469</v>
      </c>
      <c r="P283" t="s">
        <v>5477</v>
      </c>
      <c r="Q283" s="4">
        <v>33.268999999999998</v>
      </c>
    </row>
    <row r="284" spans="1:17" x14ac:dyDescent="0.3">
      <c r="A284" t="s">
        <v>293</v>
      </c>
      <c r="B284" t="s">
        <v>1686</v>
      </c>
      <c r="C284" s="1">
        <v>45319</v>
      </c>
      <c r="D284" t="s">
        <v>2855</v>
      </c>
      <c r="E284" t="s">
        <v>3521</v>
      </c>
      <c r="F284" t="s">
        <v>4549</v>
      </c>
      <c r="G284" t="s">
        <v>4573</v>
      </c>
      <c r="H284" t="s">
        <v>4587</v>
      </c>
      <c r="I284" t="s">
        <v>4606</v>
      </c>
      <c r="J284">
        <v>1</v>
      </c>
      <c r="K284">
        <v>31.21</v>
      </c>
      <c r="L284">
        <v>0.05</v>
      </c>
      <c r="M284">
        <v>10.89</v>
      </c>
      <c r="N284" t="s">
        <v>5481</v>
      </c>
      <c r="O284" t="s">
        <v>5481</v>
      </c>
      <c r="P284" t="s">
        <v>5477</v>
      </c>
      <c r="Q284" s="4">
        <v>29.6495</v>
      </c>
    </row>
    <row r="285" spans="1:17" x14ac:dyDescent="0.3">
      <c r="A285" t="s">
        <v>294</v>
      </c>
      <c r="B285" t="s">
        <v>1687</v>
      </c>
      <c r="C285" s="1">
        <v>45358</v>
      </c>
      <c r="D285" t="s">
        <v>2856</v>
      </c>
      <c r="E285" t="s">
        <v>3522</v>
      </c>
      <c r="F285" t="s">
        <v>4565</v>
      </c>
      <c r="G285" t="s">
        <v>4576</v>
      </c>
      <c r="H285" t="s">
        <v>4585</v>
      </c>
      <c r="I285" t="s">
        <v>4592</v>
      </c>
      <c r="J285">
        <v>1</v>
      </c>
      <c r="K285">
        <v>6.53</v>
      </c>
      <c r="L285">
        <v>0</v>
      </c>
      <c r="M285">
        <v>9</v>
      </c>
      <c r="N285" t="s">
        <v>5464</v>
      </c>
      <c r="O285" t="s">
        <v>5470</v>
      </c>
      <c r="P285" t="s">
        <v>5477</v>
      </c>
      <c r="Q285" s="4">
        <v>6.53</v>
      </c>
    </row>
    <row r="286" spans="1:17" x14ac:dyDescent="0.3">
      <c r="A286" t="s">
        <v>295</v>
      </c>
      <c r="B286" t="s">
        <v>1688</v>
      </c>
      <c r="C286" s="1">
        <v>45660</v>
      </c>
      <c r="D286" t="s">
        <v>2857</v>
      </c>
      <c r="E286" t="s">
        <v>3523</v>
      </c>
      <c r="F286" t="s">
        <v>4565</v>
      </c>
      <c r="G286" t="s">
        <v>4575</v>
      </c>
      <c r="H286" t="s">
        <v>4586</v>
      </c>
      <c r="I286" t="s">
        <v>4597</v>
      </c>
      <c r="J286">
        <v>4</v>
      </c>
      <c r="K286">
        <v>88.17</v>
      </c>
      <c r="L286">
        <v>0.15</v>
      </c>
      <c r="M286">
        <v>13.27</v>
      </c>
      <c r="N286" t="s">
        <v>5465</v>
      </c>
      <c r="O286" t="s">
        <v>5472</v>
      </c>
      <c r="P286" t="s">
        <v>5477</v>
      </c>
      <c r="Q286" s="4">
        <v>299.77800000000002</v>
      </c>
    </row>
    <row r="287" spans="1:17" x14ac:dyDescent="0.3">
      <c r="A287" t="s">
        <v>296</v>
      </c>
      <c r="B287" t="s">
        <v>1689</v>
      </c>
      <c r="C287" s="1">
        <v>45896</v>
      </c>
      <c r="D287" t="s">
        <v>2802</v>
      </c>
      <c r="E287" t="s">
        <v>3524</v>
      </c>
      <c r="F287" t="s">
        <v>4549</v>
      </c>
      <c r="G287" t="s">
        <v>4573</v>
      </c>
      <c r="H287" t="s">
        <v>4586</v>
      </c>
      <c r="I287" t="s">
        <v>4609</v>
      </c>
      <c r="J287">
        <v>4</v>
      </c>
      <c r="K287">
        <v>130.16</v>
      </c>
      <c r="L287">
        <v>0.1</v>
      </c>
      <c r="M287">
        <v>8.07</v>
      </c>
      <c r="N287" t="s">
        <v>5481</v>
      </c>
      <c r="O287" t="s">
        <v>5472</v>
      </c>
      <c r="P287" t="s">
        <v>5477</v>
      </c>
      <c r="Q287" s="4">
        <v>468.57600000000002</v>
      </c>
    </row>
    <row r="288" spans="1:17" x14ac:dyDescent="0.3">
      <c r="A288" t="s">
        <v>297</v>
      </c>
      <c r="B288" t="s">
        <v>1690</v>
      </c>
      <c r="C288" s="1">
        <v>45556</v>
      </c>
      <c r="D288" t="s">
        <v>2687</v>
      </c>
      <c r="E288" t="s">
        <v>3525</v>
      </c>
      <c r="F288" t="s">
        <v>4566</v>
      </c>
      <c r="G288" t="s">
        <v>4573</v>
      </c>
      <c r="H288" t="s">
        <v>4586</v>
      </c>
      <c r="I288" t="s">
        <v>4609</v>
      </c>
      <c r="J288">
        <v>2</v>
      </c>
      <c r="K288">
        <v>126.98</v>
      </c>
      <c r="L288">
        <v>0.05</v>
      </c>
      <c r="N288" t="s">
        <v>5467</v>
      </c>
      <c r="O288" t="s">
        <v>5473</v>
      </c>
      <c r="P288" t="s">
        <v>5477</v>
      </c>
      <c r="Q288" s="4">
        <v>241.262</v>
      </c>
    </row>
    <row r="289" spans="1:17" x14ac:dyDescent="0.3">
      <c r="A289" t="s">
        <v>298</v>
      </c>
      <c r="B289" t="s">
        <v>1691</v>
      </c>
      <c r="C289" s="1">
        <v>45800</v>
      </c>
      <c r="D289" t="s">
        <v>2705</v>
      </c>
      <c r="E289" t="s">
        <v>3526</v>
      </c>
      <c r="F289" t="s">
        <v>4565</v>
      </c>
      <c r="G289" t="s">
        <v>4579</v>
      </c>
      <c r="H289" t="s">
        <v>5481</v>
      </c>
      <c r="I289" t="s">
        <v>4592</v>
      </c>
      <c r="J289">
        <v>1</v>
      </c>
      <c r="K289">
        <v>6.38</v>
      </c>
      <c r="L289">
        <v>0.1</v>
      </c>
      <c r="M289">
        <v>14.85</v>
      </c>
      <c r="N289" t="s">
        <v>5463</v>
      </c>
      <c r="O289" t="s">
        <v>5471</v>
      </c>
      <c r="P289" t="s">
        <v>5477</v>
      </c>
      <c r="Q289" s="4">
        <v>5.742</v>
      </c>
    </row>
    <row r="290" spans="1:17" x14ac:dyDescent="0.3">
      <c r="A290" t="s">
        <v>299</v>
      </c>
      <c r="B290" t="s">
        <v>1692</v>
      </c>
      <c r="C290" s="1">
        <v>45825</v>
      </c>
      <c r="D290" t="s">
        <v>2733</v>
      </c>
      <c r="E290" t="s">
        <v>3527</v>
      </c>
      <c r="F290" t="s">
        <v>4549</v>
      </c>
      <c r="G290" t="s">
        <v>4573</v>
      </c>
      <c r="H290" t="s">
        <v>4585</v>
      </c>
      <c r="I290" t="s">
        <v>4598</v>
      </c>
      <c r="J290">
        <v>1</v>
      </c>
      <c r="K290">
        <v>3.13</v>
      </c>
      <c r="L290">
        <v>0.1</v>
      </c>
      <c r="M290">
        <v>6.24</v>
      </c>
      <c r="N290" t="s">
        <v>5468</v>
      </c>
      <c r="O290" t="s">
        <v>5469</v>
      </c>
      <c r="P290" t="s">
        <v>5475</v>
      </c>
      <c r="Q290" s="4">
        <v>2.8170000000000002</v>
      </c>
    </row>
    <row r="291" spans="1:17" x14ac:dyDescent="0.3">
      <c r="A291" t="s">
        <v>300</v>
      </c>
      <c r="B291" t="s">
        <v>1693</v>
      </c>
      <c r="C291" s="1">
        <v>45813</v>
      </c>
      <c r="D291" t="s">
        <v>2859</v>
      </c>
      <c r="E291" t="s">
        <v>3528</v>
      </c>
      <c r="F291" t="s">
        <v>4569</v>
      </c>
      <c r="G291" t="s">
        <v>4580</v>
      </c>
      <c r="H291" t="s">
        <v>4587</v>
      </c>
      <c r="I291" t="s">
        <v>4600</v>
      </c>
      <c r="J291">
        <v>1</v>
      </c>
      <c r="K291">
        <v>12.39</v>
      </c>
      <c r="L291">
        <v>0.05</v>
      </c>
      <c r="M291">
        <v>8.0399999999999991</v>
      </c>
      <c r="N291" t="s">
        <v>5462</v>
      </c>
      <c r="O291" t="s">
        <v>5472</v>
      </c>
      <c r="P291" t="s">
        <v>5477</v>
      </c>
      <c r="Q291" s="4">
        <v>11.7705</v>
      </c>
    </row>
    <row r="292" spans="1:17" x14ac:dyDescent="0.3">
      <c r="A292" t="s">
        <v>301</v>
      </c>
      <c r="B292" t="s">
        <v>1694</v>
      </c>
      <c r="C292" s="1">
        <v>45348</v>
      </c>
      <c r="D292" t="s">
        <v>2639</v>
      </c>
      <c r="E292" t="s">
        <v>3529</v>
      </c>
      <c r="F292" t="s">
        <v>4569</v>
      </c>
      <c r="G292" t="s">
        <v>4572</v>
      </c>
      <c r="H292" t="s">
        <v>4583</v>
      </c>
      <c r="I292" t="s">
        <v>4610</v>
      </c>
      <c r="J292">
        <v>1</v>
      </c>
      <c r="K292">
        <v>76.42</v>
      </c>
      <c r="L292">
        <v>0.1</v>
      </c>
      <c r="M292">
        <v>1.61</v>
      </c>
      <c r="N292" t="s">
        <v>5466</v>
      </c>
      <c r="O292" t="s">
        <v>5481</v>
      </c>
      <c r="P292" t="s">
        <v>5479</v>
      </c>
      <c r="Q292" s="4">
        <v>68.778000000000006</v>
      </c>
    </row>
    <row r="293" spans="1:17" x14ac:dyDescent="0.3">
      <c r="A293" t="s">
        <v>302</v>
      </c>
      <c r="B293" t="s">
        <v>1695</v>
      </c>
      <c r="C293" s="1">
        <v>45644</v>
      </c>
      <c r="D293" t="s">
        <v>2682</v>
      </c>
      <c r="E293" t="s">
        <v>3530</v>
      </c>
      <c r="F293" t="s">
        <v>4565</v>
      </c>
      <c r="G293" t="s">
        <v>4576</v>
      </c>
      <c r="H293" t="s">
        <v>4584</v>
      </c>
      <c r="I293" t="s">
        <v>4601</v>
      </c>
      <c r="J293">
        <v>1</v>
      </c>
      <c r="K293">
        <v>185.47</v>
      </c>
      <c r="L293">
        <v>0.05</v>
      </c>
      <c r="M293">
        <v>0</v>
      </c>
      <c r="N293" t="s">
        <v>5466</v>
      </c>
      <c r="O293" t="s">
        <v>5474</v>
      </c>
      <c r="P293" t="s">
        <v>5477</v>
      </c>
      <c r="Q293" s="4">
        <v>176.19649999999999</v>
      </c>
    </row>
    <row r="294" spans="1:17" x14ac:dyDescent="0.3">
      <c r="A294" t="s">
        <v>303</v>
      </c>
      <c r="B294" t="s">
        <v>1696</v>
      </c>
      <c r="C294" s="1">
        <v>45702</v>
      </c>
      <c r="D294" t="s">
        <v>2898</v>
      </c>
      <c r="E294" t="s">
        <v>3531</v>
      </c>
      <c r="F294" t="s">
        <v>4549</v>
      </c>
      <c r="G294" t="s">
        <v>4574</v>
      </c>
      <c r="H294" t="s">
        <v>4586</v>
      </c>
      <c r="I294" t="s">
        <v>4597</v>
      </c>
      <c r="J294">
        <v>2</v>
      </c>
      <c r="K294">
        <v>88.84</v>
      </c>
      <c r="L294">
        <v>0</v>
      </c>
      <c r="M294">
        <v>2.5</v>
      </c>
      <c r="N294" t="s">
        <v>5462</v>
      </c>
      <c r="O294" t="s">
        <v>5470</v>
      </c>
      <c r="P294" t="s">
        <v>5477</v>
      </c>
      <c r="Q294" s="4">
        <v>177.68</v>
      </c>
    </row>
    <row r="295" spans="1:17" x14ac:dyDescent="0.3">
      <c r="A295" t="s">
        <v>304</v>
      </c>
      <c r="B295" t="s">
        <v>1697</v>
      </c>
      <c r="C295" s="1">
        <v>45385</v>
      </c>
      <c r="D295" t="s">
        <v>2861</v>
      </c>
      <c r="E295" t="s">
        <v>3532</v>
      </c>
      <c r="F295" t="s">
        <v>4565</v>
      </c>
      <c r="G295" t="s">
        <v>4576</v>
      </c>
      <c r="H295" t="s">
        <v>4583</v>
      </c>
      <c r="I295" t="s">
        <v>4604</v>
      </c>
      <c r="J295">
        <v>3</v>
      </c>
      <c r="K295">
        <v>22.83</v>
      </c>
      <c r="L295">
        <v>0.05</v>
      </c>
      <c r="M295">
        <v>4.63</v>
      </c>
      <c r="N295" t="s">
        <v>5467</v>
      </c>
      <c r="O295" t="s">
        <v>5470</v>
      </c>
      <c r="P295" t="s">
        <v>5475</v>
      </c>
      <c r="Q295" s="4">
        <v>65.065499999999986</v>
      </c>
    </row>
    <row r="296" spans="1:17" x14ac:dyDescent="0.3">
      <c r="A296" t="s">
        <v>305</v>
      </c>
      <c r="B296" t="s">
        <v>1698</v>
      </c>
      <c r="C296" s="1">
        <v>45759</v>
      </c>
      <c r="D296" t="s">
        <v>3023</v>
      </c>
      <c r="E296" t="s">
        <v>3533</v>
      </c>
      <c r="F296" t="s">
        <v>4564</v>
      </c>
      <c r="G296" t="s">
        <v>4573</v>
      </c>
      <c r="H296" t="s">
        <v>4587</v>
      </c>
      <c r="I296" t="s">
        <v>4600</v>
      </c>
      <c r="J296">
        <v>1</v>
      </c>
      <c r="K296">
        <v>12.95</v>
      </c>
      <c r="L296">
        <v>0.05</v>
      </c>
      <c r="M296">
        <v>0.96</v>
      </c>
      <c r="N296" t="s">
        <v>5466</v>
      </c>
      <c r="O296" t="s">
        <v>5469</v>
      </c>
      <c r="P296" t="s">
        <v>5477</v>
      </c>
      <c r="Q296" s="4">
        <v>12.302499999999998</v>
      </c>
    </row>
    <row r="297" spans="1:17" x14ac:dyDescent="0.3">
      <c r="A297" t="s">
        <v>306</v>
      </c>
      <c r="B297" t="s">
        <v>1699</v>
      </c>
      <c r="C297" s="1">
        <v>45481</v>
      </c>
      <c r="D297" t="s">
        <v>2863</v>
      </c>
      <c r="E297" t="s">
        <v>5481</v>
      </c>
      <c r="F297" t="s">
        <v>4564</v>
      </c>
      <c r="G297" t="s">
        <v>4578</v>
      </c>
      <c r="H297" t="s">
        <v>4583</v>
      </c>
      <c r="I297" t="s">
        <v>4588</v>
      </c>
      <c r="J297">
        <v>1</v>
      </c>
      <c r="K297">
        <v>38.97</v>
      </c>
      <c r="L297">
        <v>0.15</v>
      </c>
      <c r="M297">
        <v>7.53</v>
      </c>
      <c r="N297" t="s">
        <v>5465</v>
      </c>
      <c r="O297" t="s">
        <v>5471</v>
      </c>
      <c r="P297" t="s">
        <v>5475</v>
      </c>
      <c r="Q297" s="4">
        <v>33.124499999999998</v>
      </c>
    </row>
    <row r="298" spans="1:17" x14ac:dyDescent="0.3">
      <c r="A298" t="s">
        <v>307</v>
      </c>
      <c r="B298" t="s">
        <v>1700</v>
      </c>
      <c r="C298" s="1">
        <v>45471</v>
      </c>
      <c r="D298" t="s">
        <v>2742</v>
      </c>
      <c r="E298" t="s">
        <v>3534</v>
      </c>
      <c r="F298" t="s">
        <v>4564</v>
      </c>
      <c r="G298" t="s">
        <v>4573</v>
      </c>
      <c r="H298" t="s">
        <v>4583</v>
      </c>
      <c r="I298" t="s">
        <v>4588</v>
      </c>
      <c r="J298">
        <v>1</v>
      </c>
      <c r="K298">
        <v>39.53</v>
      </c>
      <c r="L298">
        <v>0</v>
      </c>
      <c r="M298">
        <v>3.63</v>
      </c>
      <c r="N298" t="s">
        <v>5468</v>
      </c>
      <c r="O298" t="s">
        <v>5471</v>
      </c>
      <c r="P298" t="s">
        <v>5476</v>
      </c>
      <c r="Q298" s="4">
        <v>39.53</v>
      </c>
    </row>
    <row r="299" spans="1:17" x14ac:dyDescent="0.3">
      <c r="A299" t="s">
        <v>308</v>
      </c>
      <c r="B299" t="s">
        <v>1701</v>
      </c>
      <c r="C299" s="1">
        <v>46012</v>
      </c>
      <c r="D299" t="s">
        <v>2808</v>
      </c>
      <c r="E299" t="s">
        <v>3535</v>
      </c>
      <c r="F299" t="s">
        <v>4564</v>
      </c>
      <c r="G299" t="s">
        <v>4578</v>
      </c>
      <c r="H299" t="s">
        <v>4585</v>
      </c>
      <c r="I299" t="s">
        <v>4598</v>
      </c>
      <c r="J299">
        <v>4</v>
      </c>
      <c r="K299">
        <v>3.09</v>
      </c>
      <c r="L299">
        <v>0.05</v>
      </c>
      <c r="M299">
        <v>10.44</v>
      </c>
      <c r="N299" t="s">
        <v>5468</v>
      </c>
      <c r="O299" t="s">
        <v>5472</v>
      </c>
      <c r="P299" t="s">
        <v>5477</v>
      </c>
      <c r="Q299" s="4">
        <v>11.741999999999999</v>
      </c>
    </row>
    <row r="300" spans="1:17" x14ac:dyDescent="0.3">
      <c r="A300" t="s">
        <v>309</v>
      </c>
      <c r="B300" t="s">
        <v>1702</v>
      </c>
      <c r="C300" s="1">
        <v>45704</v>
      </c>
      <c r="D300" t="s">
        <v>2680</v>
      </c>
      <c r="E300" t="s">
        <v>3536</v>
      </c>
      <c r="F300" t="s">
        <v>4566</v>
      </c>
      <c r="G300" t="s">
        <v>4573</v>
      </c>
      <c r="H300" t="s">
        <v>4586</v>
      </c>
      <c r="I300" t="s">
        <v>4599</v>
      </c>
      <c r="J300">
        <v>1</v>
      </c>
      <c r="K300">
        <v>258.58999999999997</v>
      </c>
      <c r="L300">
        <v>0.05</v>
      </c>
      <c r="M300">
        <v>10.9</v>
      </c>
      <c r="N300" t="s">
        <v>5467</v>
      </c>
      <c r="O300" t="s">
        <v>5470</v>
      </c>
      <c r="P300" t="s">
        <v>5477</v>
      </c>
      <c r="Q300" s="4">
        <v>245.66049999999996</v>
      </c>
    </row>
    <row r="301" spans="1:17" x14ac:dyDescent="0.3">
      <c r="A301" t="s">
        <v>310</v>
      </c>
      <c r="B301" t="s">
        <v>1703</v>
      </c>
      <c r="C301" s="1">
        <v>45871</v>
      </c>
      <c r="D301" t="s">
        <v>2928</v>
      </c>
      <c r="E301" t="s">
        <v>3537</v>
      </c>
      <c r="F301" t="s">
        <v>4569</v>
      </c>
      <c r="G301" t="s">
        <v>4572</v>
      </c>
      <c r="H301" t="s">
        <v>4584</v>
      </c>
      <c r="I301" t="s">
        <v>4608</v>
      </c>
      <c r="J301">
        <v>10</v>
      </c>
      <c r="K301">
        <v>18.809999999999999</v>
      </c>
      <c r="L301">
        <v>0.05</v>
      </c>
      <c r="M301">
        <v>3.45</v>
      </c>
      <c r="N301" t="s">
        <v>5481</v>
      </c>
      <c r="O301" t="s">
        <v>5472</v>
      </c>
      <c r="P301" t="s">
        <v>5477</v>
      </c>
      <c r="Q301" s="4">
        <v>178.69499999999999</v>
      </c>
    </row>
    <row r="302" spans="1:17" x14ac:dyDescent="0.3">
      <c r="A302" t="s">
        <v>311</v>
      </c>
      <c r="B302" t="s">
        <v>1704</v>
      </c>
      <c r="C302" s="1">
        <v>45622</v>
      </c>
      <c r="D302" t="s">
        <v>2673</v>
      </c>
      <c r="E302" t="s">
        <v>3538</v>
      </c>
      <c r="F302" t="s">
        <v>4566</v>
      </c>
      <c r="G302" t="s">
        <v>4577</v>
      </c>
      <c r="H302" t="s">
        <v>4583</v>
      </c>
      <c r="I302" t="s">
        <v>4610</v>
      </c>
      <c r="J302">
        <v>1</v>
      </c>
      <c r="K302">
        <v>80.86</v>
      </c>
      <c r="L302">
        <v>0.05</v>
      </c>
      <c r="M302">
        <v>7.05</v>
      </c>
      <c r="N302" t="s">
        <v>5465</v>
      </c>
      <c r="O302" t="s">
        <v>5469</v>
      </c>
      <c r="P302" t="s">
        <v>5479</v>
      </c>
      <c r="Q302" s="4">
        <v>76.816999999999993</v>
      </c>
    </row>
    <row r="303" spans="1:17" x14ac:dyDescent="0.3">
      <c r="A303" t="s">
        <v>312</v>
      </c>
      <c r="B303" t="s">
        <v>1705</v>
      </c>
      <c r="C303" s="1">
        <v>45482</v>
      </c>
      <c r="D303" t="s">
        <v>2851</v>
      </c>
      <c r="E303" t="s">
        <v>3539</v>
      </c>
      <c r="F303" t="s">
        <v>4565</v>
      </c>
      <c r="G303" t="s">
        <v>4575</v>
      </c>
      <c r="H303" t="s">
        <v>4585</v>
      </c>
      <c r="I303" t="s">
        <v>4598</v>
      </c>
      <c r="J303">
        <v>1</v>
      </c>
      <c r="K303">
        <v>2.98</v>
      </c>
      <c r="L303">
        <v>0</v>
      </c>
      <c r="M303">
        <v>13.79</v>
      </c>
      <c r="N303" t="s">
        <v>5464</v>
      </c>
      <c r="O303" t="s">
        <v>5470</v>
      </c>
      <c r="P303" t="s">
        <v>5477</v>
      </c>
      <c r="Q303" s="4">
        <v>2.98</v>
      </c>
    </row>
    <row r="304" spans="1:17" x14ac:dyDescent="0.3">
      <c r="A304" t="s">
        <v>313</v>
      </c>
      <c r="B304" t="s">
        <v>1706</v>
      </c>
      <c r="C304" s="1">
        <v>45766</v>
      </c>
      <c r="D304" t="s">
        <v>2628</v>
      </c>
      <c r="E304" t="s">
        <v>3540</v>
      </c>
      <c r="F304" t="s">
        <v>4564</v>
      </c>
      <c r="G304" t="s">
        <v>4578</v>
      </c>
      <c r="H304" t="s">
        <v>4587</v>
      </c>
      <c r="I304" t="s">
        <v>4596</v>
      </c>
      <c r="J304">
        <v>1</v>
      </c>
      <c r="K304">
        <v>14.65</v>
      </c>
      <c r="L304">
        <v>0.1</v>
      </c>
      <c r="M304">
        <v>5.34</v>
      </c>
      <c r="N304" t="s">
        <v>5481</v>
      </c>
      <c r="O304" t="s">
        <v>5472</v>
      </c>
      <c r="P304" t="s">
        <v>5479</v>
      </c>
      <c r="Q304" s="4">
        <v>13.185</v>
      </c>
    </row>
    <row r="305" spans="1:17" x14ac:dyDescent="0.3">
      <c r="A305" t="s">
        <v>314</v>
      </c>
      <c r="B305" t="s">
        <v>1707</v>
      </c>
      <c r="C305" s="1">
        <v>45659</v>
      </c>
      <c r="D305" t="s">
        <v>2867</v>
      </c>
      <c r="E305" t="s">
        <v>3541</v>
      </c>
      <c r="F305" t="s">
        <v>4549</v>
      </c>
      <c r="G305" t="s">
        <v>4573</v>
      </c>
      <c r="H305" t="s">
        <v>4583</v>
      </c>
      <c r="I305" t="s">
        <v>4604</v>
      </c>
      <c r="J305">
        <v>1</v>
      </c>
      <c r="K305">
        <v>22.45</v>
      </c>
      <c r="L305">
        <v>0</v>
      </c>
      <c r="M305">
        <v>0.83</v>
      </c>
      <c r="N305" t="s">
        <v>5466</v>
      </c>
      <c r="O305" t="s">
        <v>5472</v>
      </c>
      <c r="P305" t="s">
        <v>5477</v>
      </c>
      <c r="Q305" s="4">
        <v>22.45</v>
      </c>
    </row>
    <row r="306" spans="1:17" x14ac:dyDescent="0.3">
      <c r="A306" t="s">
        <v>315</v>
      </c>
      <c r="B306" t="s">
        <v>1708</v>
      </c>
      <c r="C306" s="1">
        <v>45712</v>
      </c>
      <c r="D306" t="s">
        <v>2863</v>
      </c>
      <c r="E306" t="s">
        <v>3542</v>
      </c>
      <c r="F306" t="s">
        <v>4549</v>
      </c>
      <c r="G306" t="s">
        <v>4574</v>
      </c>
      <c r="H306" t="s">
        <v>4585</v>
      </c>
      <c r="I306" t="s">
        <v>4602</v>
      </c>
      <c r="J306">
        <v>1</v>
      </c>
      <c r="K306">
        <v>4.16</v>
      </c>
      <c r="L306">
        <v>0.1</v>
      </c>
      <c r="M306">
        <v>14.81</v>
      </c>
      <c r="N306" t="s">
        <v>5464</v>
      </c>
      <c r="O306" t="s">
        <v>5481</v>
      </c>
      <c r="P306" t="s">
        <v>5475</v>
      </c>
      <c r="Q306" s="4">
        <v>3.7440000000000002</v>
      </c>
    </row>
    <row r="307" spans="1:17" x14ac:dyDescent="0.3">
      <c r="A307" t="s">
        <v>316</v>
      </c>
      <c r="B307" t="s">
        <v>1709</v>
      </c>
      <c r="C307" s="1">
        <v>45804</v>
      </c>
      <c r="D307" t="s">
        <v>2867</v>
      </c>
      <c r="E307" t="s">
        <v>3543</v>
      </c>
      <c r="F307" t="s">
        <v>4565</v>
      </c>
      <c r="G307" t="s">
        <v>4579</v>
      </c>
      <c r="H307" t="s">
        <v>4583</v>
      </c>
      <c r="I307" t="s">
        <v>4610</v>
      </c>
      <c r="J307">
        <v>10</v>
      </c>
      <c r="K307">
        <v>81.78</v>
      </c>
      <c r="L307">
        <v>0</v>
      </c>
      <c r="M307">
        <v>2.5099999999999998</v>
      </c>
      <c r="N307" t="s">
        <v>5481</v>
      </c>
      <c r="O307" t="s">
        <v>5474</v>
      </c>
      <c r="P307" t="s">
        <v>5477</v>
      </c>
      <c r="Q307" s="4">
        <v>817.8</v>
      </c>
    </row>
    <row r="308" spans="1:17" x14ac:dyDescent="0.3">
      <c r="A308" t="s">
        <v>317</v>
      </c>
      <c r="B308" t="s">
        <v>1710</v>
      </c>
      <c r="C308" s="1">
        <v>45329</v>
      </c>
      <c r="D308" t="s">
        <v>2698</v>
      </c>
      <c r="E308" t="s">
        <v>3337</v>
      </c>
      <c r="F308" t="s">
        <v>4565</v>
      </c>
      <c r="G308" t="s">
        <v>4576</v>
      </c>
      <c r="H308" t="s">
        <v>4583</v>
      </c>
      <c r="I308" t="s">
        <v>4605</v>
      </c>
      <c r="J308">
        <v>5</v>
      </c>
      <c r="K308">
        <v>44.13</v>
      </c>
      <c r="L308">
        <v>0</v>
      </c>
      <c r="M308">
        <v>8.9700000000000006</v>
      </c>
      <c r="N308" t="s">
        <v>5468</v>
      </c>
      <c r="O308" t="s">
        <v>5471</v>
      </c>
      <c r="P308" t="s">
        <v>5479</v>
      </c>
      <c r="Q308" s="4">
        <v>220.65</v>
      </c>
    </row>
    <row r="309" spans="1:17" x14ac:dyDescent="0.3">
      <c r="A309" t="s">
        <v>318</v>
      </c>
      <c r="B309" t="s">
        <v>1711</v>
      </c>
      <c r="C309" s="1">
        <v>45614</v>
      </c>
      <c r="D309" t="s">
        <v>2869</v>
      </c>
      <c r="E309" t="s">
        <v>3544</v>
      </c>
      <c r="F309" t="s">
        <v>4569</v>
      </c>
      <c r="G309" t="s">
        <v>4581</v>
      </c>
      <c r="H309" t="s">
        <v>4587</v>
      </c>
      <c r="I309" t="s">
        <v>4600</v>
      </c>
      <c r="J309">
        <v>4</v>
      </c>
      <c r="K309">
        <v>13.29</v>
      </c>
      <c r="L309">
        <v>0.05</v>
      </c>
      <c r="M309">
        <v>0</v>
      </c>
      <c r="N309" t="s">
        <v>5462</v>
      </c>
      <c r="O309" t="s">
        <v>5471</v>
      </c>
      <c r="P309" t="s">
        <v>5475</v>
      </c>
      <c r="Q309" s="4">
        <v>50.501999999999995</v>
      </c>
    </row>
    <row r="310" spans="1:17" x14ac:dyDescent="0.3">
      <c r="A310" t="s">
        <v>319</v>
      </c>
      <c r="B310" t="s">
        <v>1712</v>
      </c>
      <c r="C310" s="1">
        <v>45688</v>
      </c>
      <c r="D310" t="s">
        <v>2626</v>
      </c>
      <c r="E310" t="s">
        <v>3545</v>
      </c>
      <c r="F310" t="s">
        <v>4569</v>
      </c>
      <c r="G310" t="s">
        <v>4581</v>
      </c>
      <c r="H310" t="s">
        <v>4583</v>
      </c>
      <c r="I310" t="s">
        <v>4604</v>
      </c>
      <c r="J310">
        <v>1</v>
      </c>
      <c r="K310">
        <v>22.43</v>
      </c>
      <c r="L310">
        <v>0</v>
      </c>
      <c r="M310">
        <v>0.5</v>
      </c>
      <c r="N310" t="s">
        <v>5481</v>
      </c>
      <c r="O310" t="s">
        <v>5471</v>
      </c>
      <c r="P310" t="s">
        <v>5477</v>
      </c>
      <c r="Q310" s="4">
        <v>22.43</v>
      </c>
    </row>
    <row r="311" spans="1:17" x14ac:dyDescent="0.3">
      <c r="A311" t="s">
        <v>320</v>
      </c>
      <c r="B311" t="s">
        <v>1713</v>
      </c>
      <c r="C311" s="1">
        <v>45834</v>
      </c>
      <c r="D311" t="s">
        <v>2635</v>
      </c>
      <c r="E311" t="s">
        <v>3546</v>
      </c>
      <c r="F311" t="s">
        <v>4569</v>
      </c>
      <c r="G311" t="s">
        <v>4580</v>
      </c>
      <c r="H311" t="s">
        <v>4584</v>
      </c>
      <c r="I311" t="s">
        <v>4607</v>
      </c>
      <c r="J311">
        <v>2</v>
      </c>
      <c r="K311">
        <v>26.14</v>
      </c>
      <c r="L311">
        <v>0.1</v>
      </c>
      <c r="M311">
        <v>7.92</v>
      </c>
      <c r="N311" t="s">
        <v>5464</v>
      </c>
      <c r="O311" t="s">
        <v>5469</v>
      </c>
      <c r="P311" t="s">
        <v>5475</v>
      </c>
      <c r="Q311" s="4">
        <v>47.052</v>
      </c>
    </row>
    <row r="312" spans="1:17" x14ac:dyDescent="0.3">
      <c r="A312" t="s">
        <v>321</v>
      </c>
      <c r="B312" t="s">
        <v>1714</v>
      </c>
      <c r="C312" s="1">
        <v>45754</v>
      </c>
      <c r="D312" t="s">
        <v>3075</v>
      </c>
      <c r="E312" t="s">
        <v>3547</v>
      </c>
      <c r="F312" t="s">
        <v>4564</v>
      </c>
      <c r="G312" t="s">
        <v>4578</v>
      </c>
      <c r="H312" t="s">
        <v>4587</v>
      </c>
      <c r="I312" t="s">
        <v>4600</v>
      </c>
      <c r="J312">
        <v>10</v>
      </c>
      <c r="K312">
        <v>12.72</v>
      </c>
      <c r="L312">
        <v>0</v>
      </c>
      <c r="M312">
        <v>6.23</v>
      </c>
      <c r="N312" t="s">
        <v>5468</v>
      </c>
      <c r="O312" t="s">
        <v>5481</v>
      </c>
      <c r="P312" t="s">
        <v>5477</v>
      </c>
      <c r="Q312" s="4">
        <v>127.2</v>
      </c>
    </row>
    <row r="313" spans="1:17" x14ac:dyDescent="0.3">
      <c r="A313" t="s">
        <v>322</v>
      </c>
      <c r="B313" t="s">
        <v>1715</v>
      </c>
      <c r="C313" s="1">
        <v>45855</v>
      </c>
      <c r="D313" t="s">
        <v>2827</v>
      </c>
      <c r="E313" t="s">
        <v>3548</v>
      </c>
      <c r="F313" t="s">
        <v>4564</v>
      </c>
      <c r="G313" t="s">
        <v>4573</v>
      </c>
      <c r="H313" t="s">
        <v>5481</v>
      </c>
      <c r="I313" t="s">
        <v>4600</v>
      </c>
      <c r="J313">
        <v>2</v>
      </c>
      <c r="K313">
        <v>13.4</v>
      </c>
      <c r="L313">
        <v>0</v>
      </c>
      <c r="M313">
        <v>10.69</v>
      </c>
      <c r="N313" t="s">
        <v>5463</v>
      </c>
      <c r="O313" t="s">
        <v>5474</v>
      </c>
      <c r="P313" t="s">
        <v>5475</v>
      </c>
      <c r="Q313" s="4">
        <v>26.8</v>
      </c>
    </row>
    <row r="314" spans="1:17" x14ac:dyDescent="0.3">
      <c r="A314" t="s">
        <v>323</v>
      </c>
      <c r="B314" t="s">
        <v>1716</v>
      </c>
      <c r="C314" s="1">
        <v>45742</v>
      </c>
      <c r="D314" t="s">
        <v>3197</v>
      </c>
      <c r="E314" t="s">
        <v>3549</v>
      </c>
      <c r="F314" t="s">
        <v>4566</v>
      </c>
      <c r="G314" t="s">
        <v>4573</v>
      </c>
      <c r="H314" t="s">
        <v>4586</v>
      </c>
      <c r="I314" t="s">
        <v>4597</v>
      </c>
      <c r="J314">
        <v>4</v>
      </c>
      <c r="K314">
        <v>91.96</v>
      </c>
      <c r="L314">
        <v>0.05</v>
      </c>
      <c r="M314">
        <v>0.84</v>
      </c>
      <c r="N314" t="s">
        <v>5465</v>
      </c>
      <c r="O314" t="s">
        <v>5471</v>
      </c>
      <c r="P314" t="s">
        <v>5477</v>
      </c>
      <c r="Q314" s="4">
        <v>349.44799999999998</v>
      </c>
    </row>
    <row r="315" spans="1:17" x14ac:dyDescent="0.3">
      <c r="A315" t="s">
        <v>324</v>
      </c>
      <c r="B315" t="s">
        <v>1717</v>
      </c>
      <c r="C315" s="1">
        <v>45601</v>
      </c>
      <c r="D315" t="s">
        <v>2872</v>
      </c>
      <c r="E315" t="s">
        <v>3550</v>
      </c>
      <c r="F315" t="s">
        <v>4564</v>
      </c>
      <c r="G315" t="s">
        <v>4573</v>
      </c>
      <c r="H315" t="s">
        <v>4584</v>
      </c>
      <c r="I315" t="s">
        <v>4601</v>
      </c>
      <c r="J315">
        <v>3</v>
      </c>
      <c r="K315">
        <v>189.93</v>
      </c>
      <c r="L315">
        <v>0.1</v>
      </c>
      <c r="M315">
        <v>4.9000000000000004</v>
      </c>
      <c r="N315" t="s">
        <v>5481</v>
      </c>
      <c r="O315" t="s">
        <v>5470</v>
      </c>
      <c r="P315" t="s">
        <v>5479</v>
      </c>
      <c r="Q315" s="4">
        <v>512.81100000000004</v>
      </c>
    </row>
    <row r="316" spans="1:17" x14ac:dyDescent="0.3">
      <c r="A316" t="s">
        <v>325</v>
      </c>
      <c r="B316" t="s">
        <v>1718</v>
      </c>
      <c r="C316" s="1">
        <v>45746</v>
      </c>
      <c r="D316" t="s">
        <v>2803</v>
      </c>
      <c r="E316" t="s">
        <v>3551</v>
      </c>
      <c r="F316" t="s">
        <v>4565</v>
      </c>
      <c r="G316" t="s">
        <v>4576</v>
      </c>
      <c r="H316" t="s">
        <v>4586</v>
      </c>
      <c r="I316" t="s">
        <v>4599</v>
      </c>
      <c r="J316">
        <v>1</v>
      </c>
      <c r="K316">
        <v>251.42</v>
      </c>
      <c r="L316">
        <v>0</v>
      </c>
      <c r="M316">
        <v>11.76</v>
      </c>
      <c r="N316" t="s">
        <v>5463</v>
      </c>
      <c r="O316" t="s">
        <v>5470</v>
      </c>
      <c r="P316" t="s">
        <v>5477</v>
      </c>
      <c r="Q316" s="4">
        <v>251.42</v>
      </c>
    </row>
    <row r="317" spans="1:17" x14ac:dyDescent="0.3">
      <c r="A317" t="s">
        <v>326</v>
      </c>
      <c r="B317" t="s">
        <v>1719</v>
      </c>
      <c r="C317" s="1">
        <v>45562</v>
      </c>
      <c r="D317" t="s">
        <v>3039</v>
      </c>
      <c r="E317" t="s">
        <v>3552</v>
      </c>
      <c r="F317" t="s">
        <v>4565</v>
      </c>
      <c r="G317" t="s">
        <v>4579</v>
      </c>
      <c r="H317" t="s">
        <v>4583</v>
      </c>
      <c r="I317" t="s">
        <v>4604</v>
      </c>
      <c r="J317">
        <v>3</v>
      </c>
      <c r="K317">
        <v>21.46</v>
      </c>
      <c r="L317">
        <v>0.1</v>
      </c>
      <c r="M317">
        <v>6.6</v>
      </c>
      <c r="N317" t="s">
        <v>5481</v>
      </c>
      <c r="O317" t="s">
        <v>5469</v>
      </c>
      <c r="P317" t="s">
        <v>5475</v>
      </c>
      <c r="Q317" s="4">
        <v>57.942</v>
      </c>
    </row>
    <row r="318" spans="1:17" x14ac:dyDescent="0.3">
      <c r="A318" t="s">
        <v>327</v>
      </c>
      <c r="B318" t="s">
        <v>1720</v>
      </c>
      <c r="C318" s="1">
        <v>45931</v>
      </c>
      <c r="D318" t="s">
        <v>2875</v>
      </c>
      <c r="E318" t="s">
        <v>3553</v>
      </c>
      <c r="F318" t="s">
        <v>4564</v>
      </c>
      <c r="G318" t="s">
        <v>4578</v>
      </c>
      <c r="H318" t="s">
        <v>4585</v>
      </c>
      <c r="I318" t="s">
        <v>4592</v>
      </c>
      <c r="J318">
        <v>1</v>
      </c>
      <c r="K318">
        <v>6.32</v>
      </c>
      <c r="L318">
        <v>0</v>
      </c>
      <c r="M318">
        <v>6.42</v>
      </c>
      <c r="N318" t="s">
        <v>5463</v>
      </c>
      <c r="O318" t="s">
        <v>5474</v>
      </c>
      <c r="P318" t="s">
        <v>5477</v>
      </c>
      <c r="Q318" s="4">
        <v>6.32</v>
      </c>
    </row>
    <row r="319" spans="1:17" x14ac:dyDescent="0.3">
      <c r="A319" t="s">
        <v>328</v>
      </c>
      <c r="B319" t="s">
        <v>1721</v>
      </c>
      <c r="C319" s="1">
        <v>45466</v>
      </c>
      <c r="D319" t="s">
        <v>2766</v>
      </c>
      <c r="E319" t="s">
        <v>3554</v>
      </c>
      <c r="F319" t="s">
        <v>4549</v>
      </c>
      <c r="G319" t="s">
        <v>4573</v>
      </c>
      <c r="H319" t="s">
        <v>4587</v>
      </c>
      <c r="I319" t="s">
        <v>4606</v>
      </c>
      <c r="J319">
        <v>4</v>
      </c>
      <c r="K319">
        <v>30.07</v>
      </c>
      <c r="L319">
        <v>0.1</v>
      </c>
      <c r="M319">
        <v>10</v>
      </c>
      <c r="N319" t="s">
        <v>5462</v>
      </c>
      <c r="O319" t="s">
        <v>5473</v>
      </c>
      <c r="P319" t="s">
        <v>5479</v>
      </c>
      <c r="Q319" s="4">
        <v>108.25200000000001</v>
      </c>
    </row>
    <row r="320" spans="1:17" x14ac:dyDescent="0.3">
      <c r="A320" t="s">
        <v>329</v>
      </c>
      <c r="B320" t="s">
        <v>1722</v>
      </c>
      <c r="C320" s="1">
        <v>45578</v>
      </c>
      <c r="D320" t="s">
        <v>3207</v>
      </c>
      <c r="E320" t="s">
        <v>3555</v>
      </c>
      <c r="F320" t="s">
        <v>4566</v>
      </c>
      <c r="G320" t="s">
        <v>4582</v>
      </c>
      <c r="H320" t="s">
        <v>5481</v>
      </c>
      <c r="I320" t="s">
        <v>4596</v>
      </c>
      <c r="J320">
        <v>2</v>
      </c>
      <c r="K320">
        <v>14.8</v>
      </c>
      <c r="L320">
        <v>0</v>
      </c>
      <c r="M320">
        <v>1.9</v>
      </c>
      <c r="N320" t="s">
        <v>5468</v>
      </c>
      <c r="O320" t="s">
        <v>5472</v>
      </c>
      <c r="P320" t="s">
        <v>5479</v>
      </c>
      <c r="Q320" s="4">
        <v>29.6</v>
      </c>
    </row>
    <row r="321" spans="1:17" x14ac:dyDescent="0.3">
      <c r="A321" t="s">
        <v>330</v>
      </c>
      <c r="B321" t="s">
        <v>1723</v>
      </c>
      <c r="C321" s="1">
        <v>45691</v>
      </c>
      <c r="D321" t="s">
        <v>2744</v>
      </c>
      <c r="E321" t="s">
        <v>3556</v>
      </c>
      <c r="F321" t="s">
        <v>4566</v>
      </c>
      <c r="G321" t="s">
        <v>4573</v>
      </c>
      <c r="H321" t="s">
        <v>4587</v>
      </c>
      <c r="I321" t="s">
        <v>4606</v>
      </c>
      <c r="J321">
        <v>10</v>
      </c>
      <c r="K321">
        <v>29.59</v>
      </c>
      <c r="L321">
        <v>0.1</v>
      </c>
      <c r="M321">
        <v>5.32</v>
      </c>
      <c r="N321" t="s">
        <v>5465</v>
      </c>
      <c r="O321" t="s">
        <v>5481</v>
      </c>
      <c r="P321" t="s">
        <v>5479</v>
      </c>
      <c r="Q321" s="4">
        <v>266.31</v>
      </c>
    </row>
    <row r="322" spans="1:17" x14ac:dyDescent="0.3">
      <c r="A322" t="s">
        <v>331</v>
      </c>
      <c r="B322" t="s">
        <v>1724</v>
      </c>
      <c r="C322" s="1">
        <v>45647</v>
      </c>
      <c r="D322" t="s">
        <v>2877</v>
      </c>
      <c r="E322" t="s">
        <v>3557</v>
      </c>
      <c r="F322" t="s">
        <v>4549</v>
      </c>
      <c r="G322" t="s">
        <v>4574</v>
      </c>
      <c r="H322" t="s">
        <v>4583</v>
      </c>
      <c r="I322" t="s">
        <v>4588</v>
      </c>
      <c r="J322">
        <v>2</v>
      </c>
      <c r="K322">
        <v>40.479999999999997</v>
      </c>
      <c r="L322">
        <v>0.1</v>
      </c>
      <c r="M322">
        <v>10.41</v>
      </c>
      <c r="N322" t="s">
        <v>5465</v>
      </c>
      <c r="O322" t="s">
        <v>5473</v>
      </c>
      <c r="P322" t="s">
        <v>5477</v>
      </c>
      <c r="Q322" s="4">
        <v>72.86399999999999</v>
      </c>
    </row>
    <row r="323" spans="1:17" x14ac:dyDescent="0.3">
      <c r="A323" t="s">
        <v>332</v>
      </c>
      <c r="B323" t="s">
        <v>1725</v>
      </c>
      <c r="C323" s="1">
        <v>45667</v>
      </c>
      <c r="D323" t="s">
        <v>2937</v>
      </c>
      <c r="E323" t="s">
        <v>5481</v>
      </c>
      <c r="F323" t="s">
        <v>4566</v>
      </c>
      <c r="G323" t="s">
        <v>4573</v>
      </c>
      <c r="H323" t="s">
        <v>4587</v>
      </c>
      <c r="I323" t="s">
        <v>4596</v>
      </c>
      <c r="J323">
        <v>1</v>
      </c>
      <c r="K323">
        <v>14.99</v>
      </c>
      <c r="L323">
        <v>0.15</v>
      </c>
      <c r="M323">
        <v>0.4</v>
      </c>
      <c r="N323" t="s">
        <v>5465</v>
      </c>
      <c r="O323" t="s">
        <v>5473</v>
      </c>
      <c r="P323" t="s">
        <v>5477</v>
      </c>
      <c r="Q323" s="4">
        <v>12.7415</v>
      </c>
    </row>
    <row r="324" spans="1:17" x14ac:dyDescent="0.3">
      <c r="A324" t="s">
        <v>333</v>
      </c>
      <c r="B324" t="s">
        <v>1726</v>
      </c>
      <c r="C324" s="1">
        <v>45382</v>
      </c>
      <c r="D324" t="s">
        <v>2879</v>
      </c>
      <c r="E324" t="s">
        <v>3558</v>
      </c>
      <c r="F324" t="s">
        <v>4565</v>
      </c>
      <c r="G324" t="s">
        <v>4576</v>
      </c>
      <c r="H324" t="s">
        <v>4585</v>
      </c>
      <c r="I324" t="s">
        <v>4592</v>
      </c>
      <c r="J324">
        <v>10</v>
      </c>
      <c r="K324">
        <v>6.48</v>
      </c>
      <c r="L324">
        <v>0</v>
      </c>
      <c r="M324">
        <v>8.64</v>
      </c>
      <c r="N324" t="s">
        <v>5467</v>
      </c>
      <c r="O324" t="s">
        <v>5473</v>
      </c>
      <c r="P324" t="s">
        <v>5475</v>
      </c>
      <c r="Q324" s="4">
        <v>64.800000000000011</v>
      </c>
    </row>
    <row r="325" spans="1:17" x14ac:dyDescent="0.3">
      <c r="A325" t="s">
        <v>334</v>
      </c>
      <c r="B325" t="s">
        <v>1727</v>
      </c>
      <c r="C325" s="1">
        <v>45671</v>
      </c>
      <c r="D325" t="s">
        <v>2880</v>
      </c>
      <c r="E325" t="s">
        <v>3559</v>
      </c>
      <c r="F325" t="s">
        <v>4564</v>
      </c>
      <c r="G325" t="s">
        <v>4578</v>
      </c>
      <c r="H325" t="s">
        <v>4583</v>
      </c>
      <c r="I325" t="s">
        <v>4610</v>
      </c>
      <c r="J325">
        <v>2</v>
      </c>
      <c r="K325">
        <v>83.23</v>
      </c>
      <c r="L325">
        <v>0.1</v>
      </c>
      <c r="M325">
        <v>13.15</v>
      </c>
      <c r="N325" t="s">
        <v>5481</v>
      </c>
      <c r="O325" t="s">
        <v>5472</v>
      </c>
      <c r="P325" t="s">
        <v>5475</v>
      </c>
      <c r="Q325" s="4">
        <v>149.81400000000002</v>
      </c>
    </row>
    <row r="326" spans="1:17" x14ac:dyDescent="0.3">
      <c r="A326" t="s">
        <v>335</v>
      </c>
      <c r="B326" t="s">
        <v>1728</v>
      </c>
      <c r="C326" s="1">
        <v>45394</v>
      </c>
      <c r="D326" t="s">
        <v>2881</v>
      </c>
      <c r="E326" t="s">
        <v>3560</v>
      </c>
      <c r="F326" t="s">
        <v>4549</v>
      </c>
      <c r="G326" t="s">
        <v>4573</v>
      </c>
      <c r="H326" t="s">
        <v>4587</v>
      </c>
      <c r="I326" t="s">
        <v>4606</v>
      </c>
      <c r="J326">
        <v>2</v>
      </c>
      <c r="K326">
        <v>30.86</v>
      </c>
      <c r="L326">
        <v>0</v>
      </c>
      <c r="M326">
        <v>14.97</v>
      </c>
      <c r="N326" t="s">
        <v>5481</v>
      </c>
      <c r="O326" t="s">
        <v>5470</v>
      </c>
      <c r="P326" t="s">
        <v>5477</v>
      </c>
      <c r="Q326" s="4">
        <v>61.72</v>
      </c>
    </row>
    <row r="327" spans="1:17" x14ac:dyDescent="0.3">
      <c r="A327" t="s">
        <v>336</v>
      </c>
      <c r="B327" t="s">
        <v>1729</v>
      </c>
      <c r="C327" s="1">
        <v>45588</v>
      </c>
      <c r="D327" t="s">
        <v>2637</v>
      </c>
      <c r="E327" t="s">
        <v>3561</v>
      </c>
      <c r="F327" t="s">
        <v>4565</v>
      </c>
      <c r="G327" t="s">
        <v>4576</v>
      </c>
      <c r="H327" t="s">
        <v>4587</v>
      </c>
      <c r="I327" t="s">
        <v>4600</v>
      </c>
      <c r="J327">
        <v>1</v>
      </c>
      <c r="K327">
        <v>12.9</v>
      </c>
      <c r="L327">
        <v>0</v>
      </c>
      <c r="M327">
        <v>8.83</v>
      </c>
      <c r="N327" t="s">
        <v>5465</v>
      </c>
      <c r="O327" t="s">
        <v>5471</v>
      </c>
      <c r="P327" t="s">
        <v>5479</v>
      </c>
      <c r="Q327" s="4">
        <v>12.9</v>
      </c>
    </row>
    <row r="328" spans="1:17" x14ac:dyDescent="0.3">
      <c r="A328" t="s">
        <v>337</v>
      </c>
      <c r="B328" t="s">
        <v>1730</v>
      </c>
      <c r="C328" s="1">
        <v>45545</v>
      </c>
      <c r="D328" t="s">
        <v>2672</v>
      </c>
      <c r="E328" t="s">
        <v>3562</v>
      </c>
      <c r="F328" t="s">
        <v>4566</v>
      </c>
      <c r="G328" t="s">
        <v>4582</v>
      </c>
      <c r="H328" t="s">
        <v>4583</v>
      </c>
      <c r="I328" t="s">
        <v>4604</v>
      </c>
      <c r="J328">
        <v>1</v>
      </c>
      <c r="K328">
        <v>23.31</v>
      </c>
      <c r="L328">
        <v>0</v>
      </c>
      <c r="M328">
        <v>0</v>
      </c>
      <c r="N328" t="s">
        <v>5462</v>
      </c>
      <c r="O328" t="s">
        <v>5481</v>
      </c>
      <c r="P328" t="s">
        <v>5477</v>
      </c>
      <c r="Q328" s="4">
        <v>23.31</v>
      </c>
    </row>
    <row r="329" spans="1:17" x14ac:dyDescent="0.3">
      <c r="A329" t="s">
        <v>338</v>
      </c>
      <c r="B329" t="s">
        <v>1731</v>
      </c>
      <c r="C329" s="1">
        <v>45986</v>
      </c>
      <c r="D329" t="s">
        <v>2819</v>
      </c>
      <c r="E329" t="s">
        <v>3563</v>
      </c>
      <c r="F329" t="s">
        <v>4564</v>
      </c>
      <c r="G329" t="s">
        <v>4578</v>
      </c>
      <c r="H329" t="s">
        <v>4584</v>
      </c>
      <c r="I329" t="s">
        <v>4589</v>
      </c>
      <c r="J329">
        <v>5</v>
      </c>
      <c r="K329">
        <v>35.92</v>
      </c>
      <c r="L329">
        <v>0</v>
      </c>
      <c r="N329" t="s">
        <v>5481</v>
      </c>
      <c r="O329" t="s">
        <v>5472</v>
      </c>
      <c r="P329" t="s">
        <v>5477</v>
      </c>
      <c r="Q329" s="4">
        <v>179.60000000000002</v>
      </c>
    </row>
    <row r="330" spans="1:17" x14ac:dyDescent="0.3">
      <c r="A330" t="s">
        <v>339</v>
      </c>
      <c r="B330" t="s">
        <v>1732</v>
      </c>
      <c r="C330" s="1">
        <v>45980</v>
      </c>
      <c r="D330" t="s">
        <v>2802</v>
      </c>
      <c r="E330" t="s">
        <v>3564</v>
      </c>
      <c r="F330" t="s">
        <v>4549</v>
      </c>
      <c r="G330" t="s">
        <v>4573</v>
      </c>
      <c r="H330" t="s">
        <v>4586</v>
      </c>
      <c r="I330" t="s">
        <v>4609</v>
      </c>
      <c r="J330">
        <v>1</v>
      </c>
      <c r="K330">
        <v>132.94</v>
      </c>
      <c r="L330">
        <v>0.1</v>
      </c>
      <c r="M330">
        <v>5.79</v>
      </c>
      <c r="N330" t="s">
        <v>5481</v>
      </c>
      <c r="O330" t="s">
        <v>5473</v>
      </c>
      <c r="P330" t="s">
        <v>5479</v>
      </c>
      <c r="Q330" s="4">
        <v>119.646</v>
      </c>
    </row>
    <row r="331" spans="1:17" x14ac:dyDescent="0.3">
      <c r="A331" t="s">
        <v>340</v>
      </c>
      <c r="B331" t="s">
        <v>1733</v>
      </c>
      <c r="C331" s="1">
        <v>46008</v>
      </c>
      <c r="D331" t="s">
        <v>2949</v>
      </c>
      <c r="E331" t="s">
        <v>3565</v>
      </c>
      <c r="F331" t="s">
        <v>4566</v>
      </c>
      <c r="G331" t="s">
        <v>4582</v>
      </c>
      <c r="H331" t="s">
        <v>4585</v>
      </c>
      <c r="I331" t="s">
        <v>4598</v>
      </c>
      <c r="J331">
        <v>1</v>
      </c>
      <c r="K331">
        <v>3.01</v>
      </c>
      <c r="L331">
        <v>0</v>
      </c>
      <c r="M331">
        <v>6.21</v>
      </c>
      <c r="N331" t="s">
        <v>5465</v>
      </c>
      <c r="O331" t="s">
        <v>5472</v>
      </c>
      <c r="P331" t="s">
        <v>5477</v>
      </c>
      <c r="Q331" s="4">
        <v>3.01</v>
      </c>
    </row>
    <row r="332" spans="1:17" x14ac:dyDescent="0.3">
      <c r="A332" t="s">
        <v>341</v>
      </c>
      <c r="B332" t="s">
        <v>1734</v>
      </c>
      <c r="C332" s="1">
        <v>45587</v>
      </c>
      <c r="D332" t="s">
        <v>3106</v>
      </c>
      <c r="E332" t="s">
        <v>3566</v>
      </c>
      <c r="F332" t="s">
        <v>4566</v>
      </c>
      <c r="G332" t="s">
        <v>4577</v>
      </c>
      <c r="H332" t="s">
        <v>4585</v>
      </c>
      <c r="I332" t="s">
        <v>4591</v>
      </c>
      <c r="J332">
        <v>1</v>
      </c>
      <c r="K332">
        <v>7.96</v>
      </c>
      <c r="L332">
        <v>0.05</v>
      </c>
      <c r="M332">
        <v>5.62</v>
      </c>
      <c r="N332" t="s">
        <v>5464</v>
      </c>
      <c r="O332" t="s">
        <v>5474</v>
      </c>
      <c r="P332" t="s">
        <v>5477</v>
      </c>
      <c r="Q332" s="4">
        <v>7.5619999999999994</v>
      </c>
    </row>
    <row r="333" spans="1:17" x14ac:dyDescent="0.3">
      <c r="A333" t="s">
        <v>342</v>
      </c>
      <c r="B333" t="s">
        <v>1735</v>
      </c>
      <c r="C333" s="1">
        <v>45673</v>
      </c>
      <c r="D333" t="s">
        <v>2640</v>
      </c>
      <c r="E333" t="s">
        <v>3567</v>
      </c>
      <c r="F333" t="s">
        <v>4564</v>
      </c>
      <c r="G333" t="s">
        <v>4578</v>
      </c>
      <c r="H333" t="s">
        <v>4585</v>
      </c>
      <c r="I333" t="s">
        <v>4591</v>
      </c>
      <c r="J333">
        <v>4</v>
      </c>
      <c r="K333">
        <v>7.6</v>
      </c>
      <c r="L333">
        <v>0</v>
      </c>
      <c r="M333">
        <v>1.48</v>
      </c>
      <c r="N333" t="s">
        <v>5481</v>
      </c>
      <c r="O333" t="s">
        <v>5471</v>
      </c>
      <c r="P333" t="s">
        <v>5479</v>
      </c>
      <c r="Q333" s="4">
        <v>30.4</v>
      </c>
    </row>
    <row r="334" spans="1:17" x14ac:dyDescent="0.3">
      <c r="A334" t="s">
        <v>343</v>
      </c>
      <c r="B334" t="s">
        <v>1736</v>
      </c>
      <c r="C334" s="1">
        <v>45452</v>
      </c>
      <c r="D334" t="s">
        <v>2884</v>
      </c>
      <c r="E334" t="s">
        <v>3568</v>
      </c>
      <c r="F334" t="s">
        <v>4565</v>
      </c>
      <c r="G334" t="s">
        <v>4575</v>
      </c>
      <c r="H334" t="s">
        <v>4583</v>
      </c>
      <c r="I334" t="s">
        <v>4610</v>
      </c>
      <c r="J334">
        <v>2</v>
      </c>
      <c r="K334">
        <v>81.97</v>
      </c>
      <c r="L334">
        <v>0.05</v>
      </c>
      <c r="M334">
        <v>10.47</v>
      </c>
      <c r="N334" t="s">
        <v>5468</v>
      </c>
      <c r="O334" t="s">
        <v>5474</v>
      </c>
      <c r="P334" t="s">
        <v>5477</v>
      </c>
      <c r="Q334" s="4">
        <v>155.74299999999999</v>
      </c>
    </row>
    <row r="335" spans="1:17" x14ac:dyDescent="0.3">
      <c r="A335" t="s">
        <v>344</v>
      </c>
      <c r="B335" t="s">
        <v>1737</v>
      </c>
      <c r="C335" s="1">
        <v>45534</v>
      </c>
      <c r="D335" t="s">
        <v>2795</v>
      </c>
      <c r="E335" t="s">
        <v>3569</v>
      </c>
      <c r="F335" t="s">
        <v>4549</v>
      </c>
      <c r="G335" t="s">
        <v>4573</v>
      </c>
      <c r="H335" t="s">
        <v>4587</v>
      </c>
      <c r="I335" t="s">
        <v>4600</v>
      </c>
      <c r="J335">
        <v>2</v>
      </c>
      <c r="K335">
        <v>13.3</v>
      </c>
      <c r="L335">
        <v>0.1</v>
      </c>
      <c r="M335">
        <v>10.34</v>
      </c>
      <c r="N335" t="s">
        <v>5468</v>
      </c>
      <c r="O335" t="s">
        <v>5474</v>
      </c>
      <c r="P335" t="s">
        <v>5477</v>
      </c>
      <c r="Q335" s="4">
        <v>23.94</v>
      </c>
    </row>
    <row r="336" spans="1:17" x14ac:dyDescent="0.3">
      <c r="A336" t="s">
        <v>345</v>
      </c>
      <c r="B336" t="s">
        <v>1738</v>
      </c>
      <c r="C336" s="1">
        <v>45666</v>
      </c>
      <c r="D336" t="s">
        <v>2885</v>
      </c>
      <c r="E336" t="s">
        <v>3570</v>
      </c>
      <c r="F336" t="s">
        <v>4564</v>
      </c>
      <c r="G336" t="s">
        <v>4573</v>
      </c>
      <c r="H336" t="s">
        <v>4586</v>
      </c>
      <c r="I336" t="s">
        <v>4593</v>
      </c>
      <c r="J336">
        <v>2</v>
      </c>
      <c r="K336">
        <v>104.84</v>
      </c>
      <c r="L336">
        <v>0.05</v>
      </c>
      <c r="M336">
        <v>0</v>
      </c>
      <c r="N336" t="s">
        <v>5465</v>
      </c>
      <c r="O336" t="s">
        <v>5474</v>
      </c>
      <c r="P336" t="s">
        <v>5477</v>
      </c>
      <c r="Q336" s="4">
        <v>199.196</v>
      </c>
    </row>
    <row r="337" spans="1:17" x14ac:dyDescent="0.3">
      <c r="A337" t="s">
        <v>346</v>
      </c>
      <c r="B337" t="s">
        <v>1739</v>
      </c>
      <c r="C337" s="1">
        <v>45738</v>
      </c>
      <c r="D337" t="s">
        <v>2767</v>
      </c>
      <c r="E337" t="s">
        <v>3571</v>
      </c>
      <c r="F337" t="s">
        <v>4549</v>
      </c>
      <c r="G337" t="s">
        <v>4573</v>
      </c>
      <c r="H337" t="s">
        <v>4584</v>
      </c>
      <c r="I337" t="s">
        <v>4589</v>
      </c>
      <c r="J337">
        <v>1</v>
      </c>
      <c r="K337">
        <v>34.4</v>
      </c>
      <c r="L337">
        <v>0.1</v>
      </c>
      <c r="M337">
        <v>11.93</v>
      </c>
      <c r="N337" t="s">
        <v>5467</v>
      </c>
      <c r="O337" t="s">
        <v>5471</v>
      </c>
      <c r="P337" t="s">
        <v>5477</v>
      </c>
      <c r="Q337" s="4">
        <v>30.96</v>
      </c>
    </row>
    <row r="338" spans="1:17" x14ac:dyDescent="0.3">
      <c r="A338" t="s">
        <v>347</v>
      </c>
      <c r="B338" t="s">
        <v>1461</v>
      </c>
      <c r="C338" s="1">
        <v>45658</v>
      </c>
      <c r="D338" t="s">
        <v>2886</v>
      </c>
      <c r="E338" t="s">
        <v>3572</v>
      </c>
      <c r="F338" t="s">
        <v>4569</v>
      </c>
      <c r="G338" t="s">
        <v>4580</v>
      </c>
      <c r="H338" t="s">
        <v>4587</v>
      </c>
      <c r="I338" t="s">
        <v>4594</v>
      </c>
      <c r="J338">
        <v>1</v>
      </c>
      <c r="K338">
        <v>58.41</v>
      </c>
      <c r="L338">
        <v>0.05</v>
      </c>
      <c r="M338">
        <v>0</v>
      </c>
      <c r="N338" t="s">
        <v>5481</v>
      </c>
      <c r="O338" t="s">
        <v>5470</v>
      </c>
      <c r="P338" t="s">
        <v>5477</v>
      </c>
      <c r="Q338" s="4">
        <v>55.489499999999992</v>
      </c>
    </row>
    <row r="339" spans="1:17" x14ac:dyDescent="0.3">
      <c r="A339" t="s">
        <v>348</v>
      </c>
      <c r="B339" t="s">
        <v>1740</v>
      </c>
      <c r="C339" s="1">
        <v>45738</v>
      </c>
      <c r="D339" t="s">
        <v>2887</v>
      </c>
      <c r="E339" t="s">
        <v>3573</v>
      </c>
      <c r="F339" t="s">
        <v>4565</v>
      </c>
      <c r="G339" t="s">
        <v>4576</v>
      </c>
      <c r="H339" t="s">
        <v>4583</v>
      </c>
      <c r="I339" t="s">
        <v>4610</v>
      </c>
      <c r="J339">
        <v>4</v>
      </c>
      <c r="K339">
        <v>77.66</v>
      </c>
      <c r="L339">
        <v>0</v>
      </c>
      <c r="M339">
        <v>3.37</v>
      </c>
      <c r="N339" t="s">
        <v>5465</v>
      </c>
      <c r="O339" t="s">
        <v>5471</v>
      </c>
      <c r="P339" t="s">
        <v>5477</v>
      </c>
      <c r="Q339" s="4">
        <v>310.64</v>
      </c>
    </row>
    <row r="340" spans="1:17" x14ac:dyDescent="0.3">
      <c r="A340" t="s">
        <v>349</v>
      </c>
      <c r="B340" t="s">
        <v>1741</v>
      </c>
      <c r="C340" s="1">
        <v>45335</v>
      </c>
      <c r="D340" t="s">
        <v>2888</v>
      </c>
      <c r="E340" t="s">
        <v>3574</v>
      </c>
      <c r="F340" t="s">
        <v>4549</v>
      </c>
      <c r="G340" t="s">
        <v>4574</v>
      </c>
      <c r="H340" t="s">
        <v>4584</v>
      </c>
      <c r="I340" t="s">
        <v>4595</v>
      </c>
      <c r="J340">
        <v>4</v>
      </c>
      <c r="K340">
        <v>40.9</v>
      </c>
      <c r="L340">
        <v>0.1</v>
      </c>
      <c r="M340">
        <v>7.8</v>
      </c>
      <c r="N340" t="s">
        <v>5463</v>
      </c>
      <c r="O340" t="s">
        <v>5472</v>
      </c>
      <c r="P340" t="s">
        <v>5476</v>
      </c>
      <c r="Q340" s="4">
        <v>147.24</v>
      </c>
    </row>
    <row r="341" spans="1:17" x14ac:dyDescent="0.3">
      <c r="A341" t="s">
        <v>350</v>
      </c>
      <c r="B341" t="s">
        <v>1742</v>
      </c>
      <c r="C341" s="1">
        <v>45499</v>
      </c>
      <c r="D341" t="s">
        <v>2941</v>
      </c>
      <c r="E341" t="s">
        <v>3575</v>
      </c>
      <c r="F341" t="s">
        <v>4564</v>
      </c>
      <c r="G341" t="s">
        <v>4578</v>
      </c>
      <c r="H341" t="s">
        <v>4584</v>
      </c>
      <c r="I341" t="s">
        <v>4601</v>
      </c>
      <c r="J341">
        <v>5</v>
      </c>
      <c r="K341">
        <v>183.24</v>
      </c>
      <c r="L341">
        <v>0</v>
      </c>
      <c r="M341">
        <v>0</v>
      </c>
      <c r="N341" t="s">
        <v>5467</v>
      </c>
      <c r="O341" t="s">
        <v>5472</v>
      </c>
      <c r="P341" t="s">
        <v>5477</v>
      </c>
      <c r="Q341" s="4">
        <v>916.2</v>
      </c>
    </row>
    <row r="342" spans="1:17" x14ac:dyDescent="0.3">
      <c r="A342" t="s">
        <v>351</v>
      </c>
      <c r="B342" t="s">
        <v>1743</v>
      </c>
      <c r="C342" s="1">
        <v>45985</v>
      </c>
      <c r="D342" t="s">
        <v>2694</v>
      </c>
      <c r="E342" t="s">
        <v>3576</v>
      </c>
      <c r="F342" t="s">
        <v>4564</v>
      </c>
      <c r="G342" t="s">
        <v>4578</v>
      </c>
      <c r="H342" t="s">
        <v>4584</v>
      </c>
      <c r="I342" t="s">
        <v>4589</v>
      </c>
      <c r="J342">
        <v>2</v>
      </c>
      <c r="K342">
        <v>36.39</v>
      </c>
      <c r="L342">
        <v>0.1</v>
      </c>
      <c r="M342">
        <v>4.51</v>
      </c>
      <c r="N342" t="s">
        <v>5467</v>
      </c>
      <c r="O342" t="s">
        <v>5472</v>
      </c>
      <c r="P342" t="s">
        <v>5479</v>
      </c>
      <c r="Q342" s="4">
        <v>65.50200000000001</v>
      </c>
    </row>
    <row r="343" spans="1:17" x14ac:dyDescent="0.3">
      <c r="A343" t="s">
        <v>352</v>
      </c>
      <c r="B343" t="s">
        <v>1744</v>
      </c>
      <c r="C343" s="1">
        <v>45518</v>
      </c>
      <c r="D343" t="s">
        <v>2890</v>
      </c>
      <c r="E343" t="s">
        <v>3577</v>
      </c>
      <c r="F343" t="s">
        <v>4566</v>
      </c>
      <c r="G343" t="s">
        <v>4573</v>
      </c>
      <c r="H343" t="s">
        <v>4587</v>
      </c>
      <c r="I343" t="s">
        <v>4594</v>
      </c>
      <c r="J343">
        <v>1</v>
      </c>
      <c r="K343">
        <v>58.73</v>
      </c>
      <c r="L343">
        <v>0</v>
      </c>
      <c r="M343">
        <v>8.6</v>
      </c>
      <c r="N343" t="s">
        <v>5463</v>
      </c>
      <c r="O343" t="s">
        <v>5481</v>
      </c>
      <c r="P343" t="s">
        <v>5477</v>
      </c>
      <c r="Q343" s="4">
        <v>58.73</v>
      </c>
    </row>
    <row r="344" spans="1:17" x14ac:dyDescent="0.3">
      <c r="A344" t="s">
        <v>353</v>
      </c>
      <c r="B344" t="s">
        <v>1745</v>
      </c>
      <c r="C344" s="1">
        <v>45667</v>
      </c>
      <c r="D344" t="s">
        <v>2891</v>
      </c>
      <c r="E344" t="s">
        <v>3578</v>
      </c>
      <c r="F344" t="s">
        <v>4566</v>
      </c>
      <c r="G344" t="s">
        <v>4577</v>
      </c>
      <c r="H344" t="s">
        <v>4587</v>
      </c>
      <c r="I344" t="s">
        <v>4594</v>
      </c>
      <c r="J344">
        <v>5</v>
      </c>
      <c r="K344">
        <v>62.33</v>
      </c>
      <c r="L344">
        <v>0.1</v>
      </c>
      <c r="M344">
        <v>8.39</v>
      </c>
      <c r="N344" t="s">
        <v>5462</v>
      </c>
      <c r="O344" t="s">
        <v>5473</v>
      </c>
      <c r="P344" t="s">
        <v>5476</v>
      </c>
      <c r="Q344" s="4">
        <v>280.48500000000001</v>
      </c>
    </row>
    <row r="345" spans="1:17" x14ac:dyDescent="0.3">
      <c r="A345" t="s">
        <v>354</v>
      </c>
      <c r="B345" t="s">
        <v>1746</v>
      </c>
      <c r="C345" s="1">
        <v>45323</v>
      </c>
      <c r="D345" t="s">
        <v>2659</v>
      </c>
      <c r="E345" t="s">
        <v>3579</v>
      </c>
      <c r="F345" t="s">
        <v>4549</v>
      </c>
      <c r="G345" t="s">
        <v>4573</v>
      </c>
      <c r="H345" t="s">
        <v>4584</v>
      </c>
      <c r="I345" t="s">
        <v>4601</v>
      </c>
      <c r="J345">
        <v>10</v>
      </c>
      <c r="K345">
        <v>189.01</v>
      </c>
      <c r="L345">
        <v>0</v>
      </c>
      <c r="M345">
        <v>6.39</v>
      </c>
      <c r="N345" t="s">
        <v>5466</v>
      </c>
      <c r="O345" t="s">
        <v>5473</v>
      </c>
      <c r="P345" t="s">
        <v>5477</v>
      </c>
      <c r="Q345" s="4">
        <v>1890.1</v>
      </c>
    </row>
    <row r="346" spans="1:17" x14ac:dyDescent="0.3">
      <c r="A346" t="s">
        <v>355</v>
      </c>
      <c r="B346" t="s">
        <v>1747</v>
      </c>
      <c r="C346" s="1">
        <v>45974</v>
      </c>
      <c r="D346" t="s">
        <v>2647</v>
      </c>
      <c r="E346" t="s">
        <v>5481</v>
      </c>
      <c r="F346" t="s">
        <v>4565</v>
      </c>
      <c r="G346" t="s">
        <v>4579</v>
      </c>
      <c r="H346" t="s">
        <v>4583</v>
      </c>
      <c r="I346" t="s">
        <v>4588</v>
      </c>
      <c r="J346">
        <v>1</v>
      </c>
      <c r="K346">
        <v>39.44</v>
      </c>
      <c r="L346">
        <v>0</v>
      </c>
      <c r="M346">
        <v>12.29</v>
      </c>
      <c r="N346" t="s">
        <v>5467</v>
      </c>
      <c r="O346" t="s">
        <v>5469</v>
      </c>
      <c r="P346" t="s">
        <v>5475</v>
      </c>
      <c r="Q346" s="4">
        <v>39.44</v>
      </c>
    </row>
    <row r="347" spans="1:17" x14ac:dyDescent="0.3">
      <c r="A347" t="s">
        <v>356</v>
      </c>
      <c r="B347" t="s">
        <v>1748</v>
      </c>
      <c r="C347" s="1">
        <v>45842</v>
      </c>
      <c r="D347" t="s">
        <v>2867</v>
      </c>
      <c r="E347" t="s">
        <v>3580</v>
      </c>
      <c r="F347" t="s">
        <v>4569</v>
      </c>
      <c r="G347" t="s">
        <v>4581</v>
      </c>
      <c r="H347" t="s">
        <v>4584</v>
      </c>
      <c r="I347" t="s">
        <v>4601</v>
      </c>
      <c r="J347">
        <v>4</v>
      </c>
      <c r="K347">
        <v>195.96</v>
      </c>
      <c r="L347">
        <v>0.1</v>
      </c>
      <c r="M347">
        <v>8.98</v>
      </c>
      <c r="N347" t="s">
        <v>5466</v>
      </c>
      <c r="O347" t="s">
        <v>5474</v>
      </c>
      <c r="P347" t="s">
        <v>5477</v>
      </c>
      <c r="Q347" s="4">
        <v>705.45600000000002</v>
      </c>
    </row>
    <row r="348" spans="1:17" x14ac:dyDescent="0.3">
      <c r="A348" t="s">
        <v>357</v>
      </c>
      <c r="B348" t="s">
        <v>1749</v>
      </c>
      <c r="C348" s="1">
        <v>45359</v>
      </c>
      <c r="D348" t="s">
        <v>2859</v>
      </c>
      <c r="E348" t="s">
        <v>3581</v>
      </c>
      <c r="F348" t="s">
        <v>4569</v>
      </c>
      <c r="G348" t="s">
        <v>5481</v>
      </c>
      <c r="H348" t="s">
        <v>4586</v>
      </c>
      <c r="I348" t="s">
        <v>4593</v>
      </c>
      <c r="J348">
        <v>10</v>
      </c>
      <c r="K348">
        <v>109.79</v>
      </c>
      <c r="L348">
        <v>0</v>
      </c>
      <c r="M348">
        <v>10.97</v>
      </c>
      <c r="N348" t="s">
        <v>5466</v>
      </c>
      <c r="O348" t="s">
        <v>5472</v>
      </c>
      <c r="P348" t="s">
        <v>5477</v>
      </c>
      <c r="Q348" s="4">
        <v>1097.9000000000001</v>
      </c>
    </row>
    <row r="349" spans="1:17" x14ac:dyDescent="0.3">
      <c r="A349" t="s">
        <v>358</v>
      </c>
      <c r="B349" t="s">
        <v>1691</v>
      </c>
      <c r="C349" s="1">
        <v>45800</v>
      </c>
      <c r="D349" t="s">
        <v>2892</v>
      </c>
      <c r="E349" t="s">
        <v>3582</v>
      </c>
      <c r="F349" t="s">
        <v>4569</v>
      </c>
      <c r="G349" t="s">
        <v>4581</v>
      </c>
      <c r="H349" t="s">
        <v>4587</v>
      </c>
      <c r="I349" t="s">
        <v>4596</v>
      </c>
      <c r="J349">
        <v>3</v>
      </c>
      <c r="K349">
        <v>14.43</v>
      </c>
      <c r="L349">
        <v>0.05</v>
      </c>
      <c r="M349">
        <v>2.54</v>
      </c>
      <c r="N349" t="s">
        <v>5481</v>
      </c>
      <c r="O349" t="s">
        <v>5472</v>
      </c>
      <c r="P349" t="s">
        <v>5477</v>
      </c>
      <c r="Q349" s="4">
        <v>41.125499999999995</v>
      </c>
    </row>
    <row r="350" spans="1:17" x14ac:dyDescent="0.3">
      <c r="A350" t="s">
        <v>359</v>
      </c>
      <c r="B350" t="s">
        <v>1750</v>
      </c>
      <c r="C350" s="1">
        <v>45775</v>
      </c>
      <c r="D350" t="s">
        <v>2833</v>
      </c>
      <c r="E350" t="s">
        <v>3583</v>
      </c>
      <c r="F350" t="s">
        <v>4564</v>
      </c>
      <c r="G350" t="s">
        <v>4578</v>
      </c>
      <c r="H350" t="s">
        <v>4584</v>
      </c>
      <c r="I350" t="s">
        <v>4603</v>
      </c>
      <c r="J350">
        <v>5</v>
      </c>
      <c r="K350">
        <v>9.9700000000000006</v>
      </c>
      <c r="L350">
        <v>0</v>
      </c>
      <c r="M350">
        <v>5.75</v>
      </c>
      <c r="N350" t="s">
        <v>5464</v>
      </c>
      <c r="O350" t="s">
        <v>5481</v>
      </c>
      <c r="P350" t="s">
        <v>5477</v>
      </c>
      <c r="Q350" s="4">
        <v>49.85</v>
      </c>
    </row>
    <row r="351" spans="1:17" x14ac:dyDescent="0.3">
      <c r="A351" t="s">
        <v>360</v>
      </c>
      <c r="B351" t="s">
        <v>1751</v>
      </c>
      <c r="C351" s="1">
        <v>45908</v>
      </c>
      <c r="D351" t="s">
        <v>2891</v>
      </c>
      <c r="E351" t="s">
        <v>3584</v>
      </c>
      <c r="F351" t="s">
        <v>4549</v>
      </c>
      <c r="G351" t="s">
        <v>4573</v>
      </c>
      <c r="H351" t="s">
        <v>4586</v>
      </c>
      <c r="I351" t="s">
        <v>4609</v>
      </c>
      <c r="J351">
        <v>3</v>
      </c>
      <c r="K351">
        <v>131.01</v>
      </c>
      <c r="L351">
        <v>0</v>
      </c>
      <c r="M351">
        <v>2.67</v>
      </c>
      <c r="N351" t="s">
        <v>5468</v>
      </c>
      <c r="O351" t="s">
        <v>5469</v>
      </c>
      <c r="P351" t="s">
        <v>5477</v>
      </c>
      <c r="Q351" s="4">
        <v>393.03</v>
      </c>
    </row>
    <row r="352" spans="1:17" x14ac:dyDescent="0.3">
      <c r="A352" t="s">
        <v>361</v>
      </c>
      <c r="B352" t="s">
        <v>1752</v>
      </c>
      <c r="C352" s="1">
        <v>45418</v>
      </c>
      <c r="D352" t="s">
        <v>2893</v>
      </c>
      <c r="E352" t="s">
        <v>3585</v>
      </c>
      <c r="F352" t="s">
        <v>4565</v>
      </c>
      <c r="G352" t="s">
        <v>4576</v>
      </c>
      <c r="H352" t="s">
        <v>4587</v>
      </c>
      <c r="I352" t="s">
        <v>4596</v>
      </c>
      <c r="J352">
        <v>5</v>
      </c>
      <c r="K352">
        <v>14.41</v>
      </c>
      <c r="L352">
        <v>0.1</v>
      </c>
      <c r="M352">
        <v>7.16</v>
      </c>
      <c r="N352" t="s">
        <v>5464</v>
      </c>
      <c r="O352" t="s">
        <v>5472</v>
      </c>
      <c r="P352" t="s">
        <v>5476</v>
      </c>
      <c r="Q352" s="4">
        <v>64.844999999999999</v>
      </c>
    </row>
    <row r="353" spans="1:17" x14ac:dyDescent="0.3">
      <c r="A353" t="s">
        <v>362</v>
      </c>
      <c r="B353" t="s">
        <v>1753</v>
      </c>
      <c r="C353" s="1">
        <v>45921</v>
      </c>
      <c r="D353" t="s">
        <v>2788</v>
      </c>
      <c r="E353" t="s">
        <v>3586</v>
      </c>
      <c r="F353" t="s">
        <v>4566</v>
      </c>
      <c r="G353" t="s">
        <v>4573</v>
      </c>
      <c r="H353" t="s">
        <v>4587</v>
      </c>
      <c r="I353" t="s">
        <v>4600</v>
      </c>
      <c r="J353">
        <v>1</v>
      </c>
      <c r="K353">
        <v>13.43</v>
      </c>
      <c r="L353">
        <v>0.1</v>
      </c>
      <c r="M353">
        <v>13.27</v>
      </c>
      <c r="N353" t="s">
        <v>5481</v>
      </c>
      <c r="O353" t="s">
        <v>5474</v>
      </c>
      <c r="P353" t="s">
        <v>5477</v>
      </c>
      <c r="Q353" s="4">
        <v>12.087</v>
      </c>
    </row>
    <row r="354" spans="1:17" x14ac:dyDescent="0.3">
      <c r="A354" t="s">
        <v>363</v>
      </c>
      <c r="B354" t="s">
        <v>1754</v>
      </c>
      <c r="C354" s="1">
        <v>45892</v>
      </c>
      <c r="D354" t="s">
        <v>2725</v>
      </c>
      <c r="E354" t="s">
        <v>3587</v>
      </c>
      <c r="F354" t="s">
        <v>4549</v>
      </c>
      <c r="G354" t="s">
        <v>4573</v>
      </c>
      <c r="H354" t="s">
        <v>4587</v>
      </c>
      <c r="I354" t="s">
        <v>4600</v>
      </c>
      <c r="J354">
        <v>10</v>
      </c>
      <c r="K354">
        <v>12.82</v>
      </c>
      <c r="L354">
        <v>0</v>
      </c>
      <c r="M354">
        <v>2.4700000000000002</v>
      </c>
      <c r="N354" t="s">
        <v>5463</v>
      </c>
      <c r="O354" t="s">
        <v>5471</v>
      </c>
      <c r="P354" t="s">
        <v>5477</v>
      </c>
      <c r="Q354" s="4">
        <v>128.19999999999999</v>
      </c>
    </row>
    <row r="355" spans="1:17" x14ac:dyDescent="0.3">
      <c r="A355" t="s">
        <v>364</v>
      </c>
      <c r="B355" t="s">
        <v>1533</v>
      </c>
      <c r="C355" s="1">
        <v>45726</v>
      </c>
      <c r="D355" t="s">
        <v>2819</v>
      </c>
      <c r="E355" t="s">
        <v>3588</v>
      </c>
      <c r="F355" t="s">
        <v>4549</v>
      </c>
      <c r="G355" t="s">
        <v>4574</v>
      </c>
      <c r="H355" t="s">
        <v>4584</v>
      </c>
      <c r="I355" t="s">
        <v>4608</v>
      </c>
      <c r="J355">
        <v>2</v>
      </c>
      <c r="K355">
        <v>19.14</v>
      </c>
      <c r="L355">
        <v>0</v>
      </c>
      <c r="M355">
        <v>9.0299999999999994</v>
      </c>
      <c r="N355" t="s">
        <v>5465</v>
      </c>
      <c r="O355" t="s">
        <v>5474</v>
      </c>
      <c r="P355" t="s">
        <v>5477</v>
      </c>
      <c r="Q355" s="4">
        <v>38.28</v>
      </c>
    </row>
    <row r="356" spans="1:17" x14ac:dyDescent="0.3">
      <c r="A356" t="s">
        <v>365</v>
      </c>
      <c r="B356" t="s">
        <v>1755</v>
      </c>
      <c r="C356" s="1">
        <v>45343</v>
      </c>
      <c r="D356" t="s">
        <v>2886</v>
      </c>
      <c r="E356" t="s">
        <v>3589</v>
      </c>
      <c r="F356" t="s">
        <v>4569</v>
      </c>
      <c r="G356" t="s">
        <v>4572</v>
      </c>
      <c r="H356" t="s">
        <v>4586</v>
      </c>
      <c r="I356" t="s">
        <v>4593</v>
      </c>
      <c r="J356">
        <v>10</v>
      </c>
      <c r="K356">
        <v>105.94</v>
      </c>
      <c r="L356">
        <v>0</v>
      </c>
      <c r="M356">
        <v>6.27</v>
      </c>
      <c r="N356" t="s">
        <v>5464</v>
      </c>
      <c r="O356" t="s">
        <v>5481</v>
      </c>
      <c r="P356" t="s">
        <v>5475</v>
      </c>
      <c r="Q356" s="4">
        <v>1059.4000000000001</v>
      </c>
    </row>
    <row r="357" spans="1:17" x14ac:dyDescent="0.3">
      <c r="A357" t="s">
        <v>366</v>
      </c>
      <c r="B357" t="s">
        <v>1756</v>
      </c>
      <c r="C357" s="1">
        <v>45794</v>
      </c>
      <c r="D357" t="s">
        <v>2850</v>
      </c>
      <c r="E357" t="s">
        <v>3590</v>
      </c>
      <c r="F357" t="s">
        <v>4569</v>
      </c>
      <c r="G357" t="s">
        <v>4581</v>
      </c>
      <c r="H357" t="s">
        <v>4587</v>
      </c>
      <c r="I357" t="s">
        <v>4606</v>
      </c>
      <c r="J357">
        <v>2</v>
      </c>
      <c r="K357">
        <v>29.39</v>
      </c>
      <c r="L357">
        <v>0.05</v>
      </c>
      <c r="M357">
        <v>5.64</v>
      </c>
      <c r="N357" t="s">
        <v>5468</v>
      </c>
      <c r="O357" t="s">
        <v>5472</v>
      </c>
      <c r="P357" t="s">
        <v>5477</v>
      </c>
      <c r="Q357" s="4">
        <v>55.841000000000001</v>
      </c>
    </row>
    <row r="358" spans="1:17" x14ac:dyDescent="0.3">
      <c r="A358" t="s">
        <v>367</v>
      </c>
      <c r="B358" t="s">
        <v>1757</v>
      </c>
      <c r="C358" s="1">
        <v>45397</v>
      </c>
      <c r="D358" t="s">
        <v>3076</v>
      </c>
      <c r="E358" t="s">
        <v>3591</v>
      </c>
      <c r="F358" t="s">
        <v>4566</v>
      </c>
      <c r="G358" t="s">
        <v>4577</v>
      </c>
      <c r="H358" t="s">
        <v>4584</v>
      </c>
      <c r="I358" t="s">
        <v>4603</v>
      </c>
      <c r="J358">
        <v>1</v>
      </c>
      <c r="K358">
        <v>9.41</v>
      </c>
      <c r="L358">
        <v>0.1</v>
      </c>
      <c r="M358">
        <v>13.77</v>
      </c>
      <c r="N358" t="s">
        <v>5468</v>
      </c>
      <c r="O358" t="s">
        <v>5471</v>
      </c>
      <c r="P358" t="s">
        <v>5476</v>
      </c>
      <c r="Q358" s="4">
        <v>8.4690000000000012</v>
      </c>
    </row>
    <row r="359" spans="1:17" x14ac:dyDescent="0.3">
      <c r="A359" t="s">
        <v>368</v>
      </c>
      <c r="B359" t="s">
        <v>1758</v>
      </c>
      <c r="C359" s="1">
        <v>45803</v>
      </c>
      <c r="D359" t="s">
        <v>2895</v>
      </c>
      <c r="E359" t="s">
        <v>3592</v>
      </c>
      <c r="F359" t="s">
        <v>4566</v>
      </c>
      <c r="G359" t="s">
        <v>4577</v>
      </c>
      <c r="H359" t="s">
        <v>4584</v>
      </c>
      <c r="I359" t="s">
        <v>4589</v>
      </c>
      <c r="J359">
        <v>2</v>
      </c>
      <c r="K359">
        <v>35.130000000000003</v>
      </c>
      <c r="L359">
        <v>0.1</v>
      </c>
      <c r="M359">
        <v>4.96</v>
      </c>
      <c r="N359" t="s">
        <v>5462</v>
      </c>
      <c r="O359" t="s">
        <v>5473</v>
      </c>
      <c r="P359" t="s">
        <v>5477</v>
      </c>
      <c r="Q359" s="4">
        <v>63.234000000000009</v>
      </c>
    </row>
    <row r="360" spans="1:17" x14ac:dyDescent="0.3">
      <c r="A360" t="s">
        <v>369</v>
      </c>
      <c r="B360" t="s">
        <v>1759</v>
      </c>
      <c r="C360" s="1">
        <v>45722</v>
      </c>
      <c r="D360" t="s">
        <v>2896</v>
      </c>
      <c r="E360" t="s">
        <v>5481</v>
      </c>
      <c r="F360" t="s">
        <v>4564</v>
      </c>
      <c r="G360" t="s">
        <v>4578</v>
      </c>
      <c r="H360" t="s">
        <v>4587</v>
      </c>
      <c r="I360" t="s">
        <v>4596</v>
      </c>
      <c r="J360">
        <v>5</v>
      </c>
      <c r="K360">
        <v>14.43</v>
      </c>
      <c r="L360">
        <v>0.05</v>
      </c>
      <c r="M360">
        <v>5.88</v>
      </c>
      <c r="N360" t="s">
        <v>5465</v>
      </c>
      <c r="O360" t="s">
        <v>5469</v>
      </c>
      <c r="P360" t="s">
        <v>5477</v>
      </c>
      <c r="Q360" s="4">
        <v>68.542500000000004</v>
      </c>
    </row>
    <row r="361" spans="1:17" x14ac:dyDescent="0.3">
      <c r="A361" t="s">
        <v>370</v>
      </c>
      <c r="B361" t="s">
        <v>1636</v>
      </c>
      <c r="C361" s="1">
        <v>45917</v>
      </c>
      <c r="D361" t="s">
        <v>2897</v>
      </c>
      <c r="E361" t="s">
        <v>3593</v>
      </c>
      <c r="F361" t="s">
        <v>4549</v>
      </c>
      <c r="G361" t="s">
        <v>4573</v>
      </c>
      <c r="H361" t="s">
        <v>4584</v>
      </c>
      <c r="I361" t="s">
        <v>4608</v>
      </c>
      <c r="J361">
        <v>3</v>
      </c>
      <c r="K361">
        <v>19.489999999999998</v>
      </c>
      <c r="L361">
        <v>0.1</v>
      </c>
      <c r="M361">
        <v>7.75</v>
      </c>
      <c r="N361" t="s">
        <v>5468</v>
      </c>
      <c r="O361" t="s">
        <v>5473</v>
      </c>
      <c r="P361" t="s">
        <v>5477</v>
      </c>
      <c r="Q361" s="4">
        <v>52.622999999999998</v>
      </c>
    </row>
    <row r="362" spans="1:17" x14ac:dyDescent="0.3">
      <c r="A362" t="s">
        <v>371</v>
      </c>
      <c r="B362" t="s">
        <v>1760</v>
      </c>
      <c r="C362" s="1">
        <v>45929</v>
      </c>
      <c r="D362" t="s">
        <v>2626</v>
      </c>
      <c r="E362" t="s">
        <v>3594</v>
      </c>
      <c r="F362" t="s">
        <v>4549</v>
      </c>
      <c r="G362" t="s">
        <v>4574</v>
      </c>
      <c r="H362" t="s">
        <v>4584</v>
      </c>
      <c r="I362" t="s">
        <v>4595</v>
      </c>
      <c r="J362">
        <v>3</v>
      </c>
      <c r="K362">
        <v>43.44</v>
      </c>
      <c r="L362">
        <v>0</v>
      </c>
      <c r="M362">
        <v>3.32</v>
      </c>
      <c r="N362" t="s">
        <v>5467</v>
      </c>
      <c r="O362" t="s">
        <v>5469</v>
      </c>
      <c r="P362" t="s">
        <v>5476</v>
      </c>
      <c r="Q362" s="4">
        <v>130.32</v>
      </c>
    </row>
    <row r="363" spans="1:17" x14ac:dyDescent="0.3">
      <c r="A363" t="s">
        <v>372</v>
      </c>
      <c r="B363" t="s">
        <v>1761</v>
      </c>
      <c r="C363" s="1">
        <v>45873</v>
      </c>
      <c r="D363" t="s">
        <v>2898</v>
      </c>
      <c r="E363" t="s">
        <v>3595</v>
      </c>
      <c r="F363" t="s">
        <v>4565</v>
      </c>
      <c r="G363" t="s">
        <v>4579</v>
      </c>
      <c r="H363" t="s">
        <v>4586</v>
      </c>
      <c r="I363" t="s">
        <v>4599</v>
      </c>
      <c r="J363">
        <v>1</v>
      </c>
      <c r="K363">
        <v>241.18</v>
      </c>
      <c r="L363">
        <v>0.05</v>
      </c>
      <c r="M363">
        <v>8.6999999999999993</v>
      </c>
      <c r="N363" t="s">
        <v>5466</v>
      </c>
      <c r="O363" t="s">
        <v>5474</v>
      </c>
      <c r="P363" t="s">
        <v>5477</v>
      </c>
      <c r="Q363" s="4">
        <v>229.12100000000001</v>
      </c>
    </row>
    <row r="364" spans="1:17" x14ac:dyDescent="0.3">
      <c r="A364" t="s">
        <v>373</v>
      </c>
      <c r="B364" t="s">
        <v>1762</v>
      </c>
      <c r="C364" s="1">
        <v>45926</v>
      </c>
      <c r="D364" t="s">
        <v>2899</v>
      </c>
      <c r="E364" t="s">
        <v>3596</v>
      </c>
      <c r="F364" t="s">
        <v>4565</v>
      </c>
      <c r="G364" t="s">
        <v>4576</v>
      </c>
      <c r="H364" t="s">
        <v>4584</v>
      </c>
      <c r="I364" t="s">
        <v>4607</v>
      </c>
      <c r="J364">
        <v>1</v>
      </c>
      <c r="K364">
        <v>26.15</v>
      </c>
      <c r="L364">
        <v>0</v>
      </c>
      <c r="M364">
        <v>8.59</v>
      </c>
      <c r="N364" t="s">
        <v>5467</v>
      </c>
      <c r="O364" t="s">
        <v>5470</v>
      </c>
      <c r="P364" t="s">
        <v>5477</v>
      </c>
      <c r="Q364" s="4">
        <v>26.15</v>
      </c>
    </row>
    <row r="365" spans="1:17" x14ac:dyDescent="0.3">
      <c r="A365" t="s">
        <v>374</v>
      </c>
      <c r="B365" t="s">
        <v>1763</v>
      </c>
      <c r="C365" s="1">
        <v>45729</v>
      </c>
      <c r="D365" t="s">
        <v>2900</v>
      </c>
      <c r="E365" t="s">
        <v>3597</v>
      </c>
      <c r="F365" t="s">
        <v>4565</v>
      </c>
      <c r="G365" t="s">
        <v>4575</v>
      </c>
      <c r="H365" t="s">
        <v>4586</v>
      </c>
      <c r="I365" t="s">
        <v>4599</v>
      </c>
      <c r="J365">
        <v>2</v>
      </c>
      <c r="K365">
        <v>253.16</v>
      </c>
      <c r="L365">
        <v>0.05</v>
      </c>
      <c r="M365">
        <v>7.64</v>
      </c>
      <c r="N365" t="s">
        <v>5481</v>
      </c>
      <c r="O365" t="s">
        <v>5473</v>
      </c>
      <c r="P365" t="s">
        <v>5477</v>
      </c>
      <c r="Q365" s="4">
        <v>481.00399999999996</v>
      </c>
    </row>
    <row r="366" spans="1:17" x14ac:dyDescent="0.3">
      <c r="A366" t="s">
        <v>375</v>
      </c>
      <c r="B366" t="s">
        <v>1608</v>
      </c>
      <c r="C366" s="1">
        <v>45749</v>
      </c>
      <c r="D366" t="s">
        <v>2901</v>
      </c>
      <c r="E366" t="s">
        <v>3598</v>
      </c>
      <c r="F366" t="s">
        <v>4565</v>
      </c>
      <c r="G366" t="s">
        <v>4579</v>
      </c>
      <c r="H366" t="s">
        <v>4586</v>
      </c>
      <c r="I366" t="s">
        <v>4599</v>
      </c>
      <c r="J366">
        <v>4</v>
      </c>
      <c r="K366">
        <v>246.07</v>
      </c>
      <c r="L366">
        <v>0.15</v>
      </c>
      <c r="M366">
        <v>9.64</v>
      </c>
      <c r="N366" t="s">
        <v>5465</v>
      </c>
      <c r="O366" t="s">
        <v>5474</v>
      </c>
      <c r="P366" t="s">
        <v>5477</v>
      </c>
      <c r="Q366" s="4">
        <v>836.63799999999992</v>
      </c>
    </row>
    <row r="367" spans="1:17" x14ac:dyDescent="0.3">
      <c r="A367" t="s">
        <v>376</v>
      </c>
      <c r="B367" t="s">
        <v>1764</v>
      </c>
      <c r="C367" s="1">
        <v>45913</v>
      </c>
      <c r="D367" t="s">
        <v>2816</v>
      </c>
      <c r="E367" t="s">
        <v>3599</v>
      </c>
      <c r="F367" t="s">
        <v>4564</v>
      </c>
      <c r="G367" t="s">
        <v>4573</v>
      </c>
      <c r="H367" t="s">
        <v>4584</v>
      </c>
      <c r="I367" t="s">
        <v>4608</v>
      </c>
      <c r="J367">
        <v>3</v>
      </c>
      <c r="K367">
        <v>19.309999999999999</v>
      </c>
      <c r="L367">
        <v>0</v>
      </c>
      <c r="M367">
        <v>0.81</v>
      </c>
      <c r="N367" t="s">
        <v>5468</v>
      </c>
      <c r="O367" t="s">
        <v>5481</v>
      </c>
      <c r="P367" t="s">
        <v>5477</v>
      </c>
      <c r="Q367" s="4">
        <v>57.929999999999993</v>
      </c>
    </row>
    <row r="368" spans="1:17" x14ac:dyDescent="0.3">
      <c r="A368" t="s">
        <v>377</v>
      </c>
      <c r="B368" t="s">
        <v>1765</v>
      </c>
      <c r="C368" s="1">
        <v>45692</v>
      </c>
      <c r="D368" t="s">
        <v>3009</v>
      </c>
      <c r="E368" t="s">
        <v>3600</v>
      </c>
      <c r="F368" t="s">
        <v>4565</v>
      </c>
      <c r="G368" t="s">
        <v>4575</v>
      </c>
      <c r="H368" t="s">
        <v>4584</v>
      </c>
      <c r="I368" t="s">
        <v>4608</v>
      </c>
      <c r="J368">
        <v>10</v>
      </c>
      <c r="K368">
        <v>18.329999999999998</v>
      </c>
      <c r="L368">
        <v>0</v>
      </c>
      <c r="M368">
        <v>7.26</v>
      </c>
      <c r="N368" t="s">
        <v>5464</v>
      </c>
      <c r="O368" t="s">
        <v>5481</v>
      </c>
      <c r="P368" t="s">
        <v>5477</v>
      </c>
      <c r="Q368" s="4">
        <v>183.29999999999998</v>
      </c>
    </row>
    <row r="369" spans="1:17" x14ac:dyDescent="0.3">
      <c r="A369" t="s">
        <v>378</v>
      </c>
      <c r="B369" t="s">
        <v>1766</v>
      </c>
      <c r="C369" s="1">
        <v>45515</v>
      </c>
      <c r="D369" t="s">
        <v>2903</v>
      </c>
      <c r="E369" t="s">
        <v>3601</v>
      </c>
      <c r="F369" t="s">
        <v>4569</v>
      </c>
      <c r="G369" t="s">
        <v>4572</v>
      </c>
      <c r="H369" t="s">
        <v>4585</v>
      </c>
      <c r="I369" t="s">
        <v>4602</v>
      </c>
      <c r="J369">
        <v>1</v>
      </c>
      <c r="K369">
        <v>4.4400000000000004</v>
      </c>
      <c r="L369">
        <v>0.05</v>
      </c>
      <c r="M369">
        <v>13.1</v>
      </c>
      <c r="N369" t="s">
        <v>5466</v>
      </c>
      <c r="O369" t="s">
        <v>5470</v>
      </c>
      <c r="P369" t="s">
        <v>5477</v>
      </c>
      <c r="Q369" s="4">
        <v>4.218</v>
      </c>
    </row>
    <row r="370" spans="1:17" x14ac:dyDescent="0.3">
      <c r="A370" t="s">
        <v>379</v>
      </c>
      <c r="B370" t="s">
        <v>1767</v>
      </c>
      <c r="C370" s="1">
        <v>45385</v>
      </c>
      <c r="D370" t="s">
        <v>2828</v>
      </c>
      <c r="E370" t="s">
        <v>3602</v>
      </c>
      <c r="F370" t="s">
        <v>4565</v>
      </c>
      <c r="G370" t="s">
        <v>4576</v>
      </c>
      <c r="H370" t="s">
        <v>4584</v>
      </c>
      <c r="I370" t="s">
        <v>4589</v>
      </c>
      <c r="J370">
        <v>5</v>
      </c>
      <c r="K370">
        <v>33.53</v>
      </c>
      <c r="L370">
        <v>0</v>
      </c>
      <c r="M370">
        <v>8.16</v>
      </c>
      <c r="N370" t="s">
        <v>5481</v>
      </c>
      <c r="O370" t="s">
        <v>5473</v>
      </c>
      <c r="P370" t="s">
        <v>5477</v>
      </c>
      <c r="Q370" s="4">
        <v>167.65</v>
      </c>
    </row>
    <row r="371" spans="1:17" x14ac:dyDescent="0.3">
      <c r="A371" t="s">
        <v>380</v>
      </c>
      <c r="B371" t="s">
        <v>1768</v>
      </c>
      <c r="C371" s="1">
        <v>45880</v>
      </c>
      <c r="D371" t="s">
        <v>2938</v>
      </c>
      <c r="E371" t="s">
        <v>3603</v>
      </c>
      <c r="F371" t="s">
        <v>4549</v>
      </c>
      <c r="G371" t="s">
        <v>4573</v>
      </c>
      <c r="H371" t="s">
        <v>4587</v>
      </c>
      <c r="I371" t="s">
        <v>4606</v>
      </c>
      <c r="J371">
        <v>10</v>
      </c>
      <c r="K371">
        <v>28.62</v>
      </c>
      <c r="L371">
        <v>0</v>
      </c>
      <c r="M371">
        <v>12.41</v>
      </c>
      <c r="N371" t="s">
        <v>5464</v>
      </c>
      <c r="O371" t="s">
        <v>5473</v>
      </c>
      <c r="P371" t="s">
        <v>5479</v>
      </c>
      <c r="Q371" s="4">
        <v>286.2</v>
      </c>
    </row>
    <row r="372" spans="1:17" x14ac:dyDescent="0.3">
      <c r="A372" t="s">
        <v>381</v>
      </c>
      <c r="B372" t="s">
        <v>1524</v>
      </c>
      <c r="C372" s="1">
        <v>45402</v>
      </c>
      <c r="D372" t="s">
        <v>2867</v>
      </c>
      <c r="E372" t="s">
        <v>3604</v>
      </c>
      <c r="F372" t="s">
        <v>4565</v>
      </c>
      <c r="G372" t="s">
        <v>4579</v>
      </c>
      <c r="H372" t="s">
        <v>4586</v>
      </c>
      <c r="I372" t="s">
        <v>4599</v>
      </c>
      <c r="J372">
        <v>5</v>
      </c>
      <c r="K372">
        <v>242.53</v>
      </c>
      <c r="L372">
        <v>0.05</v>
      </c>
      <c r="M372">
        <v>6.24</v>
      </c>
      <c r="N372" t="s">
        <v>5465</v>
      </c>
      <c r="O372" t="s">
        <v>5472</v>
      </c>
      <c r="P372" t="s">
        <v>5477</v>
      </c>
      <c r="Q372" s="4">
        <v>1152.0174999999999</v>
      </c>
    </row>
    <row r="373" spans="1:17" x14ac:dyDescent="0.3">
      <c r="A373" t="s">
        <v>382</v>
      </c>
      <c r="B373" t="s">
        <v>1769</v>
      </c>
      <c r="C373" s="1">
        <v>45666</v>
      </c>
      <c r="D373" t="s">
        <v>2680</v>
      </c>
      <c r="E373" t="s">
        <v>3605</v>
      </c>
      <c r="F373" t="s">
        <v>4569</v>
      </c>
      <c r="G373" t="s">
        <v>4581</v>
      </c>
      <c r="H373" t="s">
        <v>4587</v>
      </c>
      <c r="I373" t="s">
        <v>4596</v>
      </c>
      <c r="J373">
        <v>1</v>
      </c>
      <c r="K373">
        <v>15.37</v>
      </c>
      <c r="L373">
        <v>0.05</v>
      </c>
      <c r="M373">
        <v>3.97</v>
      </c>
      <c r="N373" t="s">
        <v>5466</v>
      </c>
      <c r="O373" t="s">
        <v>5473</v>
      </c>
      <c r="P373" t="s">
        <v>5475</v>
      </c>
      <c r="Q373" s="4">
        <v>14.601499999999998</v>
      </c>
    </row>
    <row r="374" spans="1:17" x14ac:dyDescent="0.3">
      <c r="A374" t="s">
        <v>383</v>
      </c>
      <c r="B374" t="s">
        <v>1770</v>
      </c>
      <c r="C374" s="1">
        <v>45778</v>
      </c>
      <c r="D374" t="s">
        <v>2774</v>
      </c>
      <c r="E374" t="s">
        <v>3606</v>
      </c>
      <c r="F374" t="s">
        <v>4549</v>
      </c>
      <c r="G374" t="s">
        <v>4574</v>
      </c>
      <c r="H374" t="s">
        <v>4587</v>
      </c>
      <c r="I374" t="s">
        <v>4600</v>
      </c>
      <c r="J374">
        <v>2</v>
      </c>
      <c r="K374">
        <v>13.13</v>
      </c>
      <c r="L374">
        <v>0.15</v>
      </c>
      <c r="M374">
        <v>0</v>
      </c>
      <c r="N374" t="s">
        <v>5465</v>
      </c>
      <c r="O374" t="s">
        <v>5471</v>
      </c>
      <c r="P374" t="s">
        <v>5477</v>
      </c>
      <c r="Q374" s="4">
        <v>22.321000000000002</v>
      </c>
    </row>
    <row r="375" spans="1:17" x14ac:dyDescent="0.3">
      <c r="A375" t="s">
        <v>384</v>
      </c>
      <c r="B375" t="s">
        <v>1771</v>
      </c>
      <c r="C375" s="1">
        <v>45866</v>
      </c>
      <c r="D375" t="s">
        <v>2640</v>
      </c>
      <c r="E375" t="s">
        <v>3607</v>
      </c>
      <c r="F375" t="s">
        <v>4564</v>
      </c>
      <c r="G375" t="s">
        <v>4573</v>
      </c>
      <c r="H375" t="s">
        <v>4583</v>
      </c>
      <c r="I375" t="s">
        <v>4610</v>
      </c>
      <c r="J375">
        <v>1</v>
      </c>
      <c r="K375">
        <v>82.91</v>
      </c>
      <c r="L375">
        <v>0.05</v>
      </c>
      <c r="M375">
        <v>5.99</v>
      </c>
      <c r="N375" t="s">
        <v>5464</v>
      </c>
      <c r="O375" t="s">
        <v>5471</v>
      </c>
      <c r="P375" t="s">
        <v>5477</v>
      </c>
      <c r="Q375" s="4">
        <v>78.764499999999998</v>
      </c>
    </row>
    <row r="376" spans="1:17" x14ac:dyDescent="0.3">
      <c r="A376" t="s">
        <v>385</v>
      </c>
      <c r="B376" t="s">
        <v>1772</v>
      </c>
      <c r="C376" s="1">
        <v>45877</v>
      </c>
      <c r="D376" t="s">
        <v>2709</v>
      </c>
      <c r="E376" t="s">
        <v>5481</v>
      </c>
      <c r="F376" t="s">
        <v>4565</v>
      </c>
      <c r="G376" t="s">
        <v>5481</v>
      </c>
      <c r="H376" t="s">
        <v>4584</v>
      </c>
      <c r="I376" t="s">
        <v>4608</v>
      </c>
      <c r="J376">
        <v>4</v>
      </c>
      <c r="K376">
        <v>18.670000000000002</v>
      </c>
      <c r="L376">
        <v>0</v>
      </c>
      <c r="M376">
        <v>0.82</v>
      </c>
      <c r="N376" t="s">
        <v>5467</v>
      </c>
      <c r="O376" t="s">
        <v>5473</v>
      </c>
      <c r="P376" t="s">
        <v>5477</v>
      </c>
      <c r="Q376" s="4">
        <v>74.680000000000007</v>
      </c>
    </row>
    <row r="377" spans="1:17" x14ac:dyDescent="0.3">
      <c r="A377" t="s">
        <v>386</v>
      </c>
      <c r="B377" t="s">
        <v>1773</v>
      </c>
      <c r="C377" s="1">
        <v>45734</v>
      </c>
      <c r="D377" t="s">
        <v>2807</v>
      </c>
      <c r="E377" t="s">
        <v>3608</v>
      </c>
      <c r="F377" t="s">
        <v>4565</v>
      </c>
      <c r="G377" t="s">
        <v>4579</v>
      </c>
      <c r="H377" t="s">
        <v>4583</v>
      </c>
      <c r="I377" t="s">
        <v>4588</v>
      </c>
      <c r="J377">
        <v>2</v>
      </c>
      <c r="K377">
        <v>39.299999999999997</v>
      </c>
      <c r="L377">
        <v>0</v>
      </c>
      <c r="M377">
        <v>1.98</v>
      </c>
      <c r="N377" t="s">
        <v>5466</v>
      </c>
      <c r="O377" t="s">
        <v>5473</v>
      </c>
      <c r="P377" t="s">
        <v>5477</v>
      </c>
      <c r="Q377" s="4">
        <v>78.599999999999994</v>
      </c>
    </row>
    <row r="378" spans="1:17" x14ac:dyDescent="0.3">
      <c r="A378" t="s">
        <v>387</v>
      </c>
      <c r="B378" t="s">
        <v>1774</v>
      </c>
      <c r="C378" s="1">
        <v>45393</v>
      </c>
      <c r="D378" t="s">
        <v>2694</v>
      </c>
      <c r="E378" t="s">
        <v>3609</v>
      </c>
      <c r="F378" t="s">
        <v>4564</v>
      </c>
      <c r="G378" t="s">
        <v>4578</v>
      </c>
      <c r="H378" t="s">
        <v>4583</v>
      </c>
      <c r="I378" t="s">
        <v>4588</v>
      </c>
      <c r="J378">
        <v>1</v>
      </c>
      <c r="K378">
        <v>38.25</v>
      </c>
      <c r="L378">
        <v>0</v>
      </c>
      <c r="M378">
        <v>9.76</v>
      </c>
      <c r="N378" t="s">
        <v>5463</v>
      </c>
      <c r="O378" t="s">
        <v>5473</v>
      </c>
      <c r="P378" t="s">
        <v>5477</v>
      </c>
      <c r="Q378" s="4">
        <v>38.25</v>
      </c>
    </row>
    <row r="379" spans="1:17" x14ac:dyDescent="0.3">
      <c r="A379" t="s">
        <v>388</v>
      </c>
      <c r="B379" t="s">
        <v>1775</v>
      </c>
      <c r="C379" s="1">
        <v>45960</v>
      </c>
      <c r="D379" t="s">
        <v>2879</v>
      </c>
      <c r="E379" t="s">
        <v>3610</v>
      </c>
      <c r="F379" t="s">
        <v>4549</v>
      </c>
      <c r="G379" t="s">
        <v>4573</v>
      </c>
      <c r="H379" t="s">
        <v>4585</v>
      </c>
      <c r="I379" t="s">
        <v>4598</v>
      </c>
      <c r="J379">
        <v>1</v>
      </c>
      <c r="K379">
        <v>3.21</v>
      </c>
      <c r="L379">
        <v>0.15</v>
      </c>
      <c r="M379">
        <v>6.23</v>
      </c>
      <c r="N379" t="s">
        <v>5481</v>
      </c>
      <c r="O379" t="s">
        <v>5473</v>
      </c>
      <c r="P379" t="s">
        <v>5477</v>
      </c>
      <c r="Q379" s="4">
        <v>2.7284999999999999</v>
      </c>
    </row>
    <row r="380" spans="1:17" x14ac:dyDescent="0.3">
      <c r="A380" t="s">
        <v>389</v>
      </c>
      <c r="B380" t="s">
        <v>1776</v>
      </c>
      <c r="C380" s="1">
        <v>45602</v>
      </c>
      <c r="D380" t="s">
        <v>2765</v>
      </c>
      <c r="E380" t="s">
        <v>3611</v>
      </c>
      <c r="F380" t="s">
        <v>4566</v>
      </c>
      <c r="G380" t="s">
        <v>4573</v>
      </c>
      <c r="H380" t="s">
        <v>4584</v>
      </c>
      <c r="I380" t="s">
        <v>4608</v>
      </c>
      <c r="J380">
        <v>1</v>
      </c>
      <c r="K380">
        <v>19.05</v>
      </c>
      <c r="L380">
        <v>0</v>
      </c>
      <c r="M380">
        <v>3.49</v>
      </c>
      <c r="N380" t="s">
        <v>5463</v>
      </c>
      <c r="O380" t="s">
        <v>5481</v>
      </c>
      <c r="P380" t="s">
        <v>5475</v>
      </c>
      <c r="Q380" s="4">
        <v>19.05</v>
      </c>
    </row>
    <row r="381" spans="1:17" x14ac:dyDescent="0.3">
      <c r="A381" t="s">
        <v>390</v>
      </c>
      <c r="B381" t="s">
        <v>1777</v>
      </c>
      <c r="C381" s="1">
        <v>46010</v>
      </c>
      <c r="D381" t="s">
        <v>2807</v>
      </c>
      <c r="E381" t="s">
        <v>3612</v>
      </c>
      <c r="F381" t="s">
        <v>4566</v>
      </c>
      <c r="G381" t="s">
        <v>4573</v>
      </c>
      <c r="H381" t="s">
        <v>4584</v>
      </c>
      <c r="I381" t="s">
        <v>4607</v>
      </c>
      <c r="J381">
        <v>2</v>
      </c>
      <c r="K381">
        <v>23.92</v>
      </c>
      <c r="L381">
        <v>0</v>
      </c>
      <c r="M381">
        <v>8.06</v>
      </c>
      <c r="N381" t="s">
        <v>5464</v>
      </c>
      <c r="O381" t="s">
        <v>5472</v>
      </c>
      <c r="P381" t="s">
        <v>5477</v>
      </c>
      <c r="Q381" s="4">
        <v>47.84</v>
      </c>
    </row>
    <row r="382" spans="1:17" x14ac:dyDescent="0.3">
      <c r="A382" t="s">
        <v>391</v>
      </c>
      <c r="B382" t="s">
        <v>1778</v>
      </c>
      <c r="C382" s="1">
        <v>45850</v>
      </c>
      <c r="D382" t="s">
        <v>2908</v>
      </c>
      <c r="E382" t="s">
        <v>3613</v>
      </c>
      <c r="F382" t="s">
        <v>4565</v>
      </c>
      <c r="G382" t="s">
        <v>4575</v>
      </c>
      <c r="H382" t="s">
        <v>4583</v>
      </c>
      <c r="I382" t="s">
        <v>4610</v>
      </c>
      <c r="J382">
        <v>1</v>
      </c>
      <c r="K382">
        <v>76.87</v>
      </c>
      <c r="L382">
        <v>0.05</v>
      </c>
      <c r="M382">
        <v>2.09</v>
      </c>
      <c r="N382" t="s">
        <v>5468</v>
      </c>
      <c r="O382" t="s">
        <v>5481</v>
      </c>
      <c r="P382" t="s">
        <v>5475</v>
      </c>
      <c r="Q382" s="4">
        <v>73.026499999999999</v>
      </c>
    </row>
    <row r="383" spans="1:17" x14ac:dyDescent="0.3">
      <c r="A383" t="s">
        <v>392</v>
      </c>
      <c r="B383" t="s">
        <v>1779</v>
      </c>
      <c r="C383" s="1">
        <v>45411</v>
      </c>
      <c r="D383" t="s">
        <v>3004</v>
      </c>
      <c r="E383" t="s">
        <v>3614</v>
      </c>
      <c r="F383" t="s">
        <v>4565</v>
      </c>
      <c r="G383" t="s">
        <v>5481</v>
      </c>
      <c r="H383" t="s">
        <v>4583</v>
      </c>
      <c r="I383" t="s">
        <v>4605</v>
      </c>
      <c r="J383">
        <v>10</v>
      </c>
      <c r="K383">
        <v>43.03</v>
      </c>
      <c r="L383">
        <v>0.05</v>
      </c>
      <c r="M383">
        <v>7.33</v>
      </c>
      <c r="N383" t="s">
        <v>5481</v>
      </c>
      <c r="O383" t="s">
        <v>5481</v>
      </c>
      <c r="P383" t="s">
        <v>5477</v>
      </c>
      <c r="Q383" s="4">
        <v>408.78499999999997</v>
      </c>
    </row>
    <row r="384" spans="1:17" x14ac:dyDescent="0.3">
      <c r="A384" t="s">
        <v>393</v>
      </c>
      <c r="B384" t="s">
        <v>1780</v>
      </c>
      <c r="C384" s="1">
        <v>45946</v>
      </c>
      <c r="D384" t="s">
        <v>2910</v>
      </c>
      <c r="E384" t="s">
        <v>3615</v>
      </c>
      <c r="F384" t="s">
        <v>4569</v>
      </c>
      <c r="G384" t="s">
        <v>4581</v>
      </c>
      <c r="H384" t="s">
        <v>4587</v>
      </c>
      <c r="I384" t="s">
        <v>4596</v>
      </c>
      <c r="J384">
        <v>10</v>
      </c>
      <c r="K384">
        <v>15.07</v>
      </c>
      <c r="L384">
        <v>0</v>
      </c>
      <c r="M384">
        <v>7.22</v>
      </c>
      <c r="N384" t="s">
        <v>5463</v>
      </c>
      <c r="O384" t="s">
        <v>5481</v>
      </c>
      <c r="P384" t="s">
        <v>5477</v>
      </c>
      <c r="Q384" s="4">
        <v>150.69999999999999</v>
      </c>
    </row>
    <row r="385" spans="1:17" x14ac:dyDescent="0.3">
      <c r="A385" t="s">
        <v>394</v>
      </c>
      <c r="B385" t="s">
        <v>1781</v>
      </c>
      <c r="C385" s="1">
        <v>45758</v>
      </c>
      <c r="D385" t="s">
        <v>2911</v>
      </c>
      <c r="E385" t="s">
        <v>3616</v>
      </c>
      <c r="F385" t="s">
        <v>4569</v>
      </c>
      <c r="G385" t="s">
        <v>4581</v>
      </c>
      <c r="H385" t="s">
        <v>4583</v>
      </c>
      <c r="I385" t="s">
        <v>4610</v>
      </c>
      <c r="J385">
        <v>2</v>
      </c>
      <c r="K385">
        <v>82.55</v>
      </c>
      <c r="L385">
        <v>0.05</v>
      </c>
      <c r="M385">
        <v>10.46</v>
      </c>
      <c r="N385" t="s">
        <v>5468</v>
      </c>
      <c r="O385" t="s">
        <v>5474</v>
      </c>
      <c r="P385" t="s">
        <v>5476</v>
      </c>
      <c r="Q385" s="4">
        <v>156.845</v>
      </c>
    </row>
    <row r="386" spans="1:17" x14ac:dyDescent="0.3">
      <c r="A386" t="s">
        <v>395</v>
      </c>
      <c r="B386" t="s">
        <v>1782</v>
      </c>
      <c r="C386" s="1">
        <v>45603</v>
      </c>
      <c r="D386" t="s">
        <v>2784</v>
      </c>
      <c r="E386" t="s">
        <v>3617</v>
      </c>
      <c r="F386" t="s">
        <v>4549</v>
      </c>
      <c r="G386" t="s">
        <v>4574</v>
      </c>
      <c r="H386" t="s">
        <v>4586</v>
      </c>
      <c r="I386" t="s">
        <v>4599</v>
      </c>
      <c r="J386">
        <v>1</v>
      </c>
      <c r="K386">
        <v>250.98</v>
      </c>
      <c r="L386">
        <v>0.05</v>
      </c>
      <c r="N386" t="s">
        <v>5481</v>
      </c>
      <c r="O386" t="s">
        <v>5469</v>
      </c>
      <c r="P386" t="s">
        <v>5477</v>
      </c>
      <c r="Q386" s="4">
        <v>238.43099999999998</v>
      </c>
    </row>
    <row r="387" spans="1:17" x14ac:dyDescent="0.3">
      <c r="A387" t="s">
        <v>396</v>
      </c>
      <c r="B387" t="s">
        <v>1783</v>
      </c>
      <c r="C387" s="1">
        <v>45597</v>
      </c>
      <c r="D387" t="s">
        <v>2863</v>
      </c>
      <c r="E387" t="s">
        <v>3618</v>
      </c>
      <c r="F387" t="s">
        <v>4549</v>
      </c>
      <c r="G387" t="s">
        <v>4573</v>
      </c>
      <c r="H387" t="s">
        <v>4584</v>
      </c>
      <c r="I387" t="s">
        <v>4603</v>
      </c>
      <c r="J387">
        <v>4</v>
      </c>
      <c r="K387">
        <v>9.85</v>
      </c>
      <c r="L387">
        <v>0.1</v>
      </c>
      <c r="M387">
        <v>7.87</v>
      </c>
      <c r="N387" t="s">
        <v>5462</v>
      </c>
      <c r="O387" t="s">
        <v>5474</v>
      </c>
      <c r="P387" t="s">
        <v>5477</v>
      </c>
      <c r="Q387" s="4">
        <v>35.46</v>
      </c>
    </row>
    <row r="388" spans="1:17" x14ac:dyDescent="0.3">
      <c r="A388" t="s">
        <v>397</v>
      </c>
      <c r="B388" t="s">
        <v>1784</v>
      </c>
      <c r="C388" s="1">
        <v>45800</v>
      </c>
      <c r="D388" t="s">
        <v>3013</v>
      </c>
      <c r="E388" t="s">
        <v>3619</v>
      </c>
      <c r="F388" t="s">
        <v>4569</v>
      </c>
      <c r="G388" t="s">
        <v>4572</v>
      </c>
      <c r="H388" t="s">
        <v>4584</v>
      </c>
      <c r="I388" t="s">
        <v>4603</v>
      </c>
      <c r="J388">
        <v>1</v>
      </c>
      <c r="K388">
        <v>9.69</v>
      </c>
      <c r="L388">
        <v>0.05</v>
      </c>
      <c r="M388">
        <v>5.53</v>
      </c>
      <c r="N388" t="s">
        <v>5462</v>
      </c>
      <c r="O388" t="s">
        <v>5470</v>
      </c>
      <c r="P388" t="s">
        <v>5477</v>
      </c>
      <c r="Q388" s="4">
        <v>9.2054999999999989</v>
      </c>
    </row>
    <row r="389" spans="1:17" x14ac:dyDescent="0.3">
      <c r="A389" t="s">
        <v>398</v>
      </c>
      <c r="B389" t="s">
        <v>1785</v>
      </c>
      <c r="C389" s="1">
        <v>45894</v>
      </c>
      <c r="D389" t="s">
        <v>2914</v>
      </c>
      <c r="E389" t="s">
        <v>3620</v>
      </c>
      <c r="F389" t="s">
        <v>4566</v>
      </c>
      <c r="G389" t="s">
        <v>4573</v>
      </c>
      <c r="H389" t="s">
        <v>4584</v>
      </c>
      <c r="I389" t="s">
        <v>4607</v>
      </c>
      <c r="J389">
        <v>3</v>
      </c>
      <c r="K389">
        <v>24.19</v>
      </c>
      <c r="L389">
        <v>0.1</v>
      </c>
      <c r="M389">
        <v>6.04</v>
      </c>
      <c r="N389" t="s">
        <v>5466</v>
      </c>
      <c r="O389" t="s">
        <v>5473</v>
      </c>
      <c r="P389" t="s">
        <v>5477</v>
      </c>
      <c r="Q389" s="4">
        <v>65.313000000000002</v>
      </c>
    </row>
    <row r="390" spans="1:17" x14ac:dyDescent="0.3">
      <c r="A390" t="s">
        <v>399</v>
      </c>
      <c r="B390" t="s">
        <v>1786</v>
      </c>
      <c r="C390" s="1">
        <v>45642</v>
      </c>
      <c r="D390" t="s">
        <v>2713</v>
      </c>
      <c r="E390" t="s">
        <v>3621</v>
      </c>
      <c r="F390" t="s">
        <v>4549</v>
      </c>
      <c r="G390" t="s">
        <v>4573</v>
      </c>
      <c r="H390" t="s">
        <v>4583</v>
      </c>
      <c r="I390" t="s">
        <v>4588</v>
      </c>
      <c r="J390">
        <v>2</v>
      </c>
      <c r="K390">
        <v>41.93</v>
      </c>
      <c r="L390">
        <v>0</v>
      </c>
      <c r="M390">
        <v>10.01</v>
      </c>
      <c r="N390" t="s">
        <v>5464</v>
      </c>
      <c r="O390" t="s">
        <v>5473</v>
      </c>
      <c r="P390" t="s">
        <v>5477</v>
      </c>
      <c r="Q390" s="4">
        <v>83.86</v>
      </c>
    </row>
    <row r="391" spans="1:17" x14ac:dyDescent="0.3">
      <c r="A391" t="s">
        <v>400</v>
      </c>
      <c r="B391" t="s">
        <v>1787</v>
      </c>
      <c r="C391" s="1">
        <v>45954</v>
      </c>
      <c r="D391" t="s">
        <v>2787</v>
      </c>
      <c r="E391" t="s">
        <v>3622</v>
      </c>
      <c r="F391" t="s">
        <v>4564</v>
      </c>
      <c r="G391" t="s">
        <v>4578</v>
      </c>
      <c r="H391" t="s">
        <v>4585</v>
      </c>
      <c r="I391" t="s">
        <v>4590</v>
      </c>
      <c r="J391">
        <v>3</v>
      </c>
      <c r="K391">
        <v>14.42</v>
      </c>
      <c r="L391">
        <v>0</v>
      </c>
      <c r="M391">
        <v>6.23</v>
      </c>
      <c r="N391" t="s">
        <v>5481</v>
      </c>
      <c r="O391" t="s">
        <v>5481</v>
      </c>
      <c r="P391" t="s">
        <v>5477</v>
      </c>
      <c r="Q391" s="4">
        <v>43.26</v>
      </c>
    </row>
    <row r="392" spans="1:17" x14ac:dyDescent="0.3">
      <c r="A392" t="s">
        <v>401</v>
      </c>
      <c r="B392" t="s">
        <v>1788</v>
      </c>
      <c r="C392" s="1">
        <v>45613</v>
      </c>
      <c r="D392" t="s">
        <v>2908</v>
      </c>
      <c r="E392" t="s">
        <v>3623</v>
      </c>
      <c r="F392" t="s">
        <v>4566</v>
      </c>
      <c r="G392" t="s">
        <v>4573</v>
      </c>
      <c r="H392" t="s">
        <v>4583</v>
      </c>
      <c r="I392" t="s">
        <v>4588</v>
      </c>
      <c r="J392">
        <v>1</v>
      </c>
      <c r="K392">
        <v>40.31</v>
      </c>
      <c r="L392">
        <v>0</v>
      </c>
      <c r="M392">
        <v>10.08</v>
      </c>
      <c r="N392" t="s">
        <v>5462</v>
      </c>
      <c r="O392" t="s">
        <v>5473</v>
      </c>
      <c r="P392" t="s">
        <v>5475</v>
      </c>
      <c r="Q392" s="4">
        <v>40.31</v>
      </c>
    </row>
    <row r="393" spans="1:17" x14ac:dyDescent="0.3">
      <c r="A393" t="s">
        <v>402</v>
      </c>
      <c r="B393" t="s">
        <v>1789</v>
      </c>
      <c r="C393" s="1">
        <v>45910</v>
      </c>
      <c r="D393" t="s">
        <v>2915</v>
      </c>
      <c r="E393" t="s">
        <v>3624</v>
      </c>
      <c r="F393" t="s">
        <v>4565</v>
      </c>
      <c r="G393" t="s">
        <v>5481</v>
      </c>
      <c r="H393" t="s">
        <v>4586</v>
      </c>
      <c r="I393" t="s">
        <v>4599</v>
      </c>
      <c r="J393">
        <v>1</v>
      </c>
      <c r="K393">
        <v>242.75</v>
      </c>
      <c r="L393">
        <v>0.05</v>
      </c>
      <c r="M393">
        <v>3.89</v>
      </c>
      <c r="N393" t="s">
        <v>5464</v>
      </c>
      <c r="O393" t="s">
        <v>5481</v>
      </c>
      <c r="P393" t="s">
        <v>5479</v>
      </c>
      <c r="Q393" s="4">
        <v>230.61249999999998</v>
      </c>
    </row>
    <row r="394" spans="1:17" x14ac:dyDescent="0.3">
      <c r="C394" s="1"/>
      <c r="E394" t="s">
        <v>5481</v>
      </c>
      <c r="G394" t="s">
        <v>5481</v>
      </c>
      <c r="H394" t="s">
        <v>5481</v>
      </c>
      <c r="L394">
        <v>0</v>
      </c>
      <c r="N394" t="s">
        <v>5481</v>
      </c>
      <c r="O394" t="s">
        <v>5481</v>
      </c>
    </row>
    <row r="395" spans="1:17" x14ac:dyDescent="0.3">
      <c r="A395" t="s">
        <v>403</v>
      </c>
      <c r="B395" t="s">
        <v>1790</v>
      </c>
      <c r="C395" s="1">
        <v>45338</v>
      </c>
      <c r="D395" t="s">
        <v>2916</v>
      </c>
      <c r="E395" t="s">
        <v>3625</v>
      </c>
      <c r="F395" t="s">
        <v>4564</v>
      </c>
      <c r="G395" t="s">
        <v>4578</v>
      </c>
      <c r="H395" t="s">
        <v>4586</v>
      </c>
      <c r="I395" t="s">
        <v>4599</v>
      </c>
      <c r="J395">
        <v>3</v>
      </c>
      <c r="K395">
        <v>253.84</v>
      </c>
      <c r="L395">
        <v>0.05</v>
      </c>
      <c r="M395">
        <v>10.17</v>
      </c>
      <c r="N395" t="s">
        <v>5462</v>
      </c>
      <c r="O395" t="s">
        <v>5469</v>
      </c>
      <c r="P395" t="s">
        <v>5476</v>
      </c>
      <c r="Q395" s="4">
        <v>723.44399999999996</v>
      </c>
    </row>
    <row r="396" spans="1:17" x14ac:dyDescent="0.3">
      <c r="A396" t="s">
        <v>404</v>
      </c>
      <c r="B396" t="s">
        <v>1791</v>
      </c>
      <c r="C396" s="1">
        <v>45336</v>
      </c>
      <c r="D396" t="s">
        <v>2691</v>
      </c>
      <c r="E396" t="s">
        <v>3626</v>
      </c>
      <c r="F396" t="s">
        <v>4569</v>
      </c>
      <c r="G396" t="s">
        <v>4580</v>
      </c>
      <c r="H396" t="s">
        <v>4584</v>
      </c>
      <c r="I396" t="s">
        <v>4601</v>
      </c>
      <c r="J396">
        <v>4</v>
      </c>
      <c r="K396">
        <v>192.92</v>
      </c>
      <c r="L396">
        <v>0.05</v>
      </c>
      <c r="M396">
        <v>11.51</v>
      </c>
      <c r="N396" t="s">
        <v>5481</v>
      </c>
      <c r="O396" t="s">
        <v>5469</v>
      </c>
      <c r="P396" t="s">
        <v>5477</v>
      </c>
      <c r="Q396" s="4">
        <v>733.09599999999989</v>
      </c>
    </row>
    <row r="397" spans="1:17" x14ac:dyDescent="0.3">
      <c r="A397" t="s">
        <v>405</v>
      </c>
      <c r="B397" t="s">
        <v>1792</v>
      </c>
      <c r="C397" s="1">
        <v>45530</v>
      </c>
      <c r="D397" t="s">
        <v>2731</v>
      </c>
      <c r="E397" t="s">
        <v>3627</v>
      </c>
      <c r="F397" t="s">
        <v>4549</v>
      </c>
      <c r="G397" t="s">
        <v>4573</v>
      </c>
      <c r="H397" t="s">
        <v>4587</v>
      </c>
      <c r="I397" t="s">
        <v>4600</v>
      </c>
      <c r="J397">
        <v>2</v>
      </c>
      <c r="K397">
        <v>12.89</v>
      </c>
      <c r="L397">
        <v>0</v>
      </c>
      <c r="M397">
        <v>1.55</v>
      </c>
      <c r="N397" t="s">
        <v>5468</v>
      </c>
      <c r="O397" t="s">
        <v>5470</v>
      </c>
      <c r="P397" t="s">
        <v>5477</v>
      </c>
      <c r="Q397" s="4">
        <v>25.78</v>
      </c>
    </row>
    <row r="398" spans="1:17" x14ac:dyDescent="0.3">
      <c r="A398" t="s">
        <v>406</v>
      </c>
      <c r="B398" t="s">
        <v>1793</v>
      </c>
      <c r="C398" s="1">
        <v>45306</v>
      </c>
      <c r="D398" t="s">
        <v>2779</v>
      </c>
      <c r="E398" t="s">
        <v>3628</v>
      </c>
      <c r="F398" t="s">
        <v>4566</v>
      </c>
      <c r="G398" t="s">
        <v>4573</v>
      </c>
      <c r="H398" t="s">
        <v>4585</v>
      </c>
      <c r="I398" t="s">
        <v>4592</v>
      </c>
      <c r="J398">
        <v>4</v>
      </c>
      <c r="K398">
        <v>6.65</v>
      </c>
      <c r="L398">
        <v>0</v>
      </c>
      <c r="M398">
        <v>6.71</v>
      </c>
      <c r="N398" t="s">
        <v>5464</v>
      </c>
      <c r="O398" t="s">
        <v>5471</v>
      </c>
      <c r="P398" t="s">
        <v>5477</v>
      </c>
      <c r="Q398" s="4">
        <v>26.6</v>
      </c>
    </row>
    <row r="399" spans="1:17" x14ac:dyDescent="0.3">
      <c r="A399" t="s">
        <v>407</v>
      </c>
      <c r="B399" t="s">
        <v>1469</v>
      </c>
      <c r="C399" s="1">
        <v>45506</v>
      </c>
      <c r="D399" t="s">
        <v>2673</v>
      </c>
      <c r="E399" t="s">
        <v>3629</v>
      </c>
      <c r="F399" t="s">
        <v>4549</v>
      </c>
      <c r="G399" t="s">
        <v>4573</v>
      </c>
      <c r="H399" t="s">
        <v>4585</v>
      </c>
      <c r="I399" t="s">
        <v>4602</v>
      </c>
      <c r="J399">
        <v>2</v>
      </c>
      <c r="K399">
        <v>4.2</v>
      </c>
      <c r="L399">
        <v>0</v>
      </c>
      <c r="M399">
        <v>9.18</v>
      </c>
      <c r="N399" t="s">
        <v>5466</v>
      </c>
      <c r="O399" t="s">
        <v>5481</v>
      </c>
      <c r="P399" t="s">
        <v>5479</v>
      </c>
      <c r="Q399" s="4">
        <v>8.4</v>
      </c>
    </row>
    <row r="400" spans="1:17" x14ac:dyDescent="0.3">
      <c r="A400" t="s">
        <v>408</v>
      </c>
      <c r="B400" t="s">
        <v>1794</v>
      </c>
      <c r="C400" s="1">
        <v>45671</v>
      </c>
      <c r="D400" t="s">
        <v>2734</v>
      </c>
      <c r="E400" t="s">
        <v>3630</v>
      </c>
      <c r="F400" t="s">
        <v>4549</v>
      </c>
      <c r="G400" t="s">
        <v>4573</v>
      </c>
      <c r="H400" t="s">
        <v>5481</v>
      </c>
      <c r="I400" t="s">
        <v>4597</v>
      </c>
      <c r="J400">
        <v>2</v>
      </c>
      <c r="K400">
        <v>86.13</v>
      </c>
      <c r="L400">
        <v>0.15</v>
      </c>
      <c r="M400">
        <v>4.01</v>
      </c>
      <c r="N400" t="s">
        <v>5468</v>
      </c>
      <c r="O400" t="s">
        <v>5474</v>
      </c>
      <c r="P400" t="s">
        <v>5475</v>
      </c>
      <c r="Q400" s="4">
        <v>146.42099999999999</v>
      </c>
    </row>
    <row r="401" spans="1:17" x14ac:dyDescent="0.3">
      <c r="A401" t="s">
        <v>409</v>
      </c>
      <c r="B401" t="s">
        <v>1795</v>
      </c>
      <c r="C401" s="1">
        <v>45351</v>
      </c>
      <c r="D401" t="s">
        <v>2918</v>
      </c>
      <c r="E401" t="s">
        <v>3631</v>
      </c>
      <c r="F401" t="s">
        <v>4549</v>
      </c>
      <c r="G401" t="s">
        <v>4573</v>
      </c>
      <c r="H401" t="s">
        <v>4586</v>
      </c>
      <c r="I401" t="s">
        <v>4599</v>
      </c>
      <c r="J401">
        <v>10</v>
      </c>
      <c r="K401">
        <v>260.23</v>
      </c>
      <c r="L401">
        <v>0.15</v>
      </c>
      <c r="M401">
        <v>13.29</v>
      </c>
      <c r="N401" t="s">
        <v>5466</v>
      </c>
      <c r="O401" t="s">
        <v>5474</v>
      </c>
      <c r="P401" t="s">
        <v>5477</v>
      </c>
      <c r="Q401" s="4">
        <v>2211.9549999999999</v>
      </c>
    </row>
    <row r="402" spans="1:17" x14ac:dyDescent="0.3">
      <c r="A402" t="s">
        <v>410</v>
      </c>
      <c r="B402" t="s">
        <v>1796</v>
      </c>
      <c r="C402" s="1">
        <v>45375</v>
      </c>
      <c r="D402" t="s">
        <v>2890</v>
      </c>
      <c r="E402" t="s">
        <v>3632</v>
      </c>
      <c r="F402" t="s">
        <v>4549</v>
      </c>
      <c r="G402" t="s">
        <v>4573</v>
      </c>
      <c r="H402" t="s">
        <v>4584</v>
      </c>
      <c r="I402" t="s">
        <v>4595</v>
      </c>
      <c r="J402">
        <v>1</v>
      </c>
      <c r="K402">
        <v>42.03</v>
      </c>
      <c r="L402">
        <v>0.15</v>
      </c>
      <c r="M402">
        <v>8.16</v>
      </c>
      <c r="N402" t="s">
        <v>5466</v>
      </c>
      <c r="O402" t="s">
        <v>5470</v>
      </c>
      <c r="P402" t="s">
        <v>5477</v>
      </c>
      <c r="Q402" s="4">
        <v>35.725499999999997</v>
      </c>
    </row>
    <row r="403" spans="1:17" x14ac:dyDescent="0.3">
      <c r="A403" t="s">
        <v>411</v>
      </c>
      <c r="B403" t="s">
        <v>1797</v>
      </c>
      <c r="C403" s="1">
        <v>45939</v>
      </c>
      <c r="D403" t="s">
        <v>2919</v>
      </c>
      <c r="E403" t="s">
        <v>3633</v>
      </c>
      <c r="F403" t="s">
        <v>4549</v>
      </c>
      <c r="G403" t="s">
        <v>4573</v>
      </c>
      <c r="H403" t="s">
        <v>4585</v>
      </c>
      <c r="I403" t="s">
        <v>4602</v>
      </c>
      <c r="J403">
        <v>1</v>
      </c>
      <c r="K403">
        <v>4.1399999999999997</v>
      </c>
      <c r="L403">
        <v>0.1</v>
      </c>
      <c r="M403">
        <v>2.0299999999999998</v>
      </c>
      <c r="N403" t="s">
        <v>5463</v>
      </c>
      <c r="O403" t="s">
        <v>5471</v>
      </c>
      <c r="P403" t="s">
        <v>5477</v>
      </c>
      <c r="Q403" s="4">
        <v>3.726</v>
      </c>
    </row>
    <row r="404" spans="1:17" x14ac:dyDescent="0.3">
      <c r="A404" t="s">
        <v>412</v>
      </c>
      <c r="B404" t="s">
        <v>1798</v>
      </c>
      <c r="C404" s="1">
        <v>45762</v>
      </c>
      <c r="D404" t="s">
        <v>2923</v>
      </c>
      <c r="E404" t="s">
        <v>3634</v>
      </c>
      <c r="F404" t="s">
        <v>4569</v>
      </c>
      <c r="G404" t="s">
        <v>4581</v>
      </c>
      <c r="H404" t="s">
        <v>4583</v>
      </c>
      <c r="I404" t="s">
        <v>4610</v>
      </c>
      <c r="J404">
        <v>2</v>
      </c>
      <c r="K404">
        <v>81.459999999999994</v>
      </c>
      <c r="L404">
        <v>0.1</v>
      </c>
      <c r="M404">
        <v>14.43</v>
      </c>
      <c r="N404" t="s">
        <v>5463</v>
      </c>
      <c r="O404" t="s">
        <v>5473</v>
      </c>
      <c r="P404" t="s">
        <v>5476</v>
      </c>
      <c r="Q404" s="4">
        <v>146.62799999999999</v>
      </c>
    </row>
    <row r="405" spans="1:17" x14ac:dyDescent="0.3">
      <c r="A405" t="s">
        <v>413</v>
      </c>
      <c r="B405" t="s">
        <v>1799</v>
      </c>
      <c r="C405" s="1">
        <v>46016</v>
      </c>
      <c r="D405" t="s">
        <v>2731</v>
      </c>
      <c r="E405" t="s">
        <v>3635</v>
      </c>
      <c r="F405" t="s">
        <v>4549</v>
      </c>
      <c r="G405" t="s">
        <v>4573</v>
      </c>
      <c r="H405" t="s">
        <v>4584</v>
      </c>
      <c r="I405" t="s">
        <v>4608</v>
      </c>
      <c r="J405">
        <v>4</v>
      </c>
      <c r="K405">
        <v>19.21</v>
      </c>
      <c r="L405">
        <v>0.15</v>
      </c>
      <c r="M405">
        <v>4.58</v>
      </c>
      <c r="N405" t="s">
        <v>5462</v>
      </c>
      <c r="O405" t="s">
        <v>5469</v>
      </c>
      <c r="P405" t="s">
        <v>5477</v>
      </c>
      <c r="Q405" s="4">
        <v>65.314000000000007</v>
      </c>
    </row>
    <row r="406" spans="1:17" x14ac:dyDescent="0.3">
      <c r="A406" t="s">
        <v>414</v>
      </c>
      <c r="B406" t="s">
        <v>1800</v>
      </c>
      <c r="C406" s="1">
        <v>45766</v>
      </c>
      <c r="D406" t="s">
        <v>2921</v>
      </c>
      <c r="E406" t="s">
        <v>3636</v>
      </c>
      <c r="F406" t="s">
        <v>4569</v>
      </c>
      <c r="G406" t="s">
        <v>4580</v>
      </c>
      <c r="H406" t="s">
        <v>4587</v>
      </c>
      <c r="I406" t="s">
        <v>4600</v>
      </c>
      <c r="J406">
        <v>4</v>
      </c>
      <c r="K406">
        <v>13.34</v>
      </c>
      <c r="L406">
        <v>0.05</v>
      </c>
      <c r="M406">
        <v>10.36</v>
      </c>
      <c r="N406" t="s">
        <v>5468</v>
      </c>
      <c r="O406" t="s">
        <v>5470</v>
      </c>
      <c r="P406" t="s">
        <v>5477</v>
      </c>
      <c r="Q406" s="4">
        <v>50.692</v>
      </c>
    </row>
    <row r="407" spans="1:17" x14ac:dyDescent="0.3">
      <c r="A407" t="s">
        <v>415</v>
      </c>
      <c r="B407" t="s">
        <v>1801</v>
      </c>
      <c r="C407" s="1">
        <v>45940</v>
      </c>
      <c r="D407" t="s">
        <v>2631</v>
      </c>
      <c r="E407" t="s">
        <v>3637</v>
      </c>
      <c r="F407" t="s">
        <v>4564</v>
      </c>
      <c r="G407" t="s">
        <v>4578</v>
      </c>
      <c r="H407" t="s">
        <v>4587</v>
      </c>
      <c r="I407" t="s">
        <v>4594</v>
      </c>
      <c r="J407">
        <v>2</v>
      </c>
      <c r="K407">
        <v>61.23</v>
      </c>
      <c r="L407">
        <v>0</v>
      </c>
      <c r="N407" t="s">
        <v>5481</v>
      </c>
      <c r="O407" t="s">
        <v>5473</v>
      </c>
      <c r="P407" t="s">
        <v>5479</v>
      </c>
      <c r="Q407" s="4">
        <v>122.46</v>
      </c>
    </row>
    <row r="408" spans="1:17" x14ac:dyDescent="0.3">
      <c r="A408" t="s">
        <v>416</v>
      </c>
      <c r="B408" t="s">
        <v>1802</v>
      </c>
      <c r="C408" s="1">
        <v>45799</v>
      </c>
      <c r="D408" t="s">
        <v>2622</v>
      </c>
      <c r="E408" t="s">
        <v>3638</v>
      </c>
      <c r="F408" t="s">
        <v>4569</v>
      </c>
      <c r="G408" t="s">
        <v>4572</v>
      </c>
      <c r="H408" t="s">
        <v>4583</v>
      </c>
      <c r="I408" t="s">
        <v>4605</v>
      </c>
      <c r="J408">
        <v>10</v>
      </c>
      <c r="K408">
        <v>45.48</v>
      </c>
      <c r="L408">
        <v>0.05</v>
      </c>
      <c r="M408">
        <v>1.7</v>
      </c>
      <c r="N408" t="s">
        <v>5463</v>
      </c>
      <c r="O408" t="s">
        <v>5481</v>
      </c>
      <c r="P408" t="s">
        <v>5477</v>
      </c>
      <c r="Q408" s="4">
        <v>432.05999999999995</v>
      </c>
    </row>
    <row r="409" spans="1:17" x14ac:dyDescent="0.3">
      <c r="A409" t="s">
        <v>417</v>
      </c>
      <c r="B409" t="s">
        <v>1803</v>
      </c>
      <c r="C409" s="1">
        <v>45740</v>
      </c>
      <c r="D409" t="s">
        <v>2923</v>
      </c>
      <c r="E409" t="s">
        <v>5481</v>
      </c>
      <c r="F409" t="s">
        <v>4565</v>
      </c>
      <c r="G409" t="s">
        <v>4576</v>
      </c>
      <c r="H409" t="s">
        <v>4583</v>
      </c>
      <c r="I409" t="s">
        <v>4610</v>
      </c>
      <c r="J409">
        <v>2</v>
      </c>
      <c r="K409">
        <v>76.78</v>
      </c>
      <c r="L409">
        <v>0.05</v>
      </c>
      <c r="M409">
        <v>2.48</v>
      </c>
      <c r="N409" t="s">
        <v>5466</v>
      </c>
      <c r="O409" t="s">
        <v>5469</v>
      </c>
      <c r="P409" t="s">
        <v>5477</v>
      </c>
      <c r="Q409" s="4">
        <v>145.88200000000001</v>
      </c>
    </row>
    <row r="410" spans="1:17" x14ac:dyDescent="0.3">
      <c r="A410" t="s">
        <v>418</v>
      </c>
      <c r="B410" t="s">
        <v>1804</v>
      </c>
      <c r="C410" s="1">
        <v>45444</v>
      </c>
      <c r="D410" t="s">
        <v>2924</v>
      </c>
      <c r="E410" t="s">
        <v>5481</v>
      </c>
      <c r="F410" t="s">
        <v>4549</v>
      </c>
      <c r="G410" t="s">
        <v>4574</v>
      </c>
      <c r="H410" t="s">
        <v>4583</v>
      </c>
      <c r="I410" t="s">
        <v>4610</v>
      </c>
      <c r="J410">
        <v>1</v>
      </c>
      <c r="K410">
        <v>80.13</v>
      </c>
      <c r="L410">
        <v>0.15</v>
      </c>
      <c r="M410">
        <v>7.05</v>
      </c>
      <c r="N410" t="s">
        <v>5464</v>
      </c>
      <c r="O410" t="s">
        <v>5471</v>
      </c>
      <c r="P410" t="s">
        <v>5477</v>
      </c>
      <c r="Q410" s="4">
        <v>68.110499999999988</v>
      </c>
    </row>
    <row r="411" spans="1:17" x14ac:dyDescent="0.3">
      <c r="A411" t="s">
        <v>419</v>
      </c>
      <c r="B411" t="s">
        <v>1515</v>
      </c>
      <c r="C411" s="1">
        <v>45658</v>
      </c>
      <c r="D411" t="s">
        <v>2925</v>
      </c>
      <c r="E411" t="s">
        <v>3639</v>
      </c>
      <c r="F411" t="s">
        <v>4565</v>
      </c>
      <c r="G411" t="s">
        <v>4575</v>
      </c>
      <c r="H411" t="s">
        <v>4585</v>
      </c>
      <c r="I411" t="s">
        <v>4590</v>
      </c>
      <c r="J411">
        <v>10</v>
      </c>
      <c r="K411">
        <v>13.84</v>
      </c>
      <c r="L411">
        <v>0.05</v>
      </c>
      <c r="M411">
        <v>6.41</v>
      </c>
      <c r="N411" t="s">
        <v>5466</v>
      </c>
      <c r="O411" t="s">
        <v>5474</v>
      </c>
      <c r="P411" t="s">
        <v>5477</v>
      </c>
      <c r="Q411" s="4">
        <v>131.47999999999999</v>
      </c>
    </row>
    <row r="412" spans="1:17" x14ac:dyDescent="0.3">
      <c r="A412" t="s">
        <v>420</v>
      </c>
      <c r="B412" t="s">
        <v>1805</v>
      </c>
      <c r="C412" s="1">
        <v>45825</v>
      </c>
      <c r="D412" t="s">
        <v>2826</v>
      </c>
      <c r="E412" t="s">
        <v>3640</v>
      </c>
      <c r="F412" t="s">
        <v>4566</v>
      </c>
      <c r="G412" t="s">
        <v>4577</v>
      </c>
      <c r="H412" t="s">
        <v>4584</v>
      </c>
      <c r="I412" t="s">
        <v>4607</v>
      </c>
      <c r="J412">
        <v>1</v>
      </c>
      <c r="K412">
        <v>25.09</v>
      </c>
      <c r="L412">
        <v>0.05</v>
      </c>
      <c r="M412">
        <v>13.77</v>
      </c>
      <c r="N412" t="s">
        <v>5466</v>
      </c>
      <c r="O412" t="s">
        <v>5473</v>
      </c>
      <c r="P412" t="s">
        <v>5476</v>
      </c>
      <c r="Q412" s="4">
        <v>23.8355</v>
      </c>
    </row>
    <row r="413" spans="1:17" x14ac:dyDescent="0.3">
      <c r="A413" t="s">
        <v>421</v>
      </c>
      <c r="B413" t="s">
        <v>1806</v>
      </c>
      <c r="C413" s="1">
        <v>45886</v>
      </c>
      <c r="D413" t="s">
        <v>2650</v>
      </c>
      <c r="E413" t="s">
        <v>3641</v>
      </c>
      <c r="F413" t="s">
        <v>4566</v>
      </c>
      <c r="G413" t="s">
        <v>4582</v>
      </c>
      <c r="H413" t="s">
        <v>4585</v>
      </c>
      <c r="I413" t="s">
        <v>4602</v>
      </c>
      <c r="J413">
        <v>1</v>
      </c>
      <c r="K413">
        <v>4.04</v>
      </c>
      <c r="L413">
        <v>0.05</v>
      </c>
      <c r="M413">
        <v>13.54</v>
      </c>
      <c r="N413" t="s">
        <v>5468</v>
      </c>
      <c r="O413" t="s">
        <v>5471</v>
      </c>
      <c r="P413" t="s">
        <v>5479</v>
      </c>
      <c r="Q413" s="4">
        <v>3.8379999999999996</v>
      </c>
    </row>
    <row r="414" spans="1:17" x14ac:dyDescent="0.3">
      <c r="A414" t="s">
        <v>422</v>
      </c>
      <c r="B414" t="s">
        <v>1807</v>
      </c>
      <c r="C414" s="1">
        <v>45379</v>
      </c>
      <c r="D414" t="s">
        <v>2749</v>
      </c>
      <c r="E414" t="s">
        <v>3642</v>
      </c>
      <c r="F414" t="s">
        <v>4549</v>
      </c>
      <c r="G414" t="s">
        <v>4574</v>
      </c>
      <c r="H414" t="s">
        <v>4585</v>
      </c>
      <c r="I414" t="s">
        <v>4592</v>
      </c>
      <c r="J414">
        <v>5</v>
      </c>
      <c r="K414">
        <v>6.56</v>
      </c>
      <c r="L414">
        <v>0</v>
      </c>
      <c r="M414">
        <v>9.36</v>
      </c>
      <c r="N414" t="s">
        <v>5468</v>
      </c>
      <c r="O414" t="s">
        <v>5474</v>
      </c>
      <c r="P414" t="s">
        <v>5477</v>
      </c>
      <c r="Q414" s="4">
        <v>32.799999999999997</v>
      </c>
    </row>
    <row r="415" spans="1:17" x14ac:dyDescent="0.3">
      <c r="A415" t="s">
        <v>423</v>
      </c>
      <c r="B415" t="s">
        <v>1808</v>
      </c>
      <c r="C415" s="1">
        <v>45796</v>
      </c>
      <c r="D415" t="s">
        <v>2926</v>
      </c>
      <c r="E415" t="s">
        <v>3643</v>
      </c>
      <c r="F415" t="s">
        <v>4569</v>
      </c>
      <c r="G415" t="s">
        <v>4572</v>
      </c>
      <c r="H415" t="s">
        <v>4586</v>
      </c>
      <c r="I415" t="s">
        <v>4609</v>
      </c>
      <c r="J415">
        <v>2</v>
      </c>
      <c r="K415">
        <v>124.95</v>
      </c>
      <c r="L415">
        <v>0.05</v>
      </c>
      <c r="M415">
        <v>13.16</v>
      </c>
      <c r="N415" t="s">
        <v>5465</v>
      </c>
      <c r="O415" t="s">
        <v>5469</v>
      </c>
      <c r="P415" t="s">
        <v>5477</v>
      </c>
      <c r="Q415" s="4">
        <v>237.405</v>
      </c>
    </row>
    <row r="416" spans="1:17" x14ac:dyDescent="0.3">
      <c r="A416" t="s">
        <v>424</v>
      </c>
      <c r="B416" t="s">
        <v>1809</v>
      </c>
      <c r="C416" s="1">
        <v>46005</v>
      </c>
      <c r="D416" t="s">
        <v>2908</v>
      </c>
      <c r="E416" t="s">
        <v>3644</v>
      </c>
      <c r="F416" t="s">
        <v>4549</v>
      </c>
      <c r="G416" t="s">
        <v>4573</v>
      </c>
      <c r="H416" t="s">
        <v>4586</v>
      </c>
      <c r="I416" t="s">
        <v>4599</v>
      </c>
      <c r="J416">
        <v>10</v>
      </c>
      <c r="K416">
        <v>238.12</v>
      </c>
      <c r="L416">
        <v>0.15</v>
      </c>
      <c r="M416">
        <v>6.87</v>
      </c>
      <c r="N416" t="s">
        <v>5464</v>
      </c>
      <c r="O416" t="s">
        <v>5481</v>
      </c>
      <c r="P416" t="s">
        <v>5479</v>
      </c>
      <c r="Q416" s="4">
        <v>2024.0199999999998</v>
      </c>
    </row>
    <row r="417" spans="1:17" x14ac:dyDescent="0.3">
      <c r="A417" t="s">
        <v>425</v>
      </c>
      <c r="B417" t="s">
        <v>1810</v>
      </c>
      <c r="C417" s="1">
        <v>45531</v>
      </c>
      <c r="D417" t="s">
        <v>2859</v>
      </c>
      <c r="E417" t="s">
        <v>3645</v>
      </c>
      <c r="F417" t="s">
        <v>4566</v>
      </c>
      <c r="G417" t="s">
        <v>4582</v>
      </c>
      <c r="H417" t="s">
        <v>4583</v>
      </c>
      <c r="I417" t="s">
        <v>4604</v>
      </c>
      <c r="J417">
        <v>3</v>
      </c>
      <c r="K417">
        <v>23.59</v>
      </c>
      <c r="L417">
        <v>0</v>
      </c>
      <c r="M417">
        <v>13.15</v>
      </c>
      <c r="N417" t="s">
        <v>5467</v>
      </c>
      <c r="O417" t="s">
        <v>5472</v>
      </c>
      <c r="P417" t="s">
        <v>5477</v>
      </c>
      <c r="Q417" s="4">
        <v>70.77</v>
      </c>
    </row>
    <row r="418" spans="1:17" x14ac:dyDescent="0.3">
      <c r="A418" t="s">
        <v>426</v>
      </c>
      <c r="B418" t="s">
        <v>1811</v>
      </c>
      <c r="C418" s="1">
        <v>45426</v>
      </c>
      <c r="D418" t="s">
        <v>2835</v>
      </c>
      <c r="E418" t="s">
        <v>3646</v>
      </c>
      <c r="F418" t="s">
        <v>4569</v>
      </c>
      <c r="G418" t="s">
        <v>4572</v>
      </c>
      <c r="H418" t="s">
        <v>4584</v>
      </c>
      <c r="I418" t="s">
        <v>4607</v>
      </c>
      <c r="J418">
        <v>1</v>
      </c>
      <c r="K418">
        <v>25.88</v>
      </c>
      <c r="L418">
        <v>0.05</v>
      </c>
      <c r="M418">
        <v>3.54</v>
      </c>
      <c r="N418" t="s">
        <v>5462</v>
      </c>
      <c r="O418" t="s">
        <v>5471</v>
      </c>
      <c r="P418" t="s">
        <v>5475</v>
      </c>
      <c r="Q418" s="4">
        <v>24.585999999999999</v>
      </c>
    </row>
    <row r="419" spans="1:17" x14ac:dyDescent="0.3">
      <c r="A419" t="s">
        <v>427</v>
      </c>
      <c r="B419" t="s">
        <v>1812</v>
      </c>
      <c r="C419" s="1">
        <v>45408</v>
      </c>
      <c r="D419" t="s">
        <v>2756</v>
      </c>
      <c r="E419" t="s">
        <v>3647</v>
      </c>
      <c r="F419" t="s">
        <v>4566</v>
      </c>
      <c r="G419" t="s">
        <v>4573</v>
      </c>
      <c r="H419" t="s">
        <v>4587</v>
      </c>
      <c r="I419" t="s">
        <v>4600</v>
      </c>
      <c r="J419">
        <v>4</v>
      </c>
      <c r="K419">
        <v>13.03</v>
      </c>
      <c r="L419">
        <v>0</v>
      </c>
      <c r="M419">
        <v>1.46</v>
      </c>
      <c r="N419" t="s">
        <v>5467</v>
      </c>
      <c r="O419" t="s">
        <v>5474</v>
      </c>
      <c r="P419" t="s">
        <v>5476</v>
      </c>
      <c r="Q419" s="4">
        <v>52.12</v>
      </c>
    </row>
    <row r="420" spans="1:17" x14ac:dyDescent="0.3">
      <c r="A420" t="s">
        <v>428</v>
      </c>
      <c r="B420" t="s">
        <v>1813</v>
      </c>
      <c r="C420" s="1">
        <v>45786</v>
      </c>
      <c r="D420" t="s">
        <v>2809</v>
      </c>
      <c r="E420" t="s">
        <v>3648</v>
      </c>
      <c r="F420" t="s">
        <v>4564</v>
      </c>
      <c r="G420" t="s">
        <v>4578</v>
      </c>
      <c r="H420" t="s">
        <v>4583</v>
      </c>
      <c r="I420" t="s">
        <v>4610</v>
      </c>
      <c r="J420">
        <v>4</v>
      </c>
      <c r="K420">
        <v>78.08</v>
      </c>
      <c r="L420">
        <v>0.15</v>
      </c>
      <c r="M420">
        <v>7.26</v>
      </c>
      <c r="N420" t="s">
        <v>5462</v>
      </c>
      <c r="O420" t="s">
        <v>5470</v>
      </c>
      <c r="P420" t="s">
        <v>5475</v>
      </c>
      <c r="Q420" s="4">
        <v>265.47199999999998</v>
      </c>
    </row>
    <row r="421" spans="1:17" x14ac:dyDescent="0.3">
      <c r="A421" t="s">
        <v>429</v>
      </c>
      <c r="B421" t="s">
        <v>1639</v>
      </c>
      <c r="C421" s="1">
        <v>45808</v>
      </c>
      <c r="D421" t="s">
        <v>2778</v>
      </c>
      <c r="E421" t="s">
        <v>3649</v>
      </c>
      <c r="F421" t="s">
        <v>4549</v>
      </c>
      <c r="G421" t="s">
        <v>4574</v>
      </c>
      <c r="H421" t="s">
        <v>4584</v>
      </c>
      <c r="I421" t="s">
        <v>4607</v>
      </c>
      <c r="J421">
        <v>4</v>
      </c>
      <c r="K421">
        <v>24.82</v>
      </c>
      <c r="L421">
        <v>0</v>
      </c>
      <c r="M421">
        <v>5.88</v>
      </c>
      <c r="N421" t="s">
        <v>5462</v>
      </c>
      <c r="O421" t="s">
        <v>5481</v>
      </c>
      <c r="P421" t="s">
        <v>5477</v>
      </c>
      <c r="Q421" s="4">
        <v>99.28</v>
      </c>
    </row>
    <row r="422" spans="1:17" x14ac:dyDescent="0.3">
      <c r="A422" t="s">
        <v>430</v>
      </c>
      <c r="B422" t="s">
        <v>1814</v>
      </c>
      <c r="C422" s="1">
        <v>45389</v>
      </c>
      <c r="D422" t="s">
        <v>2719</v>
      </c>
      <c r="E422" t="s">
        <v>3650</v>
      </c>
      <c r="F422" t="s">
        <v>4569</v>
      </c>
      <c r="G422" t="s">
        <v>4580</v>
      </c>
      <c r="H422" t="s">
        <v>4586</v>
      </c>
      <c r="I422" t="s">
        <v>4609</v>
      </c>
      <c r="J422">
        <v>4</v>
      </c>
      <c r="K422">
        <v>123.81</v>
      </c>
      <c r="L422">
        <v>0</v>
      </c>
      <c r="M422">
        <v>12.98</v>
      </c>
      <c r="N422" t="s">
        <v>5462</v>
      </c>
      <c r="O422" t="s">
        <v>5470</v>
      </c>
      <c r="P422" t="s">
        <v>5477</v>
      </c>
      <c r="Q422" s="4">
        <v>495.24</v>
      </c>
    </row>
    <row r="423" spans="1:17" x14ac:dyDescent="0.3">
      <c r="A423" t="s">
        <v>431</v>
      </c>
      <c r="B423" t="s">
        <v>1815</v>
      </c>
      <c r="C423" s="1">
        <v>45765</v>
      </c>
      <c r="D423" t="s">
        <v>2927</v>
      </c>
      <c r="E423" t="s">
        <v>3651</v>
      </c>
      <c r="F423" t="s">
        <v>4566</v>
      </c>
      <c r="G423" t="s">
        <v>4582</v>
      </c>
      <c r="H423" t="s">
        <v>4586</v>
      </c>
      <c r="I423" t="s">
        <v>4609</v>
      </c>
      <c r="J423">
        <v>1</v>
      </c>
      <c r="K423">
        <v>131.44999999999999</v>
      </c>
      <c r="L423">
        <v>0.05</v>
      </c>
      <c r="M423">
        <v>0</v>
      </c>
      <c r="N423" t="s">
        <v>5463</v>
      </c>
      <c r="O423" t="s">
        <v>5474</v>
      </c>
      <c r="P423" t="s">
        <v>5477</v>
      </c>
      <c r="Q423" s="4">
        <v>124.87749999999998</v>
      </c>
    </row>
    <row r="424" spans="1:17" x14ac:dyDescent="0.3">
      <c r="A424" t="s">
        <v>432</v>
      </c>
      <c r="B424" t="s">
        <v>1816</v>
      </c>
      <c r="C424" s="1">
        <v>45975</v>
      </c>
      <c r="D424" t="s">
        <v>2928</v>
      </c>
      <c r="E424" t="s">
        <v>5481</v>
      </c>
      <c r="F424" t="s">
        <v>4569</v>
      </c>
      <c r="G424" t="s">
        <v>4572</v>
      </c>
      <c r="H424" t="s">
        <v>4585</v>
      </c>
      <c r="I424" t="s">
        <v>4602</v>
      </c>
      <c r="J424">
        <v>10</v>
      </c>
      <c r="K424">
        <v>4.29</v>
      </c>
      <c r="L424">
        <v>0.1</v>
      </c>
      <c r="M424">
        <v>13.61</v>
      </c>
      <c r="N424" t="s">
        <v>5468</v>
      </c>
      <c r="O424" t="s">
        <v>5469</v>
      </c>
      <c r="P424" t="s">
        <v>5477</v>
      </c>
      <c r="Q424" s="4">
        <v>38.61</v>
      </c>
    </row>
    <row r="425" spans="1:17" x14ac:dyDescent="0.3">
      <c r="A425" t="s">
        <v>433</v>
      </c>
      <c r="B425" t="s">
        <v>1817</v>
      </c>
      <c r="C425" s="1">
        <v>45601</v>
      </c>
      <c r="D425" t="s">
        <v>2929</v>
      </c>
      <c r="E425" t="s">
        <v>3652</v>
      </c>
      <c r="F425" t="s">
        <v>4569</v>
      </c>
      <c r="G425" t="s">
        <v>4581</v>
      </c>
      <c r="H425" t="s">
        <v>4583</v>
      </c>
      <c r="I425" t="s">
        <v>4588</v>
      </c>
      <c r="J425">
        <v>3</v>
      </c>
      <c r="K425">
        <v>39.15</v>
      </c>
      <c r="L425">
        <v>0</v>
      </c>
      <c r="N425" t="s">
        <v>5481</v>
      </c>
      <c r="O425" t="s">
        <v>5472</v>
      </c>
      <c r="P425" t="s">
        <v>5477</v>
      </c>
      <c r="Q425" s="4">
        <v>117.44999999999999</v>
      </c>
    </row>
    <row r="426" spans="1:17" x14ac:dyDescent="0.3">
      <c r="A426" t="s">
        <v>434</v>
      </c>
      <c r="B426" t="s">
        <v>1818</v>
      </c>
      <c r="C426" s="1">
        <v>45315</v>
      </c>
      <c r="D426" t="s">
        <v>2930</v>
      </c>
      <c r="E426" t="s">
        <v>3653</v>
      </c>
      <c r="F426" t="s">
        <v>4566</v>
      </c>
      <c r="G426" t="s">
        <v>4573</v>
      </c>
      <c r="H426" t="s">
        <v>4584</v>
      </c>
      <c r="I426" t="s">
        <v>4608</v>
      </c>
      <c r="J426">
        <v>3</v>
      </c>
      <c r="K426">
        <v>18.23</v>
      </c>
      <c r="L426">
        <v>0</v>
      </c>
      <c r="M426">
        <v>5.17</v>
      </c>
      <c r="N426" t="s">
        <v>5464</v>
      </c>
      <c r="O426" t="s">
        <v>5474</v>
      </c>
      <c r="P426" t="s">
        <v>5477</v>
      </c>
      <c r="Q426" s="4">
        <v>54.69</v>
      </c>
    </row>
    <row r="427" spans="1:17" x14ac:dyDescent="0.3">
      <c r="A427" t="s">
        <v>435</v>
      </c>
      <c r="B427" t="s">
        <v>1819</v>
      </c>
      <c r="C427" s="1">
        <v>45400</v>
      </c>
      <c r="D427" t="s">
        <v>2631</v>
      </c>
      <c r="E427" t="s">
        <v>3654</v>
      </c>
      <c r="F427" t="s">
        <v>4566</v>
      </c>
      <c r="G427" t="s">
        <v>4582</v>
      </c>
      <c r="H427" t="s">
        <v>4585</v>
      </c>
      <c r="I427" t="s">
        <v>4590</v>
      </c>
      <c r="J427">
        <v>2</v>
      </c>
      <c r="K427">
        <v>13.54</v>
      </c>
      <c r="L427">
        <v>0.05</v>
      </c>
      <c r="M427">
        <v>5.49</v>
      </c>
      <c r="N427" t="s">
        <v>5481</v>
      </c>
      <c r="O427" t="s">
        <v>5470</v>
      </c>
      <c r="P427" t="s">
        <v>5479</v>
      </c>
      <c r="Q427" s="4">
        <v>25.725999999999996</v>
      </c>
    </row>
    <row r="428" spans="1:17" x14ac:dyDescent="0.3">
      <c r="A428" t="s">
        <v>436</v>
      </c>
      <c r="B428" t="s">
        <v>1511</v>
      </c>
      <c r="C428" s="1">
        <v>45783</v>
      </c>
      <c r="D428" t="s">
        <v>2807</v>
      </c>
      <c r="E428" t="s">
        <v>3655</v>
      </c>
      <c r="F428" t="s">
        <v>4565</v>
      </c>
      <c r="G428" t="s">
        <v>4579</v>
      </c>
      <c r="H428" t="s">
        <v>4583</v>
      </c>
      <c r="I428" t="s">
        <v>4605</v>
      </c>
      <c r="J428">
        <v>1</v>
      </c>
      <c r="K428">
        <v>44.5</v>
      </c>
      <c r="L428">
        <v>0</v>
      </c>
      <c r="M428">
        <v>4.91</v>
      </c>
      <c r="N428" t="s">
        <v>5468</v>
      </c>
      <c r="O428" t="s">
        <v>5471</v>
      </c>
      <c r="P428" t="s">
        <v>5476</v>
      </c>
      <c r="Q428" s="4">
        <v>44.5</v>
      </c>
    </row>
    <row r="429" spans="1:17" x14ac:dyDescent="0.3">
      <c r="A429" t="s">
        <v>437</v>
      </c>
      <c r="B429" t="s">
        <v>1820</v>
      </c>
      <c r="C429" s="1">
        <v>45492</v>
      </c>
      <c r="D429" t="s">
        <v>2686</v>
      </c>
      <c r="E429" t="s">
        <v>5481</v>
      </c>
      <c r="F429" t="s">
        <v>4565</v>
      </c>
      <c r="G429" t="s">
        <v>4575</v>
      </c>
      <c r="H429" t="s">
        <v>4584</v>
      </c>
      <c r="I429" t="s">
        <v>4607</v>
      </c>
      <c r="J429">
        <v>1</v>
      </c>
      <c r="K429">
        <v>23.88</v>
      </c>
      <c r="L429">
        <v>0.1</v>
      </c>
      <c r="M429">
        <v>0</v>
      </c>
      <c r="N429" t="s">
        <v>5466</v>
      </c>
      <c r="O429" t="s">
        <v>5472</v>
      </c>
      <c r="P429" t="s">
        <v>5477</v>
      </c>
      <c r="Q429" s="4">
        <v>21.492000000000001</v>
      </c>
    </row>
    <row r="430" spans="1:17" x14ac:dyDescent="0.3">
      <c r="A430" t="s">
        <v>438</v>
      </c>
      <c r="B430" t="s">
        <v>1821</v>
      </c>
      <c r="C430" s="1">
        <v>45803</v>
      </c>
      <c r="D430" t="s">
        <v>2673</v>
      </c>
      <c r="E430" t="s">
        <v>3656</v>
      </c>
      <c r="F430" t="s">
        <v>4566</v>
      </c>
      <c r="G430" t="s">
        <v>4577</v>
      </c>
      <c r="H430" t="s">
        <v>4587</v>
      </c>
      <c r="I430" t="s">
        <v>4606</v>
      </c>
      <c r="J430">
        <v>1</v>
      </c>
      <c r="K430">
        <v>28.62</v>
      </c>
      <c r="L430">
        <v>0.1</v>
      </c>
      <c r="M430">
        <v>11.69</v>
      </c>
      <c r="N430" t="s">
        <v>5462</v>
      </c>
      <c r="O430" t="s">
        <v>5470</v>
      </c>
      <c r="P430" t="s">
        <v>5479</v>
      </c>
      <c r="Q430" s="4">
        <v>25.758000000000003</v>
      </c>
    </row>
    <row r="431" spans="1:17" x14ac:dyDescent="0.3">
      <c r="A431" t="s">
        <v>439</v>
      </c>
      <c r="B431" t="s">
        <v>1822</v>
      </c>
      <c r="C431" s="1">
        <v>45541</v>
      </c>
      <c r="D431" t="s">
        <v>2931</v>
      </c>
      <c r="E431" t="s">
        <v>3657</v>
      </c>
      <c r="F431" t="s">
        <v>4564</v>
      </c>
      <c r="G431" t="s">
        <v>4578</v>
      </c>
      <c r="H431" t="s">
        <v>4583</v>
      </c>
      <c r="I431" t="s">
        <v>4610</v>
      </c>
      <c r="J431">
        <v>1</v>
      </c>
      <c r="K431">
        <v>77.66</v>
      </c>
      <c r="L431">
        <v>0.05</v>
      </c>
      <c r="M431">
        <v>12.49</v>
      </c>
      <c r="N431" t="s">
        <v>5468</v>
      </c>
      <c r="O431" t="s">
        <v>5471</v>
      </c>
      <c r="P431" t="s">
        <v>5479</v>
      </c>
      <c r="Q431" s="4">
        <v>73.776999999999987</v>
      </c>
    </row>
    <row r="432" spans="1:17" x14ac:dyDescent="0.3">
      <c r="A432" t="s">
        <v>440</v>
      </c>
      <c r="B432" t="s">
        <v>1823</v>
      </c>
      <c r="C432" s="1">
        <v>45727</v>
      </c>
      <c r="D432" t="s">
        <v>3187</v>
      </c>
      <c r="E432" t="s">
        <v>3658</v>
      </c>
      <c r="F432" t="s">
        <v>4549</v>
      </c>
      <c r="G432" t="s">
        <v>4574</v>
      </c>
      <c r="H432" t="s">
        <v>4585</v>
      </c>
      <c r="I432" t="s">
        <v>4592</v>
      </c>
      <c r="J432">
        <v>2</v>
      </c>
      <c r="K432">
        <v>6.36</v>
      </c>
      <c r="L432">
        <v>0.1</v>
      </c>
      <c r="M432">
        <v>4.0199999999999996</v>
      </c>
      <c r="N432" t="s">
        <v>5463</v>
      </c>
      <c r="O432" t="s">
        <v>5472</v>
      </c>
      <c r="P432" t="s">
        <v>5477</v>
      </c>
      <c r="Q432" s="4">
        <v>11.448</v>
      </c>
    </row>
    <row r="433" spans="1:17" x14ac:dyDescent="0.3">
      <c r="A433" t="s">
        <v>441</v>
      </c>
      <c r="B433" t="s">
        <v>1824</v>
      </c>
      <c r="C433" s="1">
        <v>45908</v>
      </c>
      <c r="D433" t="s">
        <v>2933</v>
      </c>
      <c r="E433" t="s">
        <v>5481</v>
      </c>
      <c r="F433" t="s">
        <v>4549</v>
      </c>
      <c r="G433" t="s">
        <v>4574</v>
      </c>
      <c r="H433" t="s">
        <v>4587</v>
      </c>
      <c r="I433" t="s">
        <v>4600</v>
      </c>
      <c r="J433">
        <v>5</v>
      </c>
      <c r="K433">
        <v>13.08</v>
      </c>
      <c r="L433">
        <v>0.05</v>
      </c>
      <c r="M433">
        <v>5.84</v>
      </c>
      <c r="N433" t="s">
        <v>5467</v>
      </c>
      <c r="O433" t="s">
        <v>5473</v>
      </c>
      <c r="P433" t="s">
        <v>5475</v>
      </c>
      <c r="Q433" s="4">
        <v>62.13</v>
      </c>
    </row>
    <row r="434" spans="1:17" x14ac:dyDescent="0.3">
      <c r="A434" t="s">
        <v>442</v>
      </c>
      <c r="B434" t="s">
        <v>1705</v>
      </c>
      <c r="C434" s="1">
        <v>45482</v>
      </c>
      <c r="D434" t="s">
        <v>2791</v>
      </c>
      <c r="E434" t="s">
        <v>3659</v>
      </c>
      <c r="F434" t="s">
        <v>4565</v>
      </c>
      <c r="G434" t="s">
        <v>4576</v>
      </c>
      <c r="H434" t="s">
        <v>4586</v>
      </c>
      <c r="I434" t="s">
        <v>4609</v>
      </c>
      <c r="J434">
        <v>2</v>
      </c>
      <c r="K434">
        <v>129.16999999999999</v>
      </c>
      <c r="L434">
        <v>0.05</v>
      </c>
      <c r="M434">
        <v>4.84</v>
      </c>
      <c r="N434" t="s">
        <v>5468</v>
      </c>
      <c r="O434" t="s">
        <v>5471</v>
      </c>
      <c r="P434" t="s">
        <v>5477</v>
      </c>
      <c r="Q434" s="4">
        <v>245.42299999999997</v>
      </c>
    </row>
    <row r="435" spans="1:17" x14ac:dyDescent="0.3">
      <c r="A435" t="s">
        <v>443</v>
      </c>
      <c r="B435" t="s">
        <v>1825</v>
      </c>
      <c r="C435" s="1">
        <v>45935</v>
      </c>
      <c r="D435" t="s">
        <v>2935</v>
      </c>
      <c r="E435" t="s">
        <v>3660</v>
      </c>
      <c r="F435" t="s">
        <v>4549</v>
      </c>
      <c r="G435" t="s">
        <v>4573</v>
      </c>
      <c r="H435" t="s">
        <v>4583</v>
      </c>
      <c r="I435" t="s">
        <v>4604</v>
      </c>
      <c r="J435">
        <v>2</v>
      </c>
      <c r="K435">
        <v>22.45</v>
      </c>
      <c r="L435">
        <v>0</v>
      </c>
      <c r="M435">
        <v>12.84</v>
      </c>
      <c r="N435" t="s">
        <v>5465</v>
      </c>
      <c r="O435" t="s">
        <v>5472</v>
      </c>
      <c r="P435" t="s">
        <v>5476</v>
      </c>
      <c r="Q435" s="4">
        <v>44.9</v>
      </c>
    </row>
    <row r="436" spans="1:17" x14ac:dyDescent="0.3">
      <c r="A436" t="s">
        <v>444</v>
      </c>
      <c r="B436" t="s">
        <v>1826</v>
      </c>
      <c r="C436" s="1">
        <v>45954</v>
      </c>
      <c r="D436" t="s">
        <v>3137</v>
      </c>
      <c r="E436" t="s">
        <v>3661</v>
      </c>
      <c r="F436" t="s">
        <v>4569</v>
      </c>
      <c r="G436" t="s">
        <v>4572</v>
      </c>
      <c r="H436" t="s">
        <v>4586</v>
      </c>
      <c r="I436" t="s">
        <v>4599</v>
      </c>
      <c r="J436">
        <v>1</v>
      </c>
      <c r="K436">
        <v>258.82</v>
      </c>
      <c r="L436">
        <v>0</v>
      </c>
      <c r="M436">
        <v>4.4000000000000004</v>
      </c>
      <c r="N436" t="s">
        <v>5468</v>
      </c>
      <c r="O436" t="s">
        <v>5469</v>
      </c>
      <c r="P436" t="s">
        <v>5477</v>
      </c>
      <c r="Q436" s="4">
        <v>258.82</v>
      </c>
    </row>
    <row r="437" spans="1:17" x14ac:dyDescent="0.3">
      <c r="A437" t="s">
        <v>445</v>
      </c>
      <c r="B437" t="s">
        <v>1827</v>
      </c>
      <c r="C437" s="1">
        <v>45811</v>
      </c>
      <c r="D437" t="s">
        <v>2937</v>
      </c>
      <c r="E437" t="s">
        <v>3662</v>
      </c>
      <c r="F437" t="s">
        <v>4549</v>
      </c>
      <c r="G437" t="s">
        <v>4573</v>
      </c>
      <c r="H437" t="s">
        <v>4584</v>
      </c>
      <c r="I437" t="s">
        <v>4603</v>
      </c>
      <c r="J437">
        <v>1</v>
      </c>
      <c r="K437">
        <v>9.27</v>
      </c>
      <c r="L437">
        <v>0.15</v>
      </c>
      <c r="M437">
        <v>0</v>
      </c>
      <c r="N437" t="s">
        <v>5463</v>
      </c>
      <c r="O437" t="s">
        <v>5470</v>
      </c>
      <c r="P437" t="s">
        <v>5477</v>
      </c>
      <c r="Q437" s="4">
        <v>7.8794999999999993</v>
      </c>
    </row>
    <row r="438" spans="1:17" x14ac:dyDescent="0.3">
      <c r="A438" t="s">
        <v>446</v>
      </c>
      <c r="B438" t="s">
        <v>1828</v>
      </c>
      <c r="C438" s="1">
        <v>46009</v>
      </c>
      <c r="D438" t="s">
        <v>2938</v>
      </c>
      <c r="E438" t="s">
        <v>3663</v>
      </c>
      <c r="F438" t="s">
        <v>4564</v>
      </c>
      <c r="G438" t="s">
        <v>4573</v>
      </c>
      <c r="H438" t="s">
        <v>4585</v>
      </c>
      <c r="I438" t="s">
        <v>4590</v>
      </c>
      <c r="J438">
        <v>1</v>
      </c>
      <c r="K438">
        <v>13.66</v>
      </c>
      <c r="L438">
        <v>0</v>
      </c>
      <c r="M438">
        <v>6.29</v>
      </c>
      <c r="N438" t="s">
        <v>5468</v>
      </c>
      <c r="O438" t="s">
        <v>5474</v>
      </c>
      <c r="P438" t="s">
        <v>5477</v>
      </c>
      <c r="Q438" s="4">
        <v>13.66</v>
      </c>
    </row>
    <row r="439" spans="1:17" x14ac:dyDescent="0.3">
      <c r="A439" t="s">
        <v>447</v>
      </c>
      <c r="B439" t="s">
        <v>1829</v>
      </c>
      <c r="C439" s="1">
        <v>45529</v>
      </c>
      <c r="D439" t="s">
        <v>2720</v>
      </c>
      <c r="E439" t="s">
        <v>3664</v>
      </c>
      <c r="F439" t="s">
        <v>4564</v>
      </c>
      <c r="G439" t="s">
        <v>4573</v>
      </c>
      <c r="H439" t="s">
        <v>4586</v>
      </c>
      <c r="I439" t="s">
        <v>4609</v>
      </c>
      <c r="J439">
        <v>4</v>
      </c>
      <c r="K439">
        <v>124.23</v>
      </c>
      <c r="L439">
        <v>0</v>
      </c>
      <c r="M439">
        <v>3.63</v>
      </c>
      <c r="N439" t="s">
        <v>5464</v>
      </c>
      <c r="O439" t="s">
        <v>5474</v>
      </c>
      <c r="P439" t="s">
        <v>5477</v>
      </c>
      <c r="Q439" s="4">
        <v>496.92</v>
      </c>
    </row>
    <row r="440" spans="1:17" x14ac:dyDescent="0.3">
      <c r="A440" t="s">
        <v>448</v>
      </c>
      <c r="B440" t="s">
        <v>1830</v>
      </c>
      <c r="C440" s="1">
        <v>45807</v>
      </c>
      <c r="D440" t="s">
        <v>2797</v>
      </c>
      <c r="E440" t="s">
        <v>3665</v>
      </c>
      <c r="F440" t="s">
        <v>4565</v>
      </c>
      <c r="G440" t="s">
        <v>4579</v>
      </c>
      <c r="H440" t="s">
        <v>4586</v>
      </c>
      <c r="I440" t="s">
        <v>4609</v>
      </c>
      <c r="J440">
        <v>2</v>
      </c>
      <c r="K440">
        <v>132.28</v>
      </c>
      <c r="L440">
        <v>0</v>
      </c>
      <c r="M440">
        <v>13.56</v>
      </c>
      <c r="N440" t="s">
        <v>5463</v>
      </c>
      <c r="O440" t="s">
        <v>5471</v>
      </c>
      <c r="P440" t="s">
        <v>5477</v>
      </c>
      <c r="Q440" s="4">
        <v>264.56</v>
      </c>
    </row>
    <row r="441" spans="1:17" x14ac:dyDescent="0.3">
      <c r="A441" t="s">
        <v>449</v>
      </c>
      <c r="B441" t="s">
        <v>1831</v>
      </c>
      <c r="C441" s="1">
        <v>45824</v>
      </c>
      <c r="D441" t="s">
        <v>2939</v>
      </c>
      <c r="E441" t="s">
        <v>3666</v>
      </c>
      <c r="F441" t="s">
        <v>4569</v>
      </c>
      <c r="G441" t="s">
        <v>4572</v>
      </c>
      <c r="H441" t="s">
        <v>4587</v>
      </c>
      <c r="I441" t="s">
        <v>4596</v>
      </c>
      <c r="J441">
        <v>2</v>
      </c>
      <c r="K441">
        <v>14.41</v>
      </c>
      <c r="L441">
        <v>0.1</v>
      </c>
      <c r="M441">
        <v>6.88</v>
      </c>
      <c r="N441" t="s">
        <v>5466</v>
      </c>
      <c r="O441" t="s">
        <v>5470</v>
      </c>
      <c r="P441" t="s">
        <v>5477</v>
      </c>
      <c r="Q441" s="4">
        <v>25.938000000000002</v>
      </c>
    </row>
    <row r="442" spans="1:17" x14ac:dyDescent="0.3">
      <c r="A442" t="s">
        <v>450</v>
      </c>
      <c r="B442" t="s">
        <v>1832</v>
      </c>
      <c r="C442" s="1">
        <v>45430</v>
      </c>
      <c r="D442" t="s">
        <v>2815</v>
      </c>
      <c r="E442" t="s">
        <v>3667</v>
      </c>
      <c r="F442" t="s">
        <v>4565</v>
      </c>
      <c r="G442" t="s">
        <v>4575</v>
      </c>
      <c r="H442" t="s">
        <v>4587</v>
      </c>
      <c r="I442" t="s">
        <v>4606</v>
      </c>
      <c r="J442">
        <v>5</v>
      </c>
      <c r="K442">
        <v>31.23</v>
      </c>
      <c r="L442">
        <v>0</v>
      </c>
      <c r="M442">
        <v>0</v>
      </c>
      <c r="N442" t="s">
        <v>5463</v>
      </c>
      <c r="O442" t="s">
        <v>5481</v>
      </c>
      <c r="P442" t="s">
        <v>5477</v>
      </c>
      <c r="Q442" s="4">
        <v>156.15</v>
      </c>
    </row>
    <row r="443" spans="1:17" x14ac:dyDescent="0.3">
      <c r="A443" t="s">
        <v>451</v>
      </c>
      <c r="B443" t="s">
        <v>1833</v>
      </c>
      <c r="C443" s="1">
        <v>45784</v>
      </c>
      <c r="D443" t="s">
        <v>2940</v>
      </c>
      <c r="E443" t="s">
        <v>3668</v>
      </c>
      <c r="F443" t="s">
        <v>4564</v>
      </c>
      <c r="G443" t="s">
        <v>4578</v>
      </c>
      <c r="H443" t="s">
        <v>4585</v>
      </c>
      <c r="I443" t="s">
        <v>4591</v>
      </c>
      <c r="J443">
        <v>2</v>
      </c>
      <c r="K443">
        <v>8.1199999999999992</v>
      </c>
      <c r="L443">
        <v>0</v>
      </c>
      <c r="M443">
        <v>9.42</v>
      </c>
      <c r="N443" t="s">
        <v>5481</v>
      </c>
      <c r="O443" t="s">
        <v>5471</v>
      </c>
      <c r="P443" t="s">
        <v>5477</v>
      </c>
      <c r="Q443" s="4">
        <v>16.239999999999998</v>
      </c>
    </row>
    <row r="444" spans="1:17" x14ac:dyDescent="0.3">
      <c r="A444" t="s">
        <v>452</v>
      </c>
      <c r="B444" t="s">
        <v>1834</v>
      </c>
      <c r="C444" s="1">
        <v>45897</v>
      </c>
      <c r="D444" t="s">
        <v>2649</v>
      </c>
      <c r="E444" t="s">
        <v>3669</v>
      </c>
      <c r="F444" t="s">
        <v>4566</v>
      </c>
      <c r="G444" t="s">
        <v>4582</v>
      </c>
      <c r="H444" t="s">
        <v>5481</v>
      </c>
      <c r="I444" t="s">
        <v>4605</v>
      </c>
      <c r="J444">
        <v>1</v>
      </c>
      <c r="K444">
        <v>43.73</v>
      </c>
      <c r="L444">
        <v>0.05</v>
      </c>
      <c r="M444">
        <v>4.91</v>
      </c>
      <c r="N444" t="s">
        <v>5468</v>
      </c>
      <c r="O444" t="s">
        <v>5472</v>
      </c>
      <c r="P444" t="s">
        <v>5477</v>
      </c>
      <c r="Q444" s="4">
        <v>41.543499999999995</v>
      </c>
    </row>
    <row r="445" spans="1:17" x14ac:dyDescent="0.3">
      <c r="A445" t="s">
        <v>453</v>
      </c>
      <c r="B445" t="s">
        <v>1835</v>
      </c>
      <c r="C445" s="1">
        <v>45739</v>
      </c>
      <c r="D445" t="s">
        <v>2941</v>
      </c>
      <c r="E445" t="s">
        <v>3670</v>
      </c>
      <c r="F445" t="s">
        <v>4569</v>
      </c>
      <c r="G445" t="s">
        <v>4581</v>
      </c>
      <c r="H445" t="s">
        <v>4587</v>
      </c>
      <c r="I445" t="s">
        <v>4596</v>
      </c>
      <c r="J445">
        <v>1</v>
      </c>
      <c r="K445">
        <v>14.92</v>
      </c>
      <c r="L445">
        <v>0.05</v>
      </c>
      <c r="M445">
        <v>0</v>
      </c>
      <c r="N445" t="s">
        <v>5481</v>
      </c>
      <c r="O445" t="s">
        <v>5474</v>
      </c>
      <c r="P445" t="s">
        <v>5477</v>
      </c>
      <c r="Q445" s="4">
        <v>14.173999999999999</v>
      </c>
    </row>
    <row r="446" spans="1:17" x14ac:dyDescent="0.3">
      <c r="A446" t="s">
        <v>62</v>
      </c>
      <c r="B446" t="s">
        <v>1462</v>
      </c>
      <c r="C446" s="1">
        <v>45378</v>
      </c>
      <c r="D446" t="s">
        <v>2668</v>
      </c>
      <c r="E446" t="s">
        <v>3307</v>
      </c>
      <c r="F446" t="s">
        <v>4564</v>
      </c>
      <c r="G446" t="s">
        <v>4573</v>
      </c>
      <c r="H446" t="s">
        <v>4585</v>
      </c>
      <c r="I446" t="s">
        <v>4590</v>
      </c>
      <c r="J446">
        <v>4</v>
      </c>
      <c r="K446">
        <v>13.81</v>
      </c>
      <c r="L446">
        <v>0</v>
      </c>
      <c r="M446">
        <v>0</v>
      </c>
      <c r="N446" t="s">
        <v>5481</v>
      </c>
      <c r="O446" t="s">
        <v>5481</v>
      </c>
      <c r="P446" t="s">
        <v>5479</v>
      </c>
      <c r="Q446" s="4">
        <v>55.24</v>
      </c>
    </row>
    <row r="447" spans="1:17" x14ac:dyDescent="0.3">
      <c r="A447" t="s">
        <v>454</v>
      </c>
      <c r="B447" t="s">
        <v>1836</v>
      </c>
      <c r="C447" s="1">
        <v>45678</v>
      </c>
      <c r="D447" t="s">
        <v>2841</v>
      </c>
      <c r="E447" t="s">
        <v>5481</v>
      </c>
      <c r="F447" t="s">
        <v>4569</v>
      </c>
      <c r="G447" t="s">
        <v>4580</v>
      </c>
      <c r="H447" t="s">
        <v>4584</v>
      </c>
      <c r="I447" t="s">
        <v>4589</v>
      </c>
      <c r="J447">
        <v>1</v>
      </c>
      <c r="K447">
        <v>35.1</v>
      </c>
      <c r="L447">
        <v>0</v>
      </c>
      <c r="M447">
        <v>3.58</v>
      </c>
      <c r="N447" t="s">
        <v>5466</v>
      </c>
      <c r="O447" t="s">
        <v>5469</v>
      </c>
      <c r="P447" t="s">
        <v>5476</v>
      </c>
      <c r="Q447" s="4">
        <v>35.1</v>
      </c>
    </row>
    <row r="448" spans="1:17" x14ac:dyDescent="0.3">
      <c r="A448" t="s">
        <v>455</v>
      </c>
      <c r="B448" t="s">
        <v>1837</v>
      </c>
      <c r="C448" s="1">
        <v>45797</v>
      </c>
      <c r="D448" t="s">
        <v>2942</v>
      </c>
      <c r="E448" t="s">
        <v>5481</v>
      </c>
      <c r="F448" t="s">
        <v>4564</v>
      </c>
      <c r="G448" t="s">
        <v>4573</v>
      </c>
      <c r="H448" t="s">
        <v>4585</v>
      </c>
      <c r="I448" t="s">
        <v>4591</v>
      </c>
      <c r="J448">
        <v>1</v>
      </c>
      <c r="K448">
        <v>7.87</v>
      </c>
      <c r="L448">
        <v>0.1</v>
      </c>
      <c r="M448">
        <v>5.07</v>
      </c>
      <c r="N448" t="s">
        <v>5464</v>
      </c>
      <c r="O448" t="s">
        <v>5469</v>
      </c>
      <c r="P448" t="s">
        <v>5475</v>
      </c>
      <c r="Q448" s="4">
        <v>7.0830000000000002</v>
      </c>
    </row>
    <row r="449" spans="1:17" x14ac:dyDescent="0.3">
      <c r="A449" t="s">
        <v>456</v>
      </c>
      <c r="B449" t="s">
        <v>1838</v>
      </c>
      <c r="C449" s="1">
        <v>45447</v>
      </c>
      <c r="D449" t="s">
        <v>2723</v>
      </c>
      <c r="E449" t="s">
        <v>3671</v>
      </c>
      <c r="F449" t="s">
        <v>4566</v>
      </c>
      <c r="G449" t="s">
        <v>4577</v>
      </c>
      <c r="H449" t="s">
        <v>4584</v>
      </c>
      <c r="I449" t="s">
        <v>4603</v>
      </c>
      <c r="J449">
        <v>2</v>
      </c>
      <c r="K449">
        <v>9.0500000000000007</v>
      </c>
      <c r="L449">
        <v>0.05</v>
      </c>
      <c r="M449">
        <v>3.57</v>
      </c>
      <c r="N449" t="s">
        <v>5481</v>
      </c>
      <c r="O449" t="s">
        <v>5471</v>
      </c>
      <c r="P449" t="s">
        <v>5475</v>
      </c>
      <c r="Q449" s="4">
        <v>17.195</v>
      </c>
    </row>
    <row r="450" spans="1:17" x14ac:dyDescent="0.3">
      <c r="A450" t="s">
        <v>457</v>
      </c>
      <c r="B450" t="s">
        <v>1839</v>
      </c>
      <c r="C450" s="1">
        <v>45544</v>
      </c>
      <c r="D450" t="s">
        <v>2944</v>
      </c>
      <c r="E450" t="s">
        <v>3672</v>
      </c>
      <c r="F450" t="s">
        <v>4566</v>
      </c>
      <c r="G450" t="s">
        <v>4577</v>
      </c>
      <c r="H450" t="s">
        <v>4585</v>
      </c>
      <c r="I450" t="s">
        <v>4591</v>
      </c>
      <c r="J450">
        <v>1</v>
      </c>
      <c r="K450">
        <v>7.88</v>
      </c>
      <c r="L450">
        <v>0.05</v>
      </c>
      <c r="M450">
        <v>9.91</v>
      </c>
      <c r="N450" t="s">
        <v>5464</v>
      </c>
      <c r="O450" t="s">
        <v>5471</v>
      </c>
      <c r="P450" t="s">
        <v>5477</v>
      </c>
      <c r="Q450" s="4">
        <v>7.4859999999999998</v>
      </c>
    </row>
    <row r="451" spans="1:17" x14ac:dyDescent="0.3">
      <c r="A451" t="s">
        <v>458</v>
      </c>
      <c r="B451" t="s">
        <v>1840</v>
      </c>
      <c r="C451" s="1">
        <v>45548</v>
      </c>
      <c r="D451" t="s">
        <v>2737</v>
      </c>
      <c r="E451" t="s">
        <v>3673</v>
      </c>
      <c r="F451" t="s">
        <v>4564</v>
      </c>
      <c r="G451" t="s">
        <v>4573</v>
      </c>
      <c r="H451" t="s">
        <v>4587</v>
      </c>
      <c r="I451" t="s">
        <v>4606</v>
      </c>
      <c r="J451">
        <v>3</v>
      </c>
      <c r="K451">
        <v>29.34</v>
      </c>
      <c r="L451">
        <v>0.05</v>
      </c>
      <c r="M451">
        <v>11.03</v>
      </c>
      <c r="N451" t="s">
        <v>5465</v>
      </c>
      <c r="O451" t="s">
        <v>5481</v>
      </c>
      <c r="P451" t="s">
        <v>5477</v>
      </c>
      <c r="Q451" s="4">
        <v>83.618999999999986</v>
      </c>
    </row>
    <row r="452" spans="1:17" x14ac:dyDescent="0.3">
      <c r="A452" t="s">
        <v>459</v>
      </c>
      <c r="B452" t="s">
        <v>1841</v>
      </c>
      <c r="C452" s="1">
        <v>45325</v>
      </c>
      <c r="D452" t="s">
        <v>2721</v>
      </c>
      <c r="E452" t="s">
        <v>5481</v>
      </c>
      <c r="F452" t="s">
        <v>4566</v>
      </c>
      <c r="G452" t="s">
        <v>4582</v>
      </c>
      <c r="H452" t="s">
        <v>4586</v>
      </c>
      <c r="I452" t="s">
        <v>4593</v>
      </c>
      <c r="J452">
        <v>1</v>
      </c>
      <c r="K452">
        <v>112.66</v>
      </c>
      <c r="L452">
        <v>0</v>
      </c>
      <c r="M452">
        <v>8</v>
      </c>
      <c r="N452" t="s">
        <v>5462</v>
      </c>
      <c r="O452" t="s">
        <v>5471</v>
      </c>
      <c r="P452" t="s">
        <v>5476</v>
      </c>
      <c r="Q452" s="4">
        <v>112.66</v>
      </c>
    </row>
    <row r="453" spans="1:17" x14ac:dyDescent="0.3">
      <c r="A453" t="s">
        <v>460</v>
      </c>
      <c r="B453" t="s">
        <v>1842</v>
      </c>
      <c r="C453" s="1">
        <v>45732</v>
      </c>
      <c r="D453" t="s">
        <v>2881</v>
      </c>
      <c r="E453" t="s">
        <v>3674</v>
      </c>
      <c r="F453" t="s">
        <v>4569</v>
      </c>
      <c r="G453" t="s">
        <v>4572</v>
      </c>
      <c r="H453" t="s">
        <v>4583</v>
      </c>
      <c r="I453" t="s">
        <v>4604</v>
      </c>
      <c r="J453">
        <v>3</v>
      </c>
      <c r="K453">
        <v>22.65</v>
      </c>
      <c r="L453">
        <v>0.05</v>
      </c>
      <c r="M453">
        <v>4.38</v>
      </c>
      <c r="N453" t="s">
        <v>5463</v>
      </c>
      <c r="O453" t="s">
        <v>5469</v>
      </c>
      <c r="P453" t="s">
        <v>5475</v>
      </c>
      <c r="Q453" s="4">
        <v>64.552499999999981</v>
      </c>
    </row>
    <row r="454" spans="1:17" x14ac:dyDescent="0.3">
      <c r="A454" t="s">
        <v>461</v>
      </c>
      <c r="B454" t="s">
        <v>1843</v>
      </c>
      <c r="C454" s="1">
        <v>45380</v>
      </c>
      <c r="D454" t="s">
        <v>2935</v>
      </c>
      <c r="E454" t="s">
        <v>3675</v>
      </c>
      <c r="F454" t="s">
        <v>4564</v>
      </c>
      <c r="G454" t="s">
        <v>4573</v>
      </c>
      <c r="H454" t="s">
        <v>4584</v>
      </c>
      <c r="I454" t="s">
        <v>4608</v>
      </c>
      <c r="J454">
        <v>4</v>
      </c>
      <c r="K454">
        <v>18.88</v>
      </c>
      <c r="L454">
        <v>0</v>
      </c>
      <c r="M454">
        <v>6.34</v>
      </c>
      <c r="N454" t="s">
        <v>5462</v>
      </c>
      <c r="O454" t="s">
        <v>5474</v>
      </c>
      <c r="P454" t="s">
        <v>5477</v>
      </c>
      <c r="Q454" s="4">
        <v>75.52</v>
      </c>
    </row>
    <row r="455" spans="1:17" x14ac:dyDescent="0.3">
      <c r="A455" t="s">
        <v>462</v>
      </c>
      <c r="B455" t="s">
        <v>1844</v>
      </c>
      <c r="C455" s="1">
        <v>45693</v>
      </c>
      <c r="D455" t="s">
        <v>2839</v>
      </c>
      <c r="E455" t="s">
        <v>5481</v>
      </c>
      <c r="F455" t="s">
        <v>4566</v>
      </c>
      <c r="G455" t="s">
        <v>4582</v>
      </c>
      <c r="H455" t="s">
        <v>4585</v>
      </c>
      <c r="I455" t="s">
        <v>4598</v>
      </c>
      <c r="J455">
        <v>3</v>
      </c>
      <c r="K455">
        <v>3.08</v>
      </c>
      <c r="L455">
        <v>0.05</v>
      </c>
      <c r="M455">
        <v>2.88</v>
      </c>
      <c r="N455" t="s">
        <v>5462</v>
      </c>
      <c r="O455" t="s">
        <v>5481</v>
      </c>
      <c r="P455" t="s">
        <v>5476</v>
      </c>
      <c r="Q455" s="4">
        <v>8.7780000000000005</v>
      </c>
    </row>
    <row r="456" spans="1:17" x14ac:dyDescent="0.3">
      <c r="A456" t="s">
        <v>463</v>
      </c>
      <c r="B456" t="s">
        <v>1845</v>
      </c>
      <c r="C456" s="1">
        <v>45664</v>
      </c>
      <c r="D456" t="s">
        <v>2946</v>
      </c>
      <c r="E456" t="s">
        <v>5481</v>
      </c>
      <c r="F456" t="s">
        <v>4565</v>
      </c>
      <c r="G456" t="s">
        <v>4575</v>
      </c>
      <c r="H456" t="s">
        <v>4587</v>
      </c>
      <c r="I456" t="s">
        <v>4606</v>
      </c>
      <c r="J456">
        <v>1</v>
      </c>
      <c r="K456">
        <v>29.32</v>
      </c>
      <c r="L456">
        <v>0</v>
      </c>
      <c r="M456">
        <v>5.01</v>
      </c>
      <c r="N456" t="s">
        <v>5481</v>
      </c>
      <c r="O456" t="s">
        <v>5469</v>
      </c>
      <c r="P456" t="s">
        <v>5477</v>
      </c>
      <c r="Q456" s="4">
        <v>29.32</v>
      </c>
    </row>
    <row r="457" spans="1:17" x14ac:dyDescent="0.3">
      <c r="A457" t="s">
        <v>464</v>
      </c>
      <c r="B457" t="s">
        <v>1846</v>
      </c>
      <c r="C457" s="1">
        <v>45468</v>
      </c>
      <c r="D457" t="s">
        <v>2829</v>
      </c>
      <c r="E457" t="s">
        <v>3676</v>
      </c>
      <c r="F457" t="s">
        <v>4565</v>
      </c>
      <c r="G457" t="s">
        <v>4575</v>
      </c>
      <c r="H457" t="s">
        <v>4587</v>
      </c>
      <c r="I457" t="s">
        <v>4606</v>
      </c>
      <c r="J457">
        <v>3</v>
      </c>
      <c r="K457">
        <v>29.79</v>
      </c>
      <c r="L457">
        <v>0</v>
      </c>
      <c r="M457">
        <v>6.48</v>
      </c>
      <c r="N457" t="s">
        <v>5481</v>
      </c>
      <c r="O457" t="s">
        <v>5470</v>
      </c>
      <c r="P457" t="s">
        <v>5477</v>
      </c>
      <c r="Q457" s="4">
        <v>89.37</v>
      </c>
    </row>
    <row r="458" spans="1:17" x14ac:dyDescent="0.3">
      <c r="A458" t="s">
        <v>465</v>
      </c>
      <c r="B458" t="s">
        <v>1847</v>
      </c>
      <c r="C458" s="1">
        <v>45942</v>
      </c>
      <c r="D458" t="s">
        <v>2947</v>
      </c>
      <c r="E458" t="s">
        <v>3677</v>
      </c>
      <c r="F458" t="s">
        <v>4569</v>
      </c>
      <c r="G458" t="s">
        <v>5481</v>
      </c>
      <c r="H458" t="s">
        <v>4583</v>
      </c>
      <c r="I458" t="s">
        <v>4610</v>
      </c>
      <c r="J458">
        <v>1</v>
      </c>
      <c r="K458">
        <v>79.11</v>
      </c>
      <c r="L458">
        <v>0</v>
      </c>
      <c r="M458">
        <v>0</v>
      </c>
      <c r="N458" t="s">
        <v>5462</v>
      </c>
      <c r="O458" t="s">
        <v>5474</v>
      </c>
      <c r="P458" t="s">
        <v>5479</v>
      </c>
      <c r="Q458" s="4">
        <v>79.11</v>
      </c>
    </row>
    <row r="459" spans="1:17" x14ac:dyDescent="0.3">
      <c r="A459" t="s">
        <v>466</v>
      </c>
      <c r="B459" t="s">
        <v>1848</v>
      </c>
      <c r="C459" s="1">
        <v>45352</v>
      </c>
      <c r="D459" t="s">
        <v>2893</v>
      </c>
      <c r="E459" t="s">
        <v>3678</v>
      </c>
      <c r="F459" t="s">
        <v>4564</v>
      </c>
      <c r="G459" t="s">
        <v>4573</v>
      </c>
      <c r="H459" t="s">
        <v>4585</v>
      </c>
      <c r="I459" t="s">
        <v>4591</v>
      </c>
      <c r="J459">
        <v>1</v>
      </c>
      <c r="K459">
        <v>7.54</v>
      </c>
      <c r="L459">
        <v>0</v>
      </c>
      <c r="M459">
        <v>7.31</v>
      </c>
      <c r="N459" t="s">
        <v>5462</v>
      </c>
      <c r="O459" t="s">
        <v>5471</v>
      </c>
      <c r="P459" t="s">
        <v>5477</v>
      </c>
      <c r="Q459" s="4">
        <v>7.54</v>
      </c>
    </row>
    <row r="460" spans="1:17" x14ac:dyDescent="0.3">
      <c r="A460" t="s">
        <v>467</v>
      </c>
      <c r="B460" t="s">
        <v>1849</v>
      </c>
      <c r="C460" s="1">
        <v>45731</v>
      </c>
      <c r="D460" t="s">
        <v>2756</v>
      </c>
      <c r="E460" t="s">
        <v>3679</v>
      </c>
      <c r="F460" t="s">
        <v>4549</v>
      </c>
      <c r="G460" t="s">
        <v>4573</v>
      </c>
      <c r="H460" t="s">
        <v>4583</v>
      </c>
      <c r="I460" t="s">
        <v>4605</v>
      </c>
      <c r="J460">
        <v>1</v>
      </c>
      <c r="K460">
        <v>45.84</v>
      </c>
      <c r="L460">
        <v>0.05</v>
      </c>
      <c r="M460">
        <v>8.06</v>
      </c>
      <c r="N460" t="s">
        <v>5462</v>
      </c>
      <c r="O460" t="s">
        <v>5481</v>
      </c>
      <c r="P460" t="s">
        <v>5477</v>
      </c>
      <c r="Q460" s="4">
        <v>43.548000000000002</v>
      </c>
    </row>
    <row r="461" spans="1:17" x14ac:dyDescent="0.3">
      <c r="A461" t="s">
        <v>468</v>
      </c>
      <c r="B461" t="s">
        <v>1850</v>
      </c>
      <c r="C461" s="1">
        <v>45423</v>
      </c>
      <c r="D461" t="s">
        <v>2948</v>
      </c>
      <c r="E461" t="s">
        <v>3680</v>
      </c>
      <c r="F461" t="s">
        <v>4566</v>
      </c>
      <c r="G461" t="s">
        <v>4582</v>
      </c>
      <c r="H461" t="s">
        <v>4584</v>
      </c>
      <c r="I461" t="s">
        <v>4595</v>
      </c>
      <c r="J461">
        <v>2</v>
      </c>
      <c r="K461">
        <v>42.55</v>
      </c>
      <c r="L461">
        <v>0.1</v>
      </c>
      <c r="M461">
        <v>0.95</v>
      </c>
      <c r="N461" t="s">
        <v>5481</v>
      </c>
      <c r="O461" t="s">
        <v>5472</v>
      </c>
      <c r="P461" t="s">
        <v>5476</v>
      </c>
      <c r="Q461" s="4">
        <v>76.59</v>
      </c>
    </row>
    <row r="462" spans="1:17" x14ac:dyDescent="0.3">
      <c r="A462" t="s">
        <v>469</v>
      </c>
      <c r="B462" t="s">
        <v>1851</v>
      </c>
      <c r="C462" s="1">
        <v>45442</v>
      </c>
      <c r="D462" t="s">
        <v>2949</v>
      </c>
      <c r="E462" t="s">
        <v>3681</v>
      </c>
      <c r="F462" t="s">
        <v>4569</v>
      </c>
      <c r="G462" t="s">
        <v>4580</v>
      </c>
      <c r="H462" t="s">
        <v>4585</v>
      </c>
      <c r="I462" t="s">
        <v>4598</v>
      </c>
      <c r="J462">
        <v>1</v>
      </c>
      <c r="K462">
        <v>3.22</v>
      </c>
      <c r="L462">
        <v>0</v>
      </c>
      <c r="M462">
        <v>0.5</v>
      </c>
      <c r="N462" t="s">
        <v>5468</v>
      </c>
      <c r="O462" t="s">
        <v>5473</v>
      </c>
      <c r="P462" t="s">
        <v>5477</v>
      </c>
      <c r="Q462" s="4">
        <v>3.22</v>
      </c>
    </row>
    <row r="463" spans="1:17" x14ac:dyDescent="0.3">
      <c r="A463" t="s">
        <v>470</v>
      </c>
      <c r="B463" t="s">
        <v>1852</v>
      </c>
      <c r="C463" s="1">
        <v>45292</v>
      </c>
      <c r="D463" t="s">
        <v>2931</v>
      </c>
      <c r="E463" t="s">
        <v>3682</v>
      </c>
      <c r="F463" t="s">
        <v>4566</v>
      </c>
      <c r="G463" t="s">
        <v>4582</v>
      </c>
      <c r="H463" t="s">
        <v>4583</v>
      </c>
      <c r="I463" t="s">
        <v>4610</v>
      </c>
      <c r="J463">
        <v>1</v>
      </c>
      <c r="K463">
        <v>79.69</v>
      </c>
      <c r="L463">
        <v>0</v>
      </c>
      <c r="M463">
        <v>7.35</v>
      </c>
      <c r="N463" t="s">
        <v>5468</v>
      </c>
      <c r="O463" t="s">
        <v>5470</v>
      </c>
      <c r="P463" t="s">
        <v>5477</v>
      </c>
      <c r="Q463" s="4">
        <v>79.69</v>
      </c>
    </row>
    <row r="464" spans="1:17" x14ac:dyDescent="0.3">
      <c r="A464" t="s">
        <v>471</v>
      </c>
      <c r="B464" t="s">
        <v>1853</v>
      </c>
      <c r="C464" s="1">
        <v>45720</v>
      </c>
      <c r="D464" t="s">
        <v>2629</v>
      </c>
      <c r="E464" t="s">
        <v>3683</v>
      </c>
      <c r="F464" t="s">
        <v>4569</v>
      </c>
      <c r="G464" t="s">
        <v>4572</v>
      </c>
      <c r="H464" t="s">
        <v>4586</v>
      </c>
      <c r="I464" t="s">
        <v>4599</v>
      </c>
      <c r="J464">
        <v>1</v>
      </c>
      <c r="K464">
        <v>240.09</v>
      </c>
      <c r="L464">
        <v>0.1</v>
      </c>
      <c r="M464">
        <v>12.39</v>
      </c>
      <c r="N464" t="s">
        <v>5464</v>
      </c>
      <c r="O464" t="s">
        <v>5473</v>
      </c>
      <c r="P464" t="s">
        <v>5477</v>
      </c>
      <c r="Q464" s="4">
        <v>216.08100000000002</v>
      </c>
    </row>
    <row r="465" spans="1:17" x14ac:dyDescent="0.3">
      <c r="A465" t="s">
        <v>472</v>
      </c>
      <c r="B465" t="s">
        <v>1854</v>
      </c>
      <c r="C465" s="1">
        <v>45692</v>
      </c>
      <c r="D465" t="s">
        <v>2826</v>
      </c>
      <c r="E465" t="s">
        <v>3684</v>
      </c>
      <c r="F465" t="s">
        <v>4565</v>
      </c>
      <c r="G465" t="s">
        <v>4575</v>
      </c>
      <c r="H465" t="s">
        <v>4583</v>
      </c>
      <c r="I465" t="s">
        <v>4604</v>
      </c>
      <c r="J465">
        <v>1</v>
      </c>
      <c r="K465">
        <v>21.48</v>
      </c>
      <c r="L465">
        <v>0.1</v>
      </c>
      <c r="M465">
        <v>10.54</v>
      </c>
      <c r="N465" t="s">
        <v>5466</v>
      </c>
      <c r="O465" t="s">
        <v>5472</v>
      </c>
      <c r="P465" t="s">
        <v>5476</v>
      </c>
      <c r="Q465" s="4">
        <v>19.332000000000001</v>
      </c>
    </row>
    <row r="466" spans="1:17" x14ac:dyDescent="0.3">
      <c r="A466" t="s">
        <v>473</v>
      </c>
      <c r="B466" t="s">
        <v>1855</v>
      </c>
      <c r="C466" s="1">
        <v>45634</v>
      </c>
      <c r="D466" t="s">
        <v>2951</v>
      </c>
      <c r="E466" t="s">
        <v>3685</v>
      </c>
      <c r="F466" t="s">
        <v>4565</v>
      </c>
      <c r="G466" t="s">
        <v>4579</v>
      </c>
      <c r="H466" t="s">
        <v>4586</v>
      </c>
      <c r="I466" t="s">
        <v>4599</v>
      </c>
      <c r="J466">
        <v>1</v>
      </c>
      <c r="K466">
        <v>240.79</v>
      </c>
      <c r="L466">
        <v>0</v>
      </c>
      <c r="M466">
        <v>13.22</v>
      </c>
      <c r="N466" t="s">
        <v>5464</v>
      </c>
      <c r="O466" t="s">
        <v>5471</v>
      </c>
      <c r="P466" t="s">
        <v>5477</v>
      </c>
      <c r="Q466" s="4">
        <v>240.79</v>
      </c>
    </row>
    <row r="467" spans="1:17" x14ac:dyDescent="0.3">
      <c r="A467" t="s">
        <v>474</v>
      </c>
      <c r="B467" t="s">
        <v>1856</v>
      </c>
      <c r="C467" s="1">
        <v>45521</v>
      </c>
      <c r="D467" t="s">
        <v>2952</v>
      </c>
      <c r="E467" t="s">
        <v>3686</v>
      </c>
      <c r="F467" t="s">
        <v>4549</v>
      </c>
      <c r="G467" t="s">
        <v>4573</v>
      </c>
      <c r="H467" t="s">
        <v>4587</v>
      </c>
      <c r="I467" t="s">
        <v>4596</v>
      </c>
      <c r="J467">
        <v>2</v>
      </c>
      <c r="K467">
        <v>14.76</v>
      </c>
      <c r="L467">
        <v>0.1</v>
      </c>
      <c r="M467">
        <v>9.7799999999999994</v>
      </c>
      <c r="N467" t="s">
        <v>5467</v>
      </c>
      <c r="O467" t="s">
        <v>5474</v>
      </c>
      <c r="P467" t="s">
        <v>5477</v>
      </c>
      <c r="Q467" s="4">
        <v>26.568000000000001</v>
      </c>
    </row>
    <row r="468" spans="1:17" x14ac:dyDescent="0.3">
      <c r="A468" t="s">
        <v>475</v>
      </c>
      <c r="B468" t="s">
        <v>1857</v>
      </c>
      <c r="C468" s="1">
        <v>46000</v>
      </c>
      <c r="D468" t="s">
        <v>2953</v>
      </c>
      <c r="E468" t="s">
        <v>3687</v>
      </c>
      <c r="F468" t="s">
        <v>4569</v>
      </c>
      <c r="G468" t="s">
        <v>4572</v>
      </c>
      <c r="H468" t="s">
        <v>4584</v>
      </c>
      <c r="I468" t="s">
        <v>4595</v>
      </c>
      <c r="J468">
        <v>5</v>
      </c>
      <c r="K468">
        <v>41.97</v>
      </c>
      <c r="L468">
        <v>0</v>
      </c>
      <c r="M468">
        <v>11.66</v>
      </c>
      <c r="N468" t="s">
        <v>5466</v>
      </c>
      <c r="O468" t="s">
        <v>5481</v>
      </c>
      <c r="P468" t="s">
        <v>5477</v>
      </c>
      <c r="Q468" s="4">
        <v>209.85</v>
      </c>
    </row>
    <row r="469" spans="1:17" x14ac:dyDescent="0.3">
      <c r="A469" t="s">
        <v>476</v>
      </c>
      <c r="B469" t="s">
        <v>1858</v>
      </c>
      <c r="C469" s="1">
        <v>45458</v>
      </c>
      <c r="D469" t="s">
        <v>2703</v>
      </c>
      <c r="E469" t="s">
        <v>3688</v>
      </c>
      <c r="F469" t="s">
        <v>4566</v>
      </c>
      <c r="G469" t="s">
        <v>4573</v>
      </c>
      <c r="H469" t="s">
        <v>4586</v>
      </c>
      <c r="I469" t="s">
        <v>4593</v>
      </c>
      <c r="J469">
        <v>4</v>
      </c>
      <c r="K469">
        <v>110.97</v>
      </c>
      <c r="L469">
        <v>0.1</v>
      </c>
      <c r="M469">
        <v>10.67</v>
      </c>
      <c r="N469" t="s">
        <v>5464</v>
      </c>
      <c r="O469" t="s">
        <v>5471</v>
      </c>
      <c r="P469" t="s">
        <v>5477</v>
      </c>
      <c r="Q469" s="4">
        <v>399.49200000000002</v>
      </c>
    </row>
    <row r="470" spans="1:17" x14ac:dyDescent="0.3">
      <c r="A470" t="s">
        <v>477</v>
      </c>
      <c r="B470" t="s">
        <v>1859</v>
      </c>
      <c r="C470" s="1">
        <v>45497</v>
      </c>
      <c r="D470" t="s">
        <v>2935</v>
      </c>
      <c r="E470" t="s">
        <v>5481</v>
      </c>
      <c r="F470" t="s">
        <v>4569</v>
      </c>
      <c r="G470" t="s">
        <v>4580</v>
      </c>
      <c r="H470" t="s">
        <v>4584</v>
      </c>
      <c r="I470" t="s">
        <v>4595</v>
      </c>
      <c r="J470">
        <v>4</v>
      </c>
      <c r="K470">
        <v>43.16</v>
      </c>
      <c r="L470">
        <v>0.15</v>
      </c>
      <c r="M470">
        <v>7.38</v>
      </c>
      <c r="N470" t="s">
        <v>5464</v>
      </c>
      <c r="O470" t="s">
        <v>5470</v>
      </c>
      <c r="P470" t="s">
        <v>5476</v>
      </c>
      <c r="Q470" s="4">
        <v>146.74399999999997</v>
      </c>
    </row>
    <row r="471" spans="1:17" x14ac:dyDescent="0.3">
      <c r="A471" t="s">
        <v>478</v>
      </c>
      <c r="B471" t="s">
        <v>1860</v>
      </c>
      <c r="C471" s="1">
        <v>45873</v>
      </c>
      <c r="D471" t="s">
        <v>2709</v>
      </c>
      <c r="E471" t="s">
        <v>3689</v>
      </c>
      <c r="F471" t="s">
        <v>4565</v>
      </c>
      <c r="G471" t="s">
        <v>4575</v>
      </c>
      <c r="H471" t="s">
        <v>4583</v>
      </c>
      <c r="I471" t="s">
        <v>4588</v>
      </c>
      <c r="J471">
        <v>2</v>
      </c>
      <c r="K471">
        <v>38.47</v>
      </c>
      <c r="L471">
        <v>0.05</v>
      </c>
      <c r="M471">
        <v>14.08</v>
      </c>
      <c r="N471" t="s">
        <v>5468</v>
      </c>
      <c r="O471" t="s">
        <v>5473</v>
      </c>
      <c r="P471" t="s">
        <v>5477</v>
      </c>
      <c r="Q471" s="4">
        <v>73.092999999999989</v>
      </c>
    </row>
    <row r="472" spans="1:17" x14ac:dyDescent="0.3">
      <c r="A472" t="s">
        <v>479</v>
      </c>
      <c r="B472" t="s">
        <v>1861</v>
      </c>
      <c r="C472" s="1">
        <v>45855</v>
      </c>
      <c r="D472" t="s">
        <v>2955</v>
      </c>
      <c r="E472" t="s">
        <v>3690</v>
      </c>
      <c r="F472" t="s">
        <v>4569</v>
      </c>
      <c r="G472" t="s">
        <v>4581</v>
      </c>
      <c r="H472" t="s">
        <v>4585</v>
      </c>
      <c r="I472" t="s">
        <v>4590</v>
      </c>
      <c r="J472">
        <v>2</v>
      </c>
      <c r="K472">
        <v>14.42</v>
      </c>
      <c r="L472">
        <v>0.05</v>
      </c>
      <c r="M472">
        <v>8.17</v>
      </c>
      <c r="N472" t="s">
        <v>5467</v>
      </c>
      <c r="O472" t="s">
        <v>5471</v>
      </c>
      <c r="P472" t="s">
        <v>5477</v>
      </c>
      <c r="Q472" s="4">
        <v>27.398</v>
      </c>
    </row>
    <row r="473" spans="1:17" x14ac:dyDescent="0.3">
      <c r="A473" t="s">
        <v>480</v>
      </c>
      <c r="B473" t="s">
        <v>1862</v>
      </c>
      <c r="C473" s="1">
        <v>45508</v>
      </c>
      <c r="D473" t="s">
        <v>5491</v>
      </c>
      <c r="E473" t="s">
        <v>3691</v>
      </c>
      <c r="F473" t="s">
        <v>4565</v>
      </c>
      <c r="G473" t="s">
        <v>4575</v>
      </c>
      <c r="H473" t="s">
        <v>4587</v>
      </c>
      <c r="I473" t="s">
        <v>4594</v>
      </c>
      <c r="J473">
        <v>10</v>
      </c>
      <c r="K473">
        <v>58.61</v>
      </c>
      <c r="L473">
        <v>0.05</v>
      </c>
      <c r="M473">
        <v>9.83</v>
      </c>
      <c r="N473" t="s">
        <v>5468</v>
      </c>
      <c r="O473" t="s">
        <v>5471</v>
      </c>
      <c r="P473" t="s">
        <v>5477</v>
      </c>
      <c r="Q473" s="4">
        <v>556.79499999999996</v>
      </c>
    </row>
    <row r="474" spans="1:17" x14ac:dyDescent="0.3">
      <c r="A474" t="s">
        <v>481</v>
      </c>
      <c r="B474" t="s">
        <v>1617</v>
      </c>
      <c r="C474" s="1">
        <v>46002</v>
      </c>
      <c r="D474" t="s">
        <v>2957</v>
      </c>
      <c r="E474" t="s">
        <v>3692</v>
      </c>
      <c r="F474" t="s">
        <v>4565</v>
      </c>
      <c r="G474" t="s">
        <v>4576</v>
      </c>
      <c r="H474" t="s">
        <v>4585</v>
      </c>
      <c r="I474" t="s">
        <v>4598</v>
      </c>
      <c r="J474">
        <v>2</v>
      </c>
      <c r="K474">
        <v>3.08</v>
      </c>
      <c r="L474">
        <v>0.05</v>
      </c>
      <c r="M474">
        <v>6.22</v>
      </c>
      <c r="N474" t="s">
        <v>5465</v>
      </c>
      <c r="O474" t="s">
        <v>5470</v>
      </c>
      <c r="P474" t="s">
        <v>5477</v>
      </c>
      <c r="Q474" s="4">
        <v>5.8519999999999994</v>
      </c>
    </row>
    <row r="475" spans="1:17" x14ac:dyDescent="0.3">
      <c r="A475" t="s">
        <v>482</v>
      </c>
      <c r="B475" t="s">
        <v>1863</v>
      </c>
      <c r="C475" s="1">
        <v>45427</v>
      </c>
      <c r="D475" t="s">
        <v>2859</v>
      </c>
      <c r="E475" t="s">
        <v>3693</v>
      </c>
      <c r="F475" t="s">
        <v>4566</v>
      </c>
      <c r="G475" t="s">
        <v>4573</v>
      </c>
      <c r="H475" t="s">
        <v>4587</v>
      </c>
      <c r="I475" t="s">
        <v>4600</v>
      </c>
      <c r="J475">
        <v>1</v>
      </c>
      <c r="K475">
        <v>12.72</v>
      </c>
      <c r="L475">
        <v>0.15</v>
      </c>
      <c r="M475">
        <v>10.55</v>
      </c>
      <c r="N475" t="s">
        <v>5468</v>
      </c>
      <c r="O475" t="s">
        <v>5469</v>
      </c>
      <c r="P475" t="s">
        <v>5475</v>
      </c>
      <c r="Q475" s="4">
        <v>10.811999999999999</v>
      </c>
    </row>
    <row r="476" spans="1:17" x14ac:dyDescent="0.3">
      <c r="A476" t="s">
        <v>483</v>
      </c>
      <c r="B476" t="s">
        <v>1864</v>
      </c>
      <c r="C476" s="1">
        <v>45746</v>
      </c>
      <c r="D476" t="s">
        <v>2663</v>
      </c>
      <c r="E476" t="s">
        <v>3694</v>
      </c>
      <c r="F476" t="s">
        <v>4566</v>
      </c>
      <c r="G476" t="s">
        <v>4577</v>
      </c>
      <c r="H476" t="s">
        <v>4585</v>
      </c>
      <c r="I476" t="s">
        <v>4592</v>
      </c>
      <c r="J476">
        <v>5</v>
      </c>
      <c r="K476">
        <v>6.8</v>
      </c>
      <c r="L476">
        <v>0.05</v>
      </c>
      <c r="M476">
        <v>9.2200000000000006</v>
      </c>
      <c r="N476" t="s">
        <v>5465</v>
      </c>
      <c r="O476" t="s">
        <v>5474</v>
      </c>
      <c r="P476" t="s">
        <v>5477</v>
      </c>
      <c r="Q476" s="4">
        <v>32.299999999999997</v>
      </c>
    </row>
    <row r="477" spans="1:17" x14ac:dyDescent="0.3">
      <c r="A477" t="s">
        <v>484</v>
      </c>
      <c r="B477" t="s">
        <v>1865</v>
      </c>
      <c r="C477" s="1">
        <v>45953</v>
      </c>
      <c r="D477" t="s">
        <v>2663</v>
      </c>
      <c r="E477" t="s">
        <v>3695</v>
      </c>
      <c r="F477" t="s">
        <v>4549</v>
      </c>
      <c r="G477" t="s">
        <v>4574</v>
      </c>
      <c r="H477" t="s">
        <v>4585</v>
      </c>
      <c r="I477" t="s">
        <v>4592</v>
      </c>
      <c r="J477">
        <v>1</v>
      </c>
      <c r="K477">
        <v>6.52</v>
      </c>
      <c r="L477">
        <v>0.15</v>
      </c>
      <c r="M477">
        <v>0.31</v>
      </c>
      <c r="N477" t="s">
        <v>5462</v>
      </c>
      <c r="O477" t="s">
        <v>5471</v>
      </c>
      <c r="P477" t="s">
        <v>5477</v>
      </c>
      <c r="Q477" s="4">
        <v>5.5419999999999998</v>
      </c>
    </row>
    <row r="478" spans="1:17" x14ac:dyDescent="0.3">
      <c r="A478" t="s">
        <v>485</v>
      </c>
      <c r="B478" t="s">
        <v>1866</v>
      </c>
      <c r="C478" s="1">
        <v>45472</v>
      </c>
      <c r="D478" t="s">
        <v>2732</v>
      </c>
      <c r="E478" t="s">
        <v>3696</v>
      </c>
      <c r="F478" t="s">
        <v>4569</v>
      </c>
      <c r="G478" t="s">
        <v>4581</v>
      </c>
      <c r="H478" t="s">
        <v>4587</v>
      </c>
      <c r="I478" t="s">
        <v>4596</v>
      </c>
      <c r="J478">
        <v>1</v>
      </c>
      <c r="K478">
        <v>15.07</v>
      </c>
      <c r="L478">
        <v>0.05</v>
      </c>
      <c r="M478">
        <v>5.21</v>
      </c>
      <c r="N478" t="s">
        <v>5468</v>
      </c>
      <c r="O478" t="s">
        <v>5471</v>
      </c>
      <c r="P478" t="s">
        <v>5477</v>
      </c>
      <c r="Q478" s="4">
        <v>14.3165</v>
      </c>
    </row>
    <row r="479" spans="1:17" x14ac:dyDescent="0.3">
      <c r="A479" t="s">
        <v>486</v>
      </c>
      <c r="B479" t="s">
        <v>1867</v>
      </c>
      <c r="C479" s="1">
        <v>45898</v>
      </c>
      <c r="D479" t="s">
        <v>2839</v>
      </c>
      <c r="E479" t="s">
        <v>3697</v>
      </c>
      <c r="F479" t="s">
        <v>4549</v>
      </c>
      <c r="G479" t="s">
        <v>4574</v>
      </c>
      <c r="H479" t="s">
        <v>4584</v>
      </c>
      <c r="I479" t="s">
        <v>4595</v>
      </c>
      <c r="J479">
        <v>4</v>
      </c>
      <c r="K479">
        <v>44</v>
      </c>
      <c r="L479">
        <v>0.1</v>
      </c>
      <c r="M479">
        <v>5.95</v>
      </c>
      <c r="N479" t="s">
        <v>5481</v>
      </c>
      <c r="O479" t="s">
        <v>5471</v>
      </c>
      <c r="P479" t="s">
        <v>5477</v>
      </c>
      <c r="Q479" s="4">
        <v>158.4</v>
      </c>
    </row>
    <row r="480" spans="1:17" x14ac:dyDescent="0.3">
      <c r="A480" t="s">
        <v>487</v>
      </c>
      <c r="B480" t="s">
        <v>1868</v>
      </c>
      <c r="C480" s="1">
        <v>45340</v>
      </c>
      <c r="D480" t="s">
        <v>2891</v>
      </c>
      <c r="E480" t="s">
        <v>3698</v>
      </c>
      <c r="F480" t="s">
        <v>4566</v>
      </c>
      <c r="G480" t="s">
        <v>4582</v>
      </c>
      <c r="H480" t="s">
        <v>4586</v>
      </c>
      <c r="I480" t="s">
        <v>4599</v>
      </c>
      <c r="J480">
        <v>2</v>
      </c>
      <c r="K480">
        <v>253.87</v>
      </c>
      <c r="L480">
        <v>0.15</v>
      </c>
      <c r="M480">
        <v>0.04</v>
      </c>
      <c r="N480" t="s">
        <v>5467</v>
      </c>
      <c r="O480" t="s">
        <v>5472</v>
      </c>
      <c r="P480" t="s">
        <v>5477</v>
      </c>
      <c r="Q480" s="4">
        <v>431.57900000000001</v>
      </c>
    </row>
    <row r="481" spans="1:17" x14ac:dyDescent="0.3">
      <c r="A481" t="s">
        <v>488</v>
      </c>
      <c r="B481" t="s">
        <v>1869</v>
      </c>
      <c r="C481" s="1">
        <v>45756</v>
      </c>
      <c r="D481" t="s">
        <v>2958</v>
      </c>
      <c r="E481" t="s">
        <v>3699</v>
      </c>
      <c r="F481" t="s">
        <v>4566</v>
      </c>
      <c r="G481" t="s">
        <v>4577</v>
      </c>
      <c r="H481" t="s">
        <v>4586</v>
      </c>
      <c r="I481" t="s">
        <v>4593</v>
      </c>
      <c r="J481">
        <v>3</v>
      </c>
      <c r="K481">
        <v>112.92</v>
      </c>
      <c r="L481">
        <v>0</v>
      </c>
      <c r="M481">
        <v>0</v>
      </c>
      <c r="N481" t="s">
        <v>5468</v>
      </c>
      <c r="O481" t="s">
        <v>5481</v>
      </c>
      <c r="P481" t="s">
        <v>5477</v>
      </c>
      <c r="Q481" s="4">
        <v>338.76</v>
      </c>
    </row>
    <row r="482" spans="1:17" x14ac:dyDescent="0.3">
      <c r="A482" t="s">
        <v>489</v>
      </c>
      <c r="B482" t="s">
        <v>1870</v>
      </c>
      <c r="C482" s="1">
        <v>45418</v>
      </c>
      <c r="D482" t="s">
        <v>2827</v>
      </c>
      <c r="E482" t="s">
        <v>3700</v>
      </c>
      <c r="F482" t="s">
        <v>4569</v>
      </c>
      <c r="G482" t="s">
        <v>4572</v>
      </c>
      <c r="H482" t="s">
        <v>4586</v>
      </c>
      <c r="I482" t="s">
        <v>4597</v>
      </c>
      <c r="J482">
        <v>4</v>
      </c>
      <c r="K482">
        <v>92.41</v>
      </c>
      <c r="L482">
        <v>0.05</v>
      </c>
      <c r="M482">
        <v>2.98</v>
      </c>
      <c r="N482" t="s">
        <v>5466</v>
      </c>
      <c r="O482" t="s">
        <v>5471</v>
      </c>
      <c r="P482" t="s">
        <v>5477</v>
      </c>
      <c r="Q482" s="4">
        <v>351.15799999999996</v>
      </c>
    </row>
    <row r="483" spans="1:17" x14ac:dyDescent="0.3">
      <c r="A483" t="s">
        <v>490</v>
      </c>
      <c r="B483" t="s">
        <v>1871</v>
      </c>
      <c r="C483" s="1">
        <v>45301</v>
      </c>
      <c r="D483" t="s">
        <v>2759</v>
      </c>
      <c r="E483" t="s">
        <v>5481</v>
      </c>
      <c r="F483" t="s">
        <v>4549</v>
      </c>
      <c r="G483" t="s">
        <v>4573</v>
      </c>
      <c r="H483" t="s">
        <v>4584</v>
      </c>
      <c r="I483" t="s">
        <v>4608</v>
      </c>
      <c r="J483">
        <v>1</v>
      </c>
      <c r="K483">
        <v>19.489999999999998</v>
      </c>
      <c r="L483">
        <v>0</v>
      </c>
      <c r="N483" t="s">
        <v>5466</v>
      </c>
      <c r="O483" t="s">
        <v>5474</v>
      </c>
      <c r="P483" t="s">
        <v>5477</v>
      </c>
      <c r="Q483" s="4">
        <v>19.489999999999998</v>
      </c>
    </row>
    <row r="484" spans="1:17" x14ac:dyDescent="0.3">
      <c r="A484" t="s">
        <v>491</v>
      </c>
      <c r="B484" t="s">
        <v>1872</v>
      </c>
      <c r="C484" s="1">
        <v>45491</v>
      </c>
      <c r="D484" t="s">
        <v>3012</v>
      </c>
      <c r="E484" t="s">
        <v>3701</v>
      </c>
      <c r="F484" t="s">
        <v>4565</v>
      </c>
      <c r="G484" t="s">
        <v>5481</v>
      </c>
      <c r="H484" t="s">
        <v>4583</v>
      </c>
      <c r="I484" t="s">
        <v>4605</v>
      </c>
      <c r="J484">
        <v>1</v>
      </c>
      <c r="K484">
        <v>45.95</v>
      </c>
      <c r="L484">
        <v>0</v>
      </c>
      <c r="M484">
        <v>14.84</v>
      </c>
      <c r="N484" t="s">
        <v>5464</v>
      </c>
      <c r="O484" t="s">
        <v>5469</v>
      </c>
      <c r="P484" t="s">
        <v>5477</v>
      </c>
      <c r="Q484" s="4">
        <v>45.95</v>
      </c>
    </row>
    <row r="485" spans="1:17" x14ac:dyDescent="0.3">
      <c r="A485" t="s">
        <v>357</v>
      </c>
      <c r="B485" t="s">
        <v>1749</v>
      </c>
      <c r="C485" s="1">
        <v>45359</v>
      </c>
      <c r="D485" t="s">
        <v>2859</v>
      </c>
      <c r="E485" t="s">
        <v>3581</v>
      </c>
      <c r="F485" t="s">
        <v>4569</v>
      </c>
      <c r="G485" t="s">
        <v>4572</v>
      </c>
      <c r="H485" t="s">
        <v>4586</v>
      </c>
      <c r="I485" t="s">
        <v>4593</v>
      </c>
      <c r="J485">
        <v>10</v>
      </c>
      <c r="K485">
        <v>109.79</v>
      </c>
      <c r="L485">
        <v>0</v>
      </c>
      <c r="M485">
        <v>10.97</v>
      </c>
      <c r="N485" t="s">
        <v>5466</v>
      </c>
      <c r="O485" t="s">
        <v>5472</v>
      </c>
      <c r="P485" t="s">
        <v>5477</v>
      </c>
      <c r="Q485" s="4">
        <v>1097.9000000000001</v>
      </c>
    </row>
    <row r="486" spans="1:17" x14ac:dyDescent="0.3">
      <c r="A486" t="s">
        <v>492</v>
      </c>
      <c r="B486" t="s">
        <v>1873</v>
      </c>
      <c r="C486" s="1">
        <v>45821</v>
      </c>
      <c r="D486" t="s">
        <v>2884</v>
      </c>
      <c r="E486" t="s">
        <v>3702</v>
      </c>
      <c r="F486" t="s">
        <v>4564</v>
      </c>
      <c r="G486" t="s">
        <v>4578</v>
      </c>
      <c r="H486" t="s">
        <v>4585</v>
      </c>
      <c r="I486" t="s">
        <v>4592</v>
      </c>
      <c r="J486">
        <v>2</v>
      </c>
      <c r="K486">
        <v>6.71</v>
      </c>
      <c r="L486">
        <v>0</v>
      </c>
      <c r="M486">
        <v>11.22</v>
      </c>
      <c r="N486" t="s">
        <v>5468</v>
      </c>
      <c r="O486" t="s">
        <v>5481</v>
      </c>
      <c r="P486" t="s">
        <v>5475</v>
      </c>
      <c r="Q486" s="4">
        <v>13.42</v>
      </c>
    </row>
    <row r="487" spans="1:17" x14ac:dyDescent="0.3">
      <c r="A487" t="s">
        <v>493</v>
      </c>
      <c r="B487" t="s">
        <v>1874</v>
      </c>
      <c r="C487" s="1">
        <v>45660</v>
      </c>
      <c r="D487" t="s">
        <v>2901</v>
      </c>
      <c r="E487" t="s">
        <v>3703</v>
      </c>
      <c r="F487" t="s">
        <v>4549</v>
      </c>
      <c r="G487" t="s">
        <v>4574</v>
      </c>
      <c r="H487" t="s">
        <v>4585</v>
      </c>
      <c r="I487" t="s">
        <v>4592</v>
      </c>
      <c r="J487">
        <v>3</v>
      </c>
      <c r="K487">
        <v>6.41</v>
      </c>
      <c r="L487">
        <v>0</v>
      </c>
      <c r="M487">
        <v>4.26</v>
      </c>
      <c r="N487" t="s">
        <v>5463</v>
      </c>
      <c r="O487" t="s">
        <v>5472</v>
      </c>
      <c r="P487" t="s">
        <v>5477</v>
      </c>
      <c r="Q487" s="4">
        <v>19.23</v>
      </c>
    </row>
    <row r="488" spans="1:17" x14ac:dyDescent="0.3">
      <c r="A488" t="s">
        <v>494</v>
      </c>
      <c r="B488" t="s">
        <v>1875</v>
      </c>
      <c r="C488" s="1">
        <v>45422</v>
      </c>
      <c r="D488" t="s">
        <v>2962</v>
      </c>
      <c r="E488" t="s">
        <v>3704</v>
      </c>
      <c r="F488" t="s">
        <v>4565</v>
      </c>
      <c r="G488" t="s">
        <v>4576</v>
      </c>
      <c r="H488" t="s">
        <v>4583</v>
      </c>
      <c r="I488" t="s">
        <v>4604</v>
      </c>
      <c r="J488">
        <v>10</v>
      </c>
      <c r="K488">
        <v>23.61</v>
      </c>
      <c r="L488">
        <v>0</v>
      </c>
      <c r="M488">
        <v>0</v>
      </c>
      <c r="N488" t="s">
        <v>5465</v>
      </c>
      <c r="O488" t="s">
        <v>5473</v>
      </c>
      <c r="P488" t="s">
        <v>5477</v>
      </c>
      <c r="Q488" s="4">
        <v>236.1</v>
      </c>
    </row>
    <row r="489" spans="1:17" x14ac:dyDescent="0.3">
      <c r="A489" t="s">
        <v>495</v>
      </c>
      <c r="B489" t="s">
        <v>1876</v>
      </c>
      <c r="C489" s="1">
        <v>45744</v>
      </c>
      <c r="D489" t="s">
        <v>2807</v>
      </c>
      <c r="E489" t="s">
        <v>3705</v>
      </c>
      <c r="F489" t="s">
        <v>4564</v>
      </c>
      <c r="G489" t="s">
        <v>4578</v>
      </c>
      <c r="H489" t="s">
        <v>4584</v>
      </c>
      <c r="I489" t="s">
        <v>4589</v>
      </c>
      <c r="J489">
        <v>1</v>
      </c>
      <c r="K489">
        <v>34.799999999999997</v>
      </c>
      <c r="L489">
        <v>0</v>
      </c>
      <c r="M489">
        <v>6.48</v>
      </c>
      <c r="N489" t="s">
        <v>5466</v>
      </c>
      <c r="O489" t="s">
        <v>5471</v>
      </c>
      <c r="P489" t="s">
        <v>5477</v>
      </c>
      <c r="Q489" s="4">
        <v>34.799999999999997</v>
      </c>
    </row>
    <row r="490" spans="1:17" x14ac:dyDescent="0.3">
      <c r="A490" t="s">
        <v>496</v>
      </c>
      <c r="B490" t="s">
        <v>1877</v>
      </c>
      <c r="C490" s="1">
        <v>45911</v>
      </c>
      <c r="D490" t="s">
        <v>2779</v>
      </c>
      <c r="E490" t="s">
        <v>3706</v>
      </c>
      <c r="F490" t="s">
        <v>4566</v>
      </c>
      <c r="G490" t="s">
        <v>4577</v>
      </c>
      <c r="H490" t="s">
        <v>4585</v>
      </c>
      <c r="I490" t="s">
        <v>4598</v>
      </c>
      <c r="J490">
        <v>1</v>
      </c>
      <c r="K490">
        <v>2.95</v>
      </c>
      <c r="L490">
        <v>0</v>
      </c>
      <c r="M490">
        <v>7.09</v>
      </c>
      <c r="N490" t="s">
        <v>5466</v>
      </c>
      <c r="O490" t="s">
        <v>5471</v>
      </c>
      <c r="P490" t="s">
        <v>5477</v>
      </c>
      <c r="Q490" s="4">
        <v>2.95</v>
      </c>
    </row>
    <row r="491" spans="1:17" x14ac:dyDescent="0.3">
      <c r="A491" t="s">
        <v>497</v>
      </c>
      <c r="B491" t="s">
        <v>1878</v>
      </c>
      <c r="C491" s="1">
        <v>45946</v>
      </c>
      <c r="D491" t="s">
        <v>2963</v>
      </c>
      <c r="E491" t="s">
        <v>3707</v>
      </c>
      <c r="F491" t="s">
        <v>4569</v>
      </c>
      <c r="G491" t="s">
        <v>4581</v>
      </c>
      <c r="H491" t="s">
        <v>4584</v>
      </c>
      <c r="I491" t="s">
        <v>4603</v>
      </c>
      <c r="J491">
        <v>5</v>
      </c>
      <c r="K491">
        <v>9.0299999999999994</v>
      </c>
      <c r="L491">
        <v>0.05</v>
      </c>
      <c r="M491">
        <v>8.33</v>
      </c>
      <c r="N491" t="s">
        <v>5464</v>
      </c>
      <c r="O491" t="s">
        <v>5473</v>
      </c>
      <c r="P491" t="s">
        <v>5477</v>
      </c>
      <c r="Q491" s="4">
        <v>42.892499999999998</v>
      </c>
    </row>
    <row r="492" spans="1:17" x14ac:dyDescent="0.3">
      <c r="A492" t="s">
        <v>498</v>
      </c>
      <c r="B492" t="s">
        <v>1421</v>
      </c>
      <c r="C492" s="1">
        <v>45937</v>
      </c>
      <c r="D492" t="s">
        <v>2939</v>
      </c>
      <c r="E492" t="s">
        <v>3708</v>
      </c>
      <c r="F492" t="s">
        <v>4566</v>
      </c>
      <c r="G492" t="s">
        <v>4573</v>
      </c>
      <c r="H492" t="s">
        <v>4583</v>
      </c>
      <c r="I492" t="s">
        <v>4604</v>
      </c>
      <c r="J492">
        <v>1</v>
      </c>
      <c r="K492">
        <v>21.67</v>
      </c>
      <c r="L492">
        <v>0</v>
      </c>
      <c r="M492">
        <v>5.05</v>
      </c>
      <c r="N492" t="s">
        <v>5464</v>
      </c>
      <c r="O492" t="s">
        <v>5481</v>
      </c>
      <c r="P492" t="s">
        <v>5477</v>
      </c>
      <c r="Q492" s="4">
        <v>21.67</v>
      </c>
    </row>
    <row r="493" spans="1:17" x14ac:dyDescent="0.3">
      <c r="A493" t="s">
        <v>499</v>
      </c>
      <c r="B493" t="s">
        <v>1879</v>
      </c>
      <c r="C493" s="1">
        <v>45479</v>
      </c>
      <c r="D493" t="s">
        <v>3113</v>
      </c>
      <c r="E493" t="s">
        <v>3709</v>
      </c>
      <c r="F493" t="s">
        <v>4566</v>
      </c>
      <c r="G493" t="s">
        <v>4582</v>
      </c>
      <c r="H493" t="s">
        <v>4583</v>
      </c>
      <c r="I493" t="s">
        <v>4610</v>
      </c>
      <c r="J493">
        <v>1</v>
      </c>
      <c r="K493">
        <v>82.97</v>
      </c>
      <c r="L493">
        <v>0</v>
      </c>
      <c r="M493">
        <v>10.3</v>
      </c>
      <c r="N493" t="s">
        <v>5462</v>
      </c>
      <c r="O493" t="s">
        <v>5473</v>
      </c>
      <c r="P493" t="s">
        <v>5475</v>
      </c>
      <c r="Q493" s="4">
        <v>82.97</v>
      </c>
    </row>
    <row r="494" spans="1:17" x14ac:dyDescent="0.3">
      <c r="A494" t="s">
        <v>500</v>
      </c>
      <c r="B494" t="s">
        <v>1880</v>
      </c>
      <c r="C494" s="1">
        <v>45868</v>
      </c>
      <c r="D494" t="s">
        <v>2965</v>
      </c>
      <c r="E494" t="s">
        <v>3710</v>
      </c>
      <c r="F494" t="s">
        <v>4549</v>
      </c>
      <c r="G494" t="s">
        <v>4573</v>
      </c>
      <c r="H494" t="s">
        <v>4585</v>
      </c>
      <c r="I494" t="s">
        <v>4598</v>
      </c>
      <c r="J494">
        <v>2</v>
      </c>
      <c r="K494">
        <v>3.1</v>
      </c>
      <c r="L494">
        <v>0.15</v>
      </c>
      <c r="M494">
        <v>11.8</v>
      </c>
      <c r="N494" t="s">
        <v>5462</v>
      </c>
      <c r="O494" t="s">
        <v>5481</v>
      </c>
      <c r="P494" t="s">
        <v>5479</v>
      </c>
      <c r="Q494" s="4">
        <v>5.27</v>
      </c>
    </row>
    <row r="495" spans="1:17" x14ac:dyDescent="0.3">
      <c r="A495" t="s">
        <v>501</v>
      </c>
      <c r="B495" t="s">
        <v>1881</v>
      </c>
      <c r="C495" s="1">
        <v>45307</v>
      </c>
      <c r="D495" t="s">
        <v>2927</v>
      </c>
      <c r="E495" t="s">
        <v>3711</v>
      </c>
      <c r="F495" t="s">
        <v>4565</v>
      </c>
      <c r="G495" t="s">
        <v>4576</v>
      </c>
      <c r="H495" t="s">
        <v>4586</v>
      </c>
      <c r="I495" t="s">
        <v>4597</v>
      </c>
      <c r="J495">
        <v>1</v>
      </c>
      <c r="K495">
        <v>87.59</v>
      </c>
      <c r="L495">
        <v>0.1</v>
      </c>
      <c r="M495">
        <v>11.48</v>
      </c>
      <c r="N495" t="s">
        <v>5481</v>
      </c>
      <c r="O495" t="s">
        <v>5471</v>
      </c>
      <c r="P495" t="s">
        <v>5477</v>
      </c>
      <c r="Q495" s="4">
        <v>78.831000000000003</v>
      </c>
    </row>
    <row r="496" spans="1:17" x14ac:dyDescent="0.3">
      <c r="A496" t="s">
        <v>502</v>
      </c>
      <c r="B496" t="s">
        <v>1795</v>
      </c>
      <c r="C496" s="1">
        <v>45351</v>
      </c>
      <c r="D496" t="s">
        <v>2966</v>
      </c>
      <c r="E496" t="s">
        <v>3712</v>
      </c>
      <c r="F496" t="s">
        <v>4564</v>
      </c>
      <c r="G496" t="s">
        <v>4573</v>
      </c>
      <c r="H496" t="s">
        <v>4583</v>
      </c>
      <c r="I496" t="s">
        <v>4605</v>
      </c>
      <c r="J496">
        <v>5</v>
      </c>
      <c r="K496">
        <v>42.81</v>
      </c>
      <c r="L496">
        <v>0</v>
      </c>
      <c r="M496">
        <v>11.01</v>
      </c>
      <c r="N496" t="s">
        <v>5462</v>
      </c>
      <c r="O496" t="s">
        <v>5469</v>
      </c>
      <c r="P496" t="s">
        <v>5477</v>
      </c>
      <c r="Q496" s="4">
        <v>214.05</v>
      </c>
    </row>
    <row r="497" spans="1:17" x14ac:dyDescent="0.3">
      <c r="A497" t="s">
        <v>503</v>
      </c>
      <c r="B497" t="s">
        <v>1882</v>
      </c>
      <c r="C497" s="1">
        <v>46012</v>
      </c>
      <c r="D497" t="s">
        <v>2740</v>
      </c>
      <c r="E497" t="s">
        <v>3713</v>
      </c>
      <c r="F497" t="s">
        <v>4566</v>
      </c>
      <c r="G497" t="s">
        <v>4582</v>
      </c>
      <c r="H497" t="s">
        <v>4583</v>
      </c>
      <c r="I497" t="s">
        <v>4605</v>
      </c>
      <c r="J497">
        <v>1</v>
      </c>
      <c r="K497">
        <v>46.19</v>
      </c>
      <c r="L497">
        <v>0.1</v>
      </c>
      <c r="M497">
        <v>8.4499999999999993</v>
      </c>
      <c r="N497" t="s">
        <v>5463</v>
      </c>
      <c r="O497" t="s">
        <v>5481</v>
      </c>
      <c r="P497" t="s">
        <v>5477</v>
      </c>
      <c r="Q497" s="4">
        <v>41.570999999999998</v>
      </c>
    </row>
    <row r="498" spans="1:17" x14ac:dyDescent="0.3">
      <c r="A498" t="s">
        <v>504</v>
      </c>
      <c r="B498" t="s">
        <v>1883</v>
      </c>
      <c r="C498" s="1">
        <v>45767</v>
      </c>
      <c r="D498" t="s">
        <v>2967</v>
      </c>
      <c r="E498" t="s">
        <v>3714</v>
      </c>
      <c r="F498" t="s">
        <v>4566</v>
      </c>
      <c r="G498" t="s">
        <v>4577</v>
      </c>
      <c r="H498" t="s">
        <v>4587</v>
      </c>
      <c r="I498" t="s">
        <v>4606</v>
      </c>
      <c r="J498">
        <v>1</v>
      </c>
      <c r="K498">
        <v>30.67</v>
      </c>
      <c r="L498">
        <v>0</v>
      </c>
      <c r="N498" t="s">
        <v>5481</v>
      </c>
      <c r="O498" t="s">
        <v>5471</v>
      </c>
      <c r="P498" t="s">
        <v>5477</v>
      </c>
      <c r="Q498" s="4">
        <v>30.67</v>
      </c>
    </row>
    <row r="499" spans="1:17" x14ac:dyDescent="0.3">
      <c r="A499" t="s">
        <v>505</v>
      </c>
      <c r="B499" t="s">
        <v>1884</v>
      </c>
      <c r="C499" s="1">
        <v>45476</v>
      </c>
      <c r="D499" t="s">
        <v>2846</v>
      </c>
      <c r="E499" t="s">
        <v>3715</v>
      </c>
      <c r="F499" t="s">
        <v>4549</v>
      </c>
      <c r="G499" t="s">
        <v>4574</v>
      </c>
      <c r="H499" t="s">
        <v>4587</v>
      </c>
      <c r="I499" t="s">
        <v>4600</v>
      </c>
      <c r="J499">
        <v>1</v>
      </c>
      <c r="K499">
        <v>13.47</v>
      </c>
      <c r="L499">
        <v>0.05</v>
      </c>
      <c r="M499">
        <v>14.8</v>
      </c>
      <c r="N499" t="s">
        <v>5465</v>
      </c>
      <c r="O499" t="s">
        <v>5471</v>
      </c>
      <c r="P499" t="s">
        <v>5477</v>
      </c>
      <c r="Q499" s="4">
        <v>12.7965</v>
      </c>
    </row>
    <row r="500" spans="1:17" x14ac:dyDescent="0.3">
      <c r="A500" t="s">
        <v>506</v>
      </c>
      <c r="B500" t="s">
        <v>1885</v>
      </c>
      <c r="C500" s="1">
        <v>45724</v>
      </c>
      <c r="D500" t="s">
        <v>2690</v>
      </c>
      <c r="E500" t="s">
        <v>3716</v>
      </c>
      <c r="F500" t="s">
        <v>4569</v>
      </c>
      <c r="G500" t="s">
        <v>4580</v>
      </c>
      <c r="H500" t="s">
        <v>4586</v>
      </c>
      <c r="I500" t="s">
        <v>4599</v>
      </c>
      <c r="J500">
        <v>3</v>
      </c>
      <c r="K500">
        <v>261.13</v>
      </c>
      <c r="L500">
        <v>0.1</v>
      </c>
      <c r="M500">
        <v>13.53</v>
      </c>
      <c r="N500" t="s">
        <v>5462</v>
      </c>
      <c r="O500" t="s">
        <v>5474</v>
      </c>
      <c r="P500" t="s">
        <v>5479</v>
      </c>
      <c r="Q500" s="4">
        <v>705.05100000000004</v>
      </c>
    </row>
    <row r="501" spans="1:17" x14ac:dyDescent="0.3">
      <c r="A501" t="s">
        <v>507</v>
      </c>
      <c r="B501" t="s">
        <v>1886</v>
      </c>
      <c r="C501" s="1">
        <v>45308</v>
      </c>
      <c r="D501" t="s">
        <v>2675</v>
      </c>
      <c r="E501" t="s">
        <v>3717</v>
      </c>
      <c r="F501" t="s">
        <v>4566</v>
      </c>
      <c r="G501" t="s">
        <v>4577</v>
      </c>
      <c r="H501" t="s">
        <v>4586</v>
      </c>
      <c r="I501" t="s">
        <v>4609</v>
      </c>
      <c r="J501">
        <v>10</v>
      </c>
      <c r="K501">
        <v>134.85</v>
      </c>
      <c r="L501">
        <v>0</v>
      </c>
      <c r="M501">
        <v>0</v>
      </c>
      <c r="N501" t="s">
        <v>5463</v>
      </c>
      <c r="O501" t="s">
        <v>5471</v>
      </c>
      <c r="P501" t="s">
        <v>5477</v>
      </c>
      <c r="Q501" s="4">
        <v>1348.5</v>
      </c>
    </row>
    <row r="502" spans="1:17" x14ac:dyDescent="0.3">
      <c r="A502" t="s">
        <v>508</v>
      </c>
      <c r="B502" t="s">
        <v>1887</v>
      </c>
      <c r="C502" s="1">
        <v>45512</v>
      </c>
      <c r="D502" t="s">
        <v>2714</v>
      </c>
      <c r="E502" t="s">
        <v>5481</v>
      </c>
      <c r="F502" t="s">
        <v>4564</v>
      </c>
      <c r="G502" t="s">
        <v>4573</v>
      </c>
      <c r="H502" t="s">
        <v>4585</v>
      </c>
      <c r="I502" t="s">
        <v>4592</v>
      </c>
      <c r="J502">
        <v>1</v>
      </c>
      <c r="K502">
        <v>6.36</v>
      </c>
      <c r="L502">
        <v>0.05</v>
      </c>
      <c r="M502">
        <v>9.1300000000000008</v>
      </c>
      <c r="N502" t="s">
        <v>5468</v>
      </c>
      <c r="O502" t="s">
        <v>5469</v>
      </c>
      <c r="P502" t="s">
        <v>5479</v>
      </c>
      <c r="Q502" s="4">
        <v>6.0419999999999998</v>
      </c>
    </row>
    <row r="503" spans="1:17" x14ac:dyDescent="0.3">
      <c r="A503" t="s">
        <v>509</v>
      </c>
      <c r="B503" t="s">
        <v>1888</v>
      </c>
      <c r="C503" s="1">
        <v>45588</v>
      </c>
      <c r="D503" t="s">
        <v>2962</v>
      </c>
      <c r="E503" t="s">
        <v>3718</v>
      </c>
      <c r="F503" t="s">
        <v>4569</v>
      </c>
      <c r="G503" t="s">
        <v>4572</v>
      </c>
      <c r="H503" t="s">
        <v>4583</v>
      </c>
      <c r="I503" t="s">
        <v>4588</v>
      </c>
      <c r="J503">
        <v>2</v>
      </c>
      <c r="K503">
        <v>39.270000000000003</v>
      </c>
      <c r="L503">
        <v>0.1</v>
      </c>
      <c r="M503">
        <v>3.92</v>
      </c>
      <c r="N503" t="s">
        <v>5462</v>
      </c>
      <c r="O503" t="s">
        <v>5470</v>
      </c>
      <c r="P503" t="s">
        <v>5477</v>
      </c>
      <c r="Q503" s="4">
        <v>70.686000000000007</v>
      </c>
    </row>
    <row r="504" spans="1:17" x14ac:dyDescent="0.3">
      <c r="A504" t="s">
        <v>510</v>
      </c>
      <c r="B504" t="s">
        <v>1889</v>
      </c>
      <c r="C504" s="1">
        <v>46014</v>
      </c>
      <c r="D504" t="s">
        <v>2669</v>
      </c>
      <c r="E504" t="s">
        <v>3719</v>
      </c>
      <c r="F504" t="s">
        <v>4564</v>
      </c>
      <c r="G504" t="s">
        <v>4578</v>
      </c>
      <c r="H504" t="s">
        <v>4586</v>
      </c>
      <c r="I504" t="s">
        <v>4597</v>
      </c>
      <c r="J504">
        <v>10</v>
      </c>
      <c r="K504">
        <v>89.89</v>
      </c>
      <c r="L504">
        <v>0.05</v>
      </c>
      <c r="M504">
        <v>5.79</v>
      </c>
      <c r="N504" t="s">
        <v>5464</v>
      </c>
      <c r="O504" t="s">
        <v>5473</v>
      </c>
      <c r="P504" t="s">
        <v>5477</v>
      </c>
      <c r="Q504" s="4">
        <v>853.95499999999993</v>
      </c>
    </row>
    <row r="505" spans="1:17" x14ac:dyDescent="0.3">
      <c r="A505" t="s">
        <v>511</v>
      </c>
      <c r="B505" t="s">
        <v>1890</v>
      </c>
      <c r="C505" s="1">
        <v>46003</v>
      </c>
      <c r="D505" t="s">
        <v>2970</v>
      </c>
      <c r="E505" t="s">
        <v>3720</v>
      </c>
      <c r="F505" t="s">
        <v>4565</v>
      </c>
      <c r="G505" t="s">
        <v>4576</v>
      </c>
      <c r="H505" t="s">
        <v>4584</v>
      </c>
      <c r="I505" t="s">
        <v>4589</v>
      </c>
      <c r="J505">
        <v>1</v>
      </c>
      <c r="K505">
        <v>33.619999999999997</v>
      </c>
      <c r="L505">
        <v>0</v>
      </c>
      <c r="M505">
        <v>0</v>
      </c>
      <c r="N505" t="s">
        <v>5468</v>
      </c>
      <c r="O505" t="s">
        <v>5471</v>
      </c>
      <c r="P505" t="s">
        <v>5477</v>
      </c>
      <c r="Q505" s="4">
        <v>33.619999999999997</v>
      </c>
    </row>
    <row r="506" spans="1:17" x14ac:dyDescent="0.3">
      <c r="A506" t="s">
        <v>512</v>
      </c>
      <c r="B506" t="s">
        <v>1891</v>
      </c>
      <c r="C506" s="1">
        <v>45747</v>
      </c>
      <c r="D506" t="s">
        <v>3129</v>
      </c>
      <c r="E506" t="s">
        <v>3721</v>
      </c>
      <c r="F506" t="s">
        <v>4564</v>
      </c>
      <c r="G506" t="s">
        <v>4578</v>
      </c>
      <c r="H506" t="s">
        <v>4585</v>
      </c>
      <c r="I506" t="s">
        <v>4591</v>
      </c>
      <c r="J506">
        <v>1</v>
      </c>
      <c r="K506">
        <v>7.92</v>
      </c>
      <c r="L506">
        <v>0</v>
      </c>
      <c r="M506">
        <v>12.26</v>
      </c>
      <c r="N506" t="s">
        <v>5468</v>
      </c>
      <c r="O506" t="s">
        <v>5471</v>
      </c>
      <c r="P506" t="s">
        <v>5477</v>
      </c>
      <c r="Q506" s="4">
        <v>7.92</v>
      </c>
    </row>
    <row r="507" spans="1:17" x14ac:dyDescent="0.3">
      <c r="A507" t="s">
        <v>513</v>
      </c>
      <c r="B507" t="s">
        <v>1892</v>
      </c>
      <c r="C507" s="1">
        <v>45296</v>
      </c>
      <c r="D507" t="s">
        <v>2972</v>
      </c>
      <c r="E507" t="s">
        <v>3722</v>
      </c>
      <c r="F507" t="s">
        <v>4564</v>
      </c>
      <c r="G507" t="s">
        <v>4578</v>
      </c>
      <c r="H507" t="s">
        <v>4585</v>
      </c>
      <c r="I507" t="s">
        <v>4602</v>
      </c>
      <c r="J507">
        <v>5</v>
      </c>
      <c r="K507">
        <v>4.28</v>
      </c>
      <c r="L507">
        <v>0</v>
      </c>
      <c r="M507">
        <v>5.6</v>
      </c>
      <c r="N507" t="s">
        <v>5467</v>
      </c>
      <c r="O507" t="s">
        <v>5472</v>
      </c>
      <c r="P507" t="s">
        <v>5477</v>
      </c>
      <c r="Q507" s="4">
        <v>21.400000000000002</v>
      </c>
    </row>
    <row r="508" spans="1:17" x14ac:dyDescent="0.3">
      <c r="A508" t="s">
        <v>514</v>
      </c>
      <c r="B508" t="s">
        <v>1893</v>
      </c>
      <c r="C508" s="1">
        <v>45587</v>
      </c>
      <c r="D508" t="s">
        <v>2668</v>
      </c>
      <c r="E508" t="s">
        <v>3723</v>
      </c>
      <c r="F508" t="s">
        <v>4569</v>
      </c>
      <c r="G508" t="s">
        <v>4572</v>
      </c>
      <c r="H508" t="s">
        <v>4587</v>
      </c>
      <c r="I508" t="s">
        <v>4596</v>
      </c>
      <c r="J508">
        <v>1</v>
      </c>
      <c r="K508">
        <v>14.71</v>
      </c>
      <c r="L508">
        <v>0</v>
      </c>
      <c r="M508">
        <v>10.28</v>
      </c>
      <c r="N508" t="s">
        <v>5481</v>
      </c>
      <c r="O508" t="s">
        <v>5471</v>
      </c>
      <c r="P508" t="s">
        <v>5477</v>
      </c>
      <c r="Q508" s="4">
        <v>14.71</v>
      </c>
    </row>
    <row r="509" spans="1:17" x14ac:dyDescent="0.3">
      <c r="A509" t="s">
        <v>515</v>
      </c>
      <c r="B509" t="s">
        <v>1894</v>
      </c>
      <c r="C509" s="1">
        <v>45401</v>
      </c>
      <c r="D509" t="s">
        <v>3137</v>
      </c>
      <c r="E509" t="s">
        <v>3724</v>
      </c>
      <c r="F509" t="s">
        <v>4564</v>
      </c>
      <c r="G509" t="s">
        <v>4578</v>
      </c>
      <c r="H509" t="s">
        <v>4584</v>
      </c>
      <c r="I509" t="s">
        <v>4595</v>
      </c>
      <c r="J509">
        <v>2</v>
      </c>
      <c r="K509">
        <v>41.91</v>
      </c>
      <c r="L509">
        <v>0.15</v>
      </c>
      <c r="M509">
        <v>11.89</v>
      </c>
      <c r="N509" t="s">
        <v>5481</v>
      </c>
      <c r="O509" t="s">
        <v>5473</v>
      </c>
      <c r="P509" t="s">
        <v>5476</v>
      </c>
      <c r="Q509" s="4">
        <v>71.246999999999986</v>
      </c>
    </row>
    <row r="510" spans="1:17" x14ac:dyDescent="0.3">
      <c r="A510" t="s">
        <v>516</v>
      </c>
      <c r="B510" t="s">
        <v>1895</v>
      </c>
      <c r="C510" s="1">
        <v>45345</v>
      </c>
      <c r="D510" t="s">
        <v>2918</v>
      </c>
      <c r="E510" t="s">
        <v>3725</v>
      </c>
      <c r="F510" t="s">
        <v>4564</v>
      </c>
      <c r="G510" t="s">
        <v>4578</v>
      </c>
      <c r="H510" t="s">
        <v>4585</v>
      </c>
      <c r="I510" t="s">
        <v>4598</v>
      </c>
      <c r="J510">
        <v>1</v>
      </c>
      <c r="K510">
        <v>2.98</v>
      </c>
      <c r="L510">
        <v>0.1</v>
      </c>
      <c r="M510">
        <v>2.6</v>
      </c>
      <c r="N510" t="s">
        <v>5465</v>
      </c>
      <c r="O510" t="s">
        <v>5474</v>
      </c>
      <c r="P510" t="s">
        <v>5477</v>
      </c>
      <c r="Q510" s="4">
        <v>2.6819999999999999</v>
      </c>
    </row>
    <row r="511" spans="1:17" x14ac:dyDescent="0.3">
      <c r="A511" t="s">
        <v>517</v>
      </c>
      <c r="B511" t="s">
        <v>1896</v>
      </c>
      <c r="C511" s="1">
        <v>45581</v>
      </c>
      <c r="D511" t="s">
        <v>2974</v>
      </c>
      <c r="E511" t="s">
        <v>3726</v>
      </c>
      <c r="F511" t="s">
        <v>4549</v>
      </c>
      <c r="G511" t="s">
        <v>4574</v>
      </c>
      <c r="H511" t="s">
        <v>4583</v>
      </c>
      <c r="I511" t="s">
        <v>4610</v>
      </c>
      <c r="J511">
        <v>1</v>
      </c>
      <c r="K511">
        <v>82.5</v>
      </c>
      <c r="L511">
        <v>0.15</v>
      </c>
      <c r="M511">
        <v>14.01</v>
      </c>
      <c r="N511" t="s">
        <v>5481</v>
      </c>
      <c r="O511" t="s">
        <v>5470</v>
      </c>
      <c r="P511" t="s">
        <v>5477</v>
      </c>
      <c r="Q511" s="4">
        <v>70.125</v>
      </c>
    </row>
    <row r="512" spans="1:17" x14ac:dyDescent="0.3">
      <c r="A512" t="s">
        <v>518</v>
      </c>
      <c r="B512" t="s">
        <v>1897</v>
      </c>
      <c r="C512" s="1">
        <v>45718</v>
      </c>
      <c r="D512" t="s">
        <v>2911</v>
      </c>
      <c r="E512" t="s">
        <v>3727</v>
      </c>
      <c r="F512" t="s">
        <v>4566</v>
      </c>
      <c r="G512" t="s">
        <v>4573</v>
      </c>
      <c r="H512" t="s">
        <v>4586</v>
      </c>
      <c r="I512" t="s">
        <v>4597</v>
      </c>
      <c r="J512">
        <v>10</v>
      </c>
      <c r="K512">
        <v>91.41</v>
      </c>
      <c r="L512">
        <v>0.1</v>
      </c>
      <c r="M512">
        <v>6.68</v>
      </c>
      <c r="N512" t="s">
        <v>5468</v>
      </c>
      <c r="O512" t="s">
        <v>5471</v>
      </c>
      <c r="P512" t="s">
        <v>5477</v>
      </c>
      <c r="Q512" s="4">
        <v>822.68999999999994</v>
      </c>
    </row>
    <row r="513" spans="1:17" x14ac:dyDescent="0.3">
      <c r="A513" t="s">
        <v>519</v>
      </c>
      <c r="B513" t="s">
        <v>1898</v>
      </c>
      <c r="C513" s="1">
        <v>45319</v>
      </c>
      <c r="D513" t="s">
        <v>2975</v>
      </c>
      <c r="E513" t="s">
        <v>3728</v>
      </c>
      <c r="F513" t="s">
        <v>4569</v>
      </c>
      <c r="G513" t="s">
        <v>4580</v>
      </c>
      <c r="H513" t="s">
        <v>4584</v>
      </c>
      <c r="I513" t="s">
        <v>4589</v>
      </c>
      <c r="J513">
        <v>2</v>
      </c>
      <c r="K513">
        <v>36.47</v>
      </c>
      <c r="L513">
        <v>0.1</v>
      </c>
      <c r="N513" t="s">
        <v>5466</v>
      </c>
      <c r="O513" t="s">
        <v>5481</v>
      </c>
      <c r="P513" t="s">
        <v>5479</v>
      </c>
      <c r="Q513" s="4">
        <v>65.646000000000001</v>
      </c>
    </row>
    <row r="514" spans="1:17" x14ac:dyDescent="0.3">
      <c r="A514" t="s">
        <v>520</v>
      </c>
      <c r="B514" t="s">
        <v>1899</v>
      </c>
      <c r="C514" s="1">
        <v>45645</v>
      </c>
      <c r="D514" t="s">
        <v>2784</v>
      </c>
      <c r="E514" t="s">
        <v>3729</v>
      </c>
      <c r="F514" t="s">
        <v>4566</v>
      </c>
      <c r="G514" t="s">
        <v>4577</v>
      </c>
      <c r="H514" t="s">
        <v>4583</v>
      </c>
      <c r="I514" t="s">
        <v>4604</v>
      </c>
      <c r="J514">
        <v>10</v>
      </c>
      <c r="K514">
        <v>23.52</v>
      </c>
      <c r="L514">
        <v>0.05</v>
      </c>
      <c r="M514">
        <v>11.99</v>
      </c>
      <c r="N514" t="s">
        <v>5465</v>
      </c>
      <c r="O514" t="s">
        <v>5473</v>
      </c>
      <c r="P514" t="s">
        <v>5477</v>
      </c>
      <c r="Q514" s="4">
        <v>223.43999999999997</v>
      </c>
    </row>
    <row r="515" spans="1:17" x14ac:dyDescent="0.3">
      <c r="A515" t="s">
        <v>521</v>
      </c>
      <c r="B515" t="s">
        <v>1900</v>
      </c>
      <c r="C515" s="1">
        <v>45878</v>
      </c>
      <c r="D515" t="s">
        <v>2962</v>
      </c>
      <c r="E515" t="s">
        <v>5481</v>
      </c>
      <c r="F515" t="s">
        <v>4564</v>
      </c>
      <c r="G515" t="s">
        <v>4578</v>
      </c>
      <c r="H515" t="s">
        <v>4586</v>
      </c>
      <c r="I515" t="s">
        <v>4593</v>
      </c>
      <c r="J515">
        <v>1</v>
      </c>
      <c r="K515">
        <v>108.54</v>
      </c>
      <c r="L515">
        <v>0</v>
      </c>
      <c r="M515">
        <v>11.18</v>
      </c>
      <c r="N515" t="s">
        <v>5464</v>
      </c>
      <c r="O515" t="s">
        <v>5473</v>
      </c>
      <c r="P515" t="s">
        <v>5477</v>
      </c>
      <c r="Q515" s="4">
        <v>108.54</v>
      </c>
    </row>
    <row r="516" spans="1:17" x14ac:dyDescent="0.3">
      <c r="A516" t="s">
        <v>522</v>
      </c>
      <c r="B516" t="s">
        <v>1901</v>
      </c>
      <c r="C516" s="1">
        <v>45707</v>
      </c>
      <c r="D516" t="s">
        <v>2914</v>
      </c>
      <c r="E516" t="s">
        <v>3730</v>
      </c>
      <c r="F516" t="s">
        <v>4549</v>
      </c>
      <c r="G516" t="s">
        <v>4573</v>
      </c>
      <c r="H516" t="s">
        <v>4584</v>
      </c>
      <c r="I516" t="s">
        <v>4595</v>
      </c>
      <c r="J516">
        <v>2</v>
      </c>
      <c r="K516">
        <v>40.58</v>
      </c>
      <c r="L516">
        <v>0</v>
      </c>
      <c r="M516">
        <v>6.01</v>
      </c>
      <c r="N516" t="s">
        <v>5466</v>
      </c>
      <c r="O516" t="s">
        <v>5474</v>
      </c>
      <c r="P516" t="s">
        <v>5477</v>
      </c>
      <c r="Q516" s="4">
        <v>81.16</v>
      </c>
    </row>
    <row r="517" spans="1:17" x14ac:dyDescent="0.3">
      <c r="A517" t="s">
        <v>523</v>
      </c>
      <c r="B517" t="s">
        <v>1902</v>
      </c>
      <c r="C517" s="1">
        <v>45386</v>
      </c>
      <c r="D517" t="s">
        <v>2735</v>
      </c>
      <c r="E517" t="s">
        <v>3731</v>
      </c>
      <c r="F517" t="s">
        <v>4564</v>
      </c>
      <c r="G517" t="s">
        <v>4573</v>
      </c>
      <c r="H517" t="s">
        <v>4583</v>
      </c>
      <c r="I517" t="s">
        <v>4610</v>
      </c>
      <c r="J517">
        <v>1</v>
      </c>
      <c r="K517">
        <v>79.900000000000006</v>
      </c>
      <c r="L517">
        <v>0.05</v>
      </c>
      <c r="M517">
        <v>4.04</v>
      </c>
      <c r="N517" t="s">
        <v>5463</v>
      </c>
      <c r="O517" t="s">
        <v>5481</v>
      </c>
      <c r="P517" t="s">
        <v>5475</v>
      </c>
      <c r="Q517" s="4">
        <v>75.905000000000001</v>
      </c>
    </row>
    <row r="518" spans="1:17" x14ac:dyDescent="0.3">
      <c r="A518" t="s">
        <v>524</v>
      </c>
      <c r="B518" t="s">
        <v>1903</v>
      </c>
      <c r="C518" s="1">
        <v>45849</v>
      </c>
      <c r="D518" t="s">
        <v>2977</v>
      </c>
      <c r="E518" t="s">
        <v>3732</v>
      </c>
      <c r="F518" t="s">
        <v>4565</v>
      </c>
      <c r="G518" t="s">
        <v>4576</v>
      </c>
      <c r="H518" t="s">
        <v>4584</v>
      </c>
      <c r="I518" t="s">
        <v>4608</v>
      </c>
      <c r="J518">
        <v>1</v>
      </c>
      <c r="K518">
        <v>18.13</v>
      </c>
      <c r="L518">
        <v>0</v>
      </c>
      <c r="M518">
        <v>13.14</v>
      </c>
      <c r="N518" t="s">
        <v>5467</v>
      </c>
      <c r="O518" t="s">
        <v>5474</v>
      </c>
      <c r="P518" t="s">
        <v>5479</v>
      </c>
      <c r="Q518" s="4">
        <v>18.13</v>
      </c>
    </row>
    <row r="519" spans="1:17" x14ac:dyDescent="0.3">
      <c r="A519" t="s">
        <v>525</v>
      </c>
      <c r="B519" t="s">
        <v>1728</v>
      </c>
      <c r="C519" s="1">
        <v>45394</v>
      </c>
      <c r="D519" t="s">
        <v>2690</v>
      </c>
      <c r="E519" t="s">
        <v>3733</v>
      </c>
      <c r="F519" t="s">
        <v>4564</v>
      </c>
      <c r="G519" t="s">
        <v>4578</v>
      </c>
      <c r="H519" t="s">
        <v>4587</v>
      </c>
      <c r="I519" t="s">
        <v>4594</v>
      </c>
      <c r="J519">
        <v>1</v>
      </c>
      <c r="K519">
        <v>62.92</v>
      </c>
      <c r="L519">
        <v>0.05</v>
      </c>
      <c r="M519">
        <v>0</v>
      </c>
      <c r="N519" t="s">
        <v>5464</v>
      </c>
      <c r="O519" t="s">
        <v>5473</v>
      </c>
      <c r="P519" t="s">
        <v>5477</v>
      </c>
      <c r="Q519" s="4">
        <v>59.774000000000001</v>
      </c>
    </row>
    <row r="520" spans="1:17" x14ac:dyDescent="0.3">
      <c r="A520" t="s">
        <v>526</v>
      </c>
      <c r="B520" t="s">
        <v>1904</v>
      </c>
      <c r="C520" s="1">
        <v>45964</v>
      </c>
      <c r="D520" t="s">
        <v>2845</v>
      </c>
      <c r="E520" t="s">
        <v>3734</v>
      </c>
      <c r="F520" t="s">
        <v>4565</v>
      </c>
      <c r="G520" t="s">
        <v>4576</v>
      </c>
      <c r="H520" t="s">
        <v>4583</v>
      </c>
      <c r="I520" t="s">
        <v>4610</v>
      </c>
      <c r="J520">
        <v>3</v>
      </c>
      <c r="K520">
        <v>81.349999999999994</v>
      </c>
      <c r="L520">
        <v>0.1</v>
      </c>
      <c r="M520">
        <v>5.25</v>
      </c>
      <c r="N520" t="s">
        <v>5465</v>
      </c>
      <c r="O520" t="s">
        <v>5469</v>
      </c>
      <c r="P520" t="s">
        <v>5479</v>
      </c>
      <c r="Q520" s="4">
        <v>219.64499999999998</v>
      </c>
    </row>
    <row r="521" spans="1:17" x14ac:dyDescent="0.3">
      <c r="A521" t="s">
        <v>527</v>
      </c>
      <c r="B521" t="s">
        <v>1905</v>
      </c>
      <c r="C521" s="1">
        <v>45484</v>
      </c>
      <c r="D521" t="s">
        <v>2710</v>
      </c>
      <c r="E521" t="s">
        <v>3735</v>
      </c>
      <c r="F521" t="s">
        <v>4564</v>
      </c>
      <c r="G521" t="s">
        <v>4578</v>
      </c>
      <c r="H521" t="s">
        <v>4586</v>
      </c>
      <c r="I521" t="s">
        <v>4597</v>
      </c>
      <c r="J521">
        <v>1</v>
      </c>
      <c r="K521">
        <v>85.77</v>
      </c>
      <c r="L521">
        <v>0.05</v>
      </c>
      <c r="M521">
        <v>11.83</v>
      </c>
      <c r="N521" t="s">
        <v>5466</v>
      </c>
      <c r="O521" t="s">
        <v>5469</v>
      </c>
      <c r="P521" t="s">
        <v>5477</v>
      </c>
      <c r="Q521" s="4">
        <v>81.481499999999997</v>
      </c>
    </row>
    <row r="522" spans="1:17" x14ac:dyDescent="0.3">
      <c r="A522" t="s">
        <v>528</v>
      </c>
      <c r="B522" t="s">
        <v>1906</v>
      </c>
      <c r="C522" s="1">
        <v>46021</v>
      </c>
      <c r="D522" t="s">
        <v>2780</v>
      </c>
      <c r="E522" t="s">
        <v>3736</v>
      </c>
      <c r="F522" t="s">
        <v>4566</v>
      </c>
      <c r="G522" t="s">
        <v>4582</v>
      </c>
      <c r="H522" t="s">
        <v>4587</v>
      </c>
      <c r="I522" t="s">
        <v>4594</v>
      </c>
      <c r="J522">
        <v>4</v>
      </c>
      <c r="K522">
        <v>61.39</v>
      </c>
      <c r="L522">
        <v>0.05</v>
      </c>
      <c r="M522">
        <v>13.1</v>
      </c>
      <c r="N522" t="s">
        <v>5465</v>
      </c>
      <c r="O522" t="s">
        <v>5473</v>
      </c>
      <c r="P522" t="s">
        <v>5477</v>
      </c>
      <c r="Q522" s="4">
        <v>233.28199999999998</v>
      </c>
    </row>
    <row r="523" spans="1:17" x14ac:dyDescent="0.3">
      <c r="A523" t="s">
        <v>529</v>
      </c>
      <c r="B523" t="s">
        <v>1907</v>
      </c>
      <c r="C523" s="1">
        <v>45623</v>
      </c>
      <c r="D523" t="s">
        <v>2978</v>
      </c>
      <c r="E523" t="s">
        <v>3737</v>
      </c>
      <c r="F523" t="s">
        <v>4569</v>
      </c>
      <c r="G523" t="s">
        <v>4581</v>
      </c>
      <c r="H523" t="s">
        <v>4586</v>
      </c>
      <c r="I523" t="s">
        <v>4609</v>
      </c>
      <c r="J523">
        <v>4</v>
      </c>
      <c r="K523">
        <v>133.61000000000001</v>
      </c>
      <c r="L523">
        <v>0.05</v>
      </c>
      <c r="M523">
        <v>7.72</v>
      </c>
      <c r="N523" t="s">
        <v>5467</v>
      </c>
      <c r="O523" t="s">
        <v>5471</v>
      </c>
      <c r="P523" t="s">
        <v>5477</v>
      </c>
      <c r="Q523" s="4">
        <v>507.71800000000002</v>
      </c>
    </row>
    <row r="524" spans="1:17" x14ac:dyDescent="0.3">
      <c r="A524" t="s">
        <v>530</v>
      </c>
      <c r="B524" t="s">
        <v>1908</v>
      </c>
      <c r="C524" s="1">
        <v>45661</v>
      </c>
      <c r="D524" t="s">
        <v>2979</v>
      </c>
      <c r="E524" t="s">
        <v>3738</v>
      </c>
      <c r="F524" t="s">
        <v>4569</v>
      </c>
      <c r="G524" t="s">
        <v>4572</v>
      </c>
      <c r="H524" t="s">
        <v>4583</v>
      </c>
      <c r="I524" t="s">
        <v>4605</v>
      </c>
      <c r="J524">
        <v>1</v>
      </c>
      <c r="K524">
        <v>46.55</v>
      </c>
      <c r="L524">
        <v>0</v>
      </c>
      <c r="M524">
        <v>5.34</v>
      </c>
      <c r="N524" t="s">
        <v>5462</v>
      </c>
      <c r="O524" t="s">
        <v>5472</v>
      </c>
      <c r="P524" t="s">
        <v>5477</v>
      </c>
      <c r="Q524" s="4">
        <v>46.55</v>
      </c>
    </row>
    <row r="525" spans="1:17" x14ac:dyDescent="0.3">
      <c r="A525" t="s">
        <v>531</v>
      </c>
      <c r="B525" t="s">
        <v>1909</v>
      </c>
      <c r="C525" s="1">
        <v>45982</v>
      </c>
      <c r="D525" t="s">
        <v>2953</v>
      </c>
      <c r="E525" t="s">
        <v>3739</v>
      </c>
      <c r="F525" t="s">
        <v>4564</v>
      </c>
      <c r="G525" t="s">
        <v>4573</v>
      </c>
      <c r="H525" t="s">
        <v>4586</v>
      </c>
      <c r="I525" t="s">
        <v>4597</v>
      </c>
      <c r="J525">
        <v>1</v>
      </c>
      <c r="K525">
        <v>92.98</v>
      </c>
      <c r="L525">
        <v>0.05</v>
      </c>
      <c r="M525">
        <v>11.98</v>
      </c>
      <c r="N525" t="s">
        <v>5468</v>
      </c>
      <c r="O525" t="s">
        <v>5474</v>
      </c>
      <c r="P525" t="s">
        <v>5477</v>
      </c>
      <c r="Q525" s="4">
        <v>88.331000000000003</v>
      </c>
    </row>
    <row r="526" spans="1:17" x14ac:dyDescent="0.3">
      <c r="A526" t="s">
        <v>532</v>
      </c>
      <c r="B526" t="s">
        <v>1910</v>
      </c>
      <c r="C526" s="1">
        <v>45525</v>
      </c>
      <c r="D526" t="s">
        <v>2980</v>
      </c>
      <c r="E526" t="s">
        <v>3740</v>
      </c>
      <c r="F526" t="s">
        <v>4569</v>
      </c>
      <c r="G526" t="s">
        <v>4580</v>
      </c>
      <c r="H526" t="s">
        <v>4585</v>
      </c>
      <c r="I526" t="s">
        <v>4598</v>
      </c>
      <c r="J526">
        <v>1</v>
      </c>
      <c r="K526">
        <v>3.13</v>
      </c>
      <c r="L526">
        <v>0.05</v>
      </c>
      <c r="M526">
        <v>0.49</v>
      </c>
      <c r="N526" t="s">
        <v>5466</v>
      </c>
      <c r="O526" t="s">
        <v>5472</v>
      </c>
      <c r="P526" t="s">
        <v>5477</v>
      </c>
      <c r="Q526" s="4">
        <v>2.9734999999999996</v>
      </c>
    </row>
    <row r="527" spans="1:17" x14ac:dyDescent="0.3">
      <c r="A527" t="s">
        <v>97</v>
      </c>
      <c r="B527" t="s">
        <v>1497</v>
      </c>
      <c r="C527" s="1">
        <v>45373</v>
      </c>
      <c r="D527" t="s">
        <v>2702</v>
      </c>
      <c r="E527" t="s">
        <v>3341</v>
      </c>
      <c r="F527" t="s">
        <v>4566</v>
      </c>
      <c r="G527" t="s">
        <v>4573</v>
      </c>
      <c r="H527" t="s">
        <v>4587</v>
      </c>
      <c r="I527" t="s">
        <v>4606</v>
      </c>
      <c r="J527">
        <v>1</v>
      </c>
      <c r="K527">
        <v>29.05</v>
      </c>
      <c r="L527">
        <v>0.05</v>
      </c>
      <c r="M527">
        <v>4.1500000000000004</v>
      </c>
      <c r="N527" t="s">
        <v>5465</v>
      </c>
      <c r="O527" t="s">
        <v>5469</v>
      </c>
      <c r="P527" t="s">
        <v>5477</v>
      </c>
      <c r="Q527" s="4">
        <v>27.5975</v>
      </c>
    </row>
    <row r="528" spans="1:17" x14ac:dyDescent="0.3">
      <c r="A528" t="s">
        <v>533</v>
      </c>
      <c r="B528" t="s">
        <v>1911</v>
      </c>
      <c r="C528" s="1">
        <v>45889</v>
      </c>
      <c r="D528" t="s">
        <v>2802</v>
      </c>
      <c r="E528" t="s">
        <v>3741</v>
      </c>
      <c r="F528" t="s">
        <v>4566</v>
      </c>
      <c r="G528" t="s">
        <v>4577</v>
      </c>
      <c r="H528" t="s">
        <v>4584</v>
      </c>
      <c r="I528" t="s">
        <v>4603</v>
      </c>
      <c r="J528">
        <v>2</v>
      </c>
      <c r="K528">
        <v>9.36</v>
      </c>
      <c r="L528">
        <v>0.1</v>
      </c>
      <c r="M528">
        <v>0</v>
      </c>
      <c r="N528" t="s">
        <v>5463</v>
      </c>
      <c r="O528" t="s">
        <v>5470</v>
      </c>
      <c r="P528" t="s">
        <v>5477</v>
      </c>
      <c r="Q528" s="4">
        <v>16.847999999999999</v>
      </c>
    </row>
    <row r="529" spans="1:17" x14ac:dyDescent="0.3">
      <c r="A529" t="s">
        <v>534</v>
      </c>
      <c r="B529" t="s">
        <v>1912</v>
      </c>
      <c r="C529" s="1">
        <v>45836</v>
      </c>
      <c r="D529" t="s">
        <v>2990</v>
      </c>
      <c r="E529" t="s">
        <v>3742</v>
      </c>
      <c r="F529" t="s">
        <v>4569</v>
      </c>
      <c r="G529" t="s">
        <v>4581</v>
      </c>
      <c r="H529" t="s">
        <v>4587</v>
      </c>
      <c r="I529" t="s">
        <v>4594</v>
      </c>
      <c r="J529">
        <v>1</v>
      </c>
      <c r="K529">
        <v>57.9</v>
      </c>
      <c r="L529">
        <v>0.05</v>
      </c>
      <c r="M529">
        <v>0</v>
      </c>
      <c r="N529" t="s">
        <v>5466</v>
      </c>
      <c r="O529" t="s">
        <v>5471</v>
      </c>
      <c r="P529" t="s">
        <v>5479</v>
      </c>
      <c r="Q529" s="4">
        <v>55.004999999999995</v>
      </c>
    </row>
    <row r="530" spans="1:17" x14ac:dyDescent="0.3">
      <c r="A530" t="s">
        <v>535</v>
      </c>
      <c r="B530" t="s">
        <v>1913</v>
      </c>
      <c r="C530" s="1">
        <v>45805</v>
      </c>
      <c r="D530" t="s">
        <v>2854</v>
      </c>
      <c r="E530" t="s">
        <v>3743</v>
      </c>
      <c r="F530" t="s">
        <v>4565</v>
      </c>
      <c r="G530" t="s">
        <v>4579</v>
      </c>
      <c r="H530" t="s">
        <v>4584</v>
      </c>
      <c r="I530" t="s">
        <v>4607</v>
      </c>
      <c r="J530">
        <v>1</v>
      </c>
      <c r="K530">
        <v>25.66</v>
      </c>
      <c r="L530">
        <v>0.1</v>
      </c>
      <c r="M530">
        <v>12.46</v>
      </c>
      <c r="N530" t="s">
        <v>5464</v>
      </c>
      <c r="O530" t="s">
        <v>5471</v>
      </c>
      <c r="P530" t="s">
        <v>5475</v>
      </c>
      <c r="Q530" s="4">
        <v>23.094000000000001</v>
      </c>
    </row>
    <row r="531" spans="1:17" x14ac:dyDescent="0.3">
      <c r="A531" t="s">
        <v>536</v>
      </c>
      <c r="B531" t="s">
        <v>1914</v>
      </c>
      <c r="C531" s="1">
        <v>45302</v>
      </c>
      <c r="D531" t="s">
        <v>5488</v>
      </c>
      <c r="E531" t="s">
        <v>3744</v>
      </c>
      <c r="F531" t="s">
        <v>4565</v>
      </c>
      <c r="G531" t="s">
        <v>4575</v>
      </c>
      <c r="H531" t="s">
        <v>4583</v>
      </c>
      <c r="I531" t="s">
        <v>4610</v>
      </c>
      <c r="J531">
        <v>2</v>
      </c>
      <c r="K531">
        <v>78.510000000000005</v>
      </c>
      <c r="L531">
        <v>0</v>
      </c>
      <c r="M531">
        <v>10.8</v>
      </c>
      <c r="N531" t="s">
        <v>5464</v>
      </c>
      <c r="O531" t="s">
        <v>5469</v>
      </c>
      <c r="P531" t="s">
        <v>5477</v>
      </c>
      <c r="Q531" s="4">
        <v>157.02000000000001</v>
      </c>
    </row>
    <row r="532" spans="1:17" x14ac:dyDescent="0.3">
      <c r="A532" t="s">
        <v>537</v>
      </c>
      <c r="B532" t="s">
        <v>1915</v>
      </c>
      <c r="C532" s="1">
        <v>45719</v>
      </c>
      <c r="D532" t="s">
        <v>2832</v>
      </c>
      <c r="E532" t="s">
        <v>3745</v>
      </c>
      <c r="F532" t="s">
        <v>4569</v>
      </c>
      <c r="G532" t="s">
        <v>4572</v>
      </c>
      <c r="H532" t="s">
        <v>4583</v>
      </c>
      <c r="I532" t="s">
        <v>4588</v>
      </c>
      <c r="J532">
        <v>2</v>
      </c>
      <c r="K532">
        <v>39.64</v>
      </c>
      <c r="L532">
        <v>0.1</v>
      </c>
      <c r="M532">
        <v>0</v>
      </c>
      <c r="N532" t="s">
        <v>5465</v>
      </c>
      <c r="O532" t="s">
        <v>5481</v>
      </c>
      <c r="P532" t="s">
        <v>5477</v>
      </c>
      <c r="Q532" s="4">
        <v>71.352000000000004</v>
      </c>
    </row>
    <row r="533" spans="1:17" x14ac:dyDescent="0.3">
      <c r="A533" t="s">
        <v>538</v>
      </c>
      <c r="B533" t="s">
        <v>1916</v>
      </c>
      <c r="C533" s="1">
        <v>45418</v>
      </c>
      <c r="D533" t="s">
        <v>2984</v>
      </c>
      <c r="E533" t="s">
        <v>3746</v>
      </c>
      <c r="F533" t="s">
        <v>4565</v>
      </c>
      <c r="G533" t="s">
        <v>4579</v>
      </c>
      <c r="H533" t="s">
        <v>4586</v>
      </c>
      <c r="I533" t="s">
        <v>4609</v>
      </c>
      <c r="J533">
        <v>1</v>
      </c>
      <c r="K533">
        <v>128.26</v>
      </c>
      <c r="L533">
        <v>0</v>
      </c>
      <c r="M533">
        <v>0</v>
      </c>
      <c r="N533" t="s">
        <v>5464</v>
      </c>
      <c r="O533" t="s">
        <v>5481</v>
      </c>
      <c r="P533" t="s">
        <v>5475</v>
      </c>
      <c r="Q533" s="4">
        <v>128.26</v>
      </c>
    </row>
    <row r="534" spans="1:17" x14ac:dyDescent="0.3">
      <c r="A534" t="s">
        <v>539</v>
      </c>
      <c r="B534" t="s">
        <v>1917</v>
      </c>
      <c r="C534" s="1">
        <v>45752</v>
      </c>
      <c r="D534" t="s">
        <v>2685</v>
      </c>
      <c r="E534" t="s">
        <v>3747</v>
      </c>
      <c r="F534" t="s">
        <v>4569</v>
      </c>
      <c r="G534" t="s">
        <v>4581</v>
      </c>
      <c r="H534" t="s">
        <v>4583</v>
      </c>
      <c r="I534" t="s">
        <v>4604</v>
      </c>
      <c r="J534">
        <v>2</v>
      </c>
      <c r="K534">
        <v>23.13</v>
      </c>
      <c r="L534">
        <v>0.1</v>
      </c>
      <c r="M534">
        <v>11.44</v>
      </c>
      <c r="N534" t="s">
        <v>5467</v>
      </c>
      <c r="O534" t="s">
        <v>5481</v>
      </c>
      <c r="P534" t="s">
        <v>5476</v>
      </c>
      <c r="Q534" s="4">
        <v>41.634</v>
      </c>
    </row>
    <row r="535" spans="1:17" x14ac:dyDescent="0.3">
      <c r="A535" t="s">
        <v>540</v>
      </c>
      <c r="B535" t="s">
        <v>1918</v>
      </c>
      <c r="C535" s="1">
        <v>45847</v>
      </c>
      <c r="D535" t="s">
        <v>2985</v>
      </c>
      <c r="E535" t="s">
        <v>3748</v>
      </c>
      <c r="F535" t="s">
        <v>4566</v>
      </c>
      <c r="G535" t="s">
        <v>4577</v>
      </c>
      <c r="H535" t="s">
        <v>4586</v>
      </c>
      <c r="I535" t="s">
        <v>4599</v>
      </c>
      <c r="J535">
        <v>1</v>
      </c>
      <c r="K535">
        <v>244.09</v>
      </c>
      <c r="L535">
        <v>0</v>
      </c>
      <c r="M535">
        <v>8.1999999999999993</v>
      </c>
      <c r="N535" t="s">
        <v>5467</v>
      </c>
      <c r="O535" t="s">
        <v>5473</v>
      </c>
      <c r="P535" t="s">
        <v>5477</v>
      </c>
      <c r="Q535" s="4">
        <v>244.09</v>
      </c>
    </row>
    <row r="536" spans="1:17" x14ac:dyDescent="0.3">
      <c r="A536" t="s">
        <v>541</v>
      </c>
      <c r="B536" t="s">
        <v>1919</v>
      </c>
      <c r="C536" s="1">
        <v>45955</v>
      </c>
      <c r="D536" t="s">
        <v>2784</v>
      </c>
      <c r="E536" t="s">
        <v>3749</v>
      </c>
      <c r="F536" t="s">
        <v>4569</v>
      </c>
      <c r="G536" t="s">
        <v>4572</v>
      </c>
      <c r="H536" t="s">
        <v>4585</v>
      </c>
      <c r="I536" t="s">
        <v>4591</v>
      </c>
      <c r="J536">
        <v>5</v>
      </c>
      <c r="K536">
        <v>8.1</v>
      </c>
      <c r="L536">
        <v>0.1</v>
      </c>
      <c r="M536">
        <v>6.16</v>
      </c>
      <c r="N536" t="s">
        <v>5465</v>
      </c>
      <c r="O536" t="s">
        <v>5471</v>
      </c>
      <c r="P536" t="s">
        <v>5477</v>
      </c>
      <c r="Q536" s="4">
        <v>36.450000000000003</v>
      </c>
    </row>
    <row r="537" spans="1:17" x14ac:dyDescent="0.3">
      <c r="A537" t="s">
        <v>542</v>
      </c>
      <c r="B537" t="s">
        <v>1920</v>
      </c>
      <c r="C537" s="1">
        <v>45817</v>
      </c>
      <c r="D537" t="s">
        <v>2758</v>
      </c>
      <c r="E537" t="s">
        <v>3750</v>
      </c>
      <c r="F537" t="s">
        <v>4569</v>
      </c>
      <c r="G537" t="s">
        <v>4580</v>
      </c>
      <c r="H537" t="s">
        <v>4586</v>
      </c>
      <c r="I537" t="s">
        <v>4609</v>
      </c>
      <c r="J537">
        <v>1</v>
      </c>
      <c r="K537">
        <v>123.11</v>
      </c>
      <c r="L537">
        <v>0.1</v>
      </c>
      <c r="M537">
        <v>7.78</v>
      </c>
      <c r="N537" t="s">
        <v>5467</v>
      </c>
      <c r="O537" t="s">
        <v>5469</v>
      </c>
      <c r="P537" t="s">
        <v>5477</v>
      </c>
      <c r="Q537" s="4">
        <v>110.79900000000001</v>
      </c>
    </row>
    <row r="538" spans="1:17" x14ac:dyDescent="0.3">
      <c r="A538" t="s">
        <v>543</v>
      </c>
      <c r="B538" t="s">
        <v>1921</v>
      </c>
      <c r="C538" s="1">
        <v>45818</v>
      </c>
      <c r="D538" t="s">
        <v>2986</v>
      </c>
      <c r="E538" t="s">
        <v>3751</v>
      </c>
      <c r="F538" t="s">
        <v>4565</v>
      </c>
      <c r="G538" t="s">
        <v>4579</v>
      </c>
      <c r="H538" t="s">
        <v>4583</v>
      </c>
      <c r="I538" t="s">
        <v>4605</v>
      </c>
      <c r="J538">
        <v>10</v>
      </c>
      <c r="K538">
        <v>43.52</v>
      </c>
      <c r="L538">
        <v>0.1</v>
      </c>
      <c r="M538">
        <v>6.95</v>
      </c>
      <c r="N538" t="s">
        <v>5467</v>
      </c>
      <c r="O538" t="s">
        <v>5469</v>
      </c>
      <c r="P538" t="s">
        <v>5477</v>
      </c>
      <c r="Q538" s="4">
        <v>391.68000000000006</v>
      </c>
    </row>
    <row r="539" spans="1:17" x14ac:dyDescent="0.3">
      <c r="A539" t="s">
        <v>544</v>
      </c>
      <c r="B539" t="s">
        <v>1922</v>
      </c>
      <c r="C539" s="1">
        <v>45423</v>
      </c>
      <c r="D539" t="s">
        <v>2957</v>
      </c>
      <c r="E539" t="s">
        <v>3752</v>
      </c>
      <c r="F539" t="s">
        <v>4549</v>
      </c>
      <c r="G539" t="s">
        <v>4573</v>
      </c>
      <c r="H539" t="s">
        <v>5481</v>
      </c>
      <c r="I539" t="s">
        <v>4589</v>
      </c>
      <c r="J539">
        <v>5</v>
      </c>
      <c r="K539">
        <v>35.49</v>
      </c>
      <c r="L539">
        <v>0</v>
      </c>
      <c r="M539">
        <v>7.05</v>
      </c>
      <c r="N539" t="s">
        <v>5467</v>
      </c>
      <c r="O539" t="s">
        <v>5469</v>
      </c>
      <c r="P539" t="s">
        <v>5477</v>
      </c>
      <c r="Q539" s="4">
        <v>177.45000000000002</v>
      </c>
    </row>
    <row r="540" spans="1:17" x14ac:dyDescent="0.3">
      <c r="A540" t="s">
        <v>545</v>
      </c>
      <c r="B540" t="s">
        <v>1923</v>
      </c>
      <c r="C540" s="1">
        <v>45945</v>
      </c>
      <c r="D540" t="s">
        <v>2720</v>
      </c>
      <c r="E540" t="s">
        <v>3753</v>
      </c>
      <c r="F540" t="s">
        <v>4564</v>
      </c>
      <c r="G540" t="s">
        <v>4573</v>
      </c>
      <c r="H540" t="s">
        <v>4584</v>
      </c>
      <c r="I540" t="s">
        <v>4601</v>
      </c>
      <c r="J540">
        <v>1</v>
      </c>
      <c r="K540">
        <v>181.77</v>
      </c>
      <c r="L540">
        <v>0.05</v>
      </c>
      <c r="M540">
        <v>14.32</v>
      </c>
      <c r="N540" t="s">
        <v>5462</v>
      </c>
      <c r="O540" t="s">
        <v>5481</v>
      </c>
      <c r="P540" t="s">
        <v>5477</v>
      </c>
      <c r="Q540" s="4">
        <v>172.6815</v>
      </c>
    </row>
    <row r="541" spans="1:17" x14ac:dyDescent="0.3">
      <c r="A541" t="s">
        <v>546</v>
      </c>
      <c r="B541" t="s">
        <v>1924</v>
      </c>
      <c r="C541" s="1">
        <v>45546</v>
      </c>
      <c r="D541" t="s">
        <v>2731</v>
      </c>
      <c r="E541" t="s">
        <v>3754</v>
      </c>
      <c r="F541" t="s">
        <v>4549</v>
      </c>
      <c r="G541" t="s">
        <v>4574</v>
      </c>
      <c r="H541" t="s">
        <v>4584</v>
      </c>
      <c r="I541" t="s">
        <v>4608</v>
      </c>
      <c r="J541">
        <v>1</v>
      </c>
      <c r="K541">
        <v>18.940000000000001</v>
      </c>
      <c r="L541">
        <v>0.05</v>
      </c>
      <c r="M541">
        <v>1.5</v>
      </c>
      <c r="N541" t="s">
        <v>5462</v>
      </c>
      <c r="O541" t="s">
        <v>5472</v>
      </c>
      <c r="P541" t="s">
        <v>5475</v>
      </c>
      <c r="Q541" s="4">
        <v>17.993000000000002</v>
      </c>
    </row>
    <row r="542" spans="1:17" x14ac:dyDescent="0.3">
      <c r="A542" t="s">
        <v>547</v>
      </c>
      <c r="B542" t="s">
        <v>1925</v>
      </c>
      <c r="C542" s="1">
        <v>45592</v>
      </c>
      <c r="D542" t="s">
        <v>2702</v>
      </c>
      <c r="E542" t="s">
        <v>3755</v>
      </c>
      <c r="F542" t="s">
        <v>4549</v>
      </c>
      <c r="G542" t="s">
        <v>4573</v>
      </c>
      <c r="H542" t="s">
        <v>4584</v>
      </c>
      <c r="I542" t="s">
        <v>4601</v>
      </c>
      <c r="J542">
        <v>1</v>
      </c>
      <c r="K542">
        <v>189.23</v>
      </c>
      <c r="L542">
        <v>0.15</v>
      </c>
      <c r="M542">
        <v>0</v>
      </c>
      <c r="N542" t="s">
        <v>5465</v>
      </c>
      <c r="O542" t="s">
        <v>5472</v>
      </c>
      <c r="P542" t="s">
        <v>5477</v>
      </c>
      <c r="Q542" s="4">
        <v>160.84549999999999</v>
      </c>
    </row>
    <row r="543" spans="1:17" x14ac:dyDescent="0.3">
      <c r="A543" t="s">
        <v>548</v>
      </c>
      <c r="B543" t="s">
        <v>1926</v>
      </c>
      <c r="C543" s="1">
        <v>45474</v>
      </c>
      <c r="D543" t="s">
        <v>3158</v>
      </c>
      <c r="E543" t="s">
        <v>3756</v>
      </c>
      <c r="F543" t="s">
        <v>4566</v>
      </c>
      <c r="G543" t="s">
        <v>4573</v>
      </c>
      <c r="H543" t="s">
        <v>4583</v>
      </c>
      <c r="I543" t="s">
        <v>4605</v>
      </c>
      <c r="J543">
        <v>1</v>
      </c>
      <c r="K543">
        <v>43.84</v>
      </c>
      <c r="L543">
        <v>0.15</v>
      </c>
      <c r="M543">
        <v>12.57</v>
      </c>
      <c r="N543" t="s">
        <v>5464</v>
      </c>
      <c r="O543" t="s">
        <v>5481</v>
      </c>
      <c r="P543" t="s">
        <v>5477</v>
      </c>
      <c r="Q543" s="4">
        <v>37.264000000000003</v>
      </c>
    </row>
    <row r="544" spans="1:17" x14ac:dyDescent="0.3">
      <c r="A544" t="s">
        <v>549</v>
      </c>
      <c r="B544" t="s">
        <v>1927</v>
      </c>
      <c r="C544" s="1">
        <v>45489</v>
      </c>
      <c r="D544" t="s">
        <v>2724</v>
      </c>
      <c r="E544" t="s">
        <v>3757</v>
      </c>
      <c r="F544" t="s">
        <v>4566</v>
      </c>
      <c r="G544" t="s">
        <v>4582</v>
      </c>
      <c r="H544" t="s">
        <v>4587</v>
      </c>
      <c r="I544" t="s">
        <v>4594</v>
      </c>
      <c r="J544">
        <v>1</v>
      </c>
      <c r="K544">
        <v>57.07</v>
      </c>
      <c r="L544">
        <v>0.05</v>
      </c>
      <c r="M544">
        <v>6.29</v>
      </c>
      <c r="N544" t="s">
        <v>5467</v>
      </c>
      <c r="O544" t="s">
        <v>5474</v>
      </c>
      <c r="P544" t="s">
        <v>5477</v>
      </c>
      <c r="Q544" s="4">
        <v>54.216499999999996</v>
      </c>
    </row>
    <row r="545" spans="1:17" x14ac:dyDescent="0.3">
      <c r="A545" t="s">
        <v>550</v>
      </c>
      <c r="B545" t="s">
        <v>1928</v>
      </c>
      <c r="C545" s="1">
        <v>45612</v>
      </c>
      <c r="D545" t="s">
        <v>2989</v>
      </c>
      <c r="E545" t="s">
        <v>3758</v>
      </c>
      <c r="F545" t="s">
        <v>4569</v>
      </c>
      <c r="G545" t="s">
        <v>4572</v>
      </c>
      <c r="H545" t="s">
        <v>4585</v>
      </c>
      <c r="I545" t="s">
        <v>4602</v>
      </c>
      <c r="J545">
        <v>1</v>
      </c>
      <c r="K545">
        <v>4.3499999999999996</v>
      </c>
      <c r="L545">
        <v>0</v>
      </c>
      <c r="M545">
        <v>0</v>
      </c>
      <c r="N545" t="s">
        <v>5466</v>
      </c>
      <c r="O545" t="s">
        <v>5471</v>
      </c>
      <c r="P545" t="s">
        <v>5479</v>
      </c>
      <c r="Q545" s="4">
        <v>4.3499999999999996</v>
      </c>
    </row>
    <row r="546" spans="1:17" x14ac:dyDescent="0.3">
      <c r="A546" t="s">
        <v>551</v>
      </c>
      <c r="B546" t="s">
        <v>1929</v>
      </c>
      <c r="C546" s="1">
        <v>45721</v>
      </c>
      <c r="D546" t="s">
        <v>2940</v>
      </c>
      <c r="E546" t="s">
        <v>3759</v>
      </c>
      <c r="F546" t="s">
        <v>4564</v>
      </c>
      <c r="G546" t="s">
        <v>4578</v>
      </c>
      <c r="H546" t="s">
        <v>4585</v>
      </c>
      <c r="I546" t="s">
        <v>4591</v>
      </c>
      <c r="J546">
        <v>4</v>
      </c>
      <c r="K546">
        <v>8.06</v>
      </c>
      <c r="L546">
        <v>0</v>
      </c>
      <c r="M546">
        <v>5.35</v>
      </c>
      <c r="N546" t="s">
        <v>5467</v>
      </c>
      <c r="O546" t="s">
        <v>5469</v>
      </c>
      <c r="P546" t="s">
        <v>5477</v>
      </c>
      <c r="Q546" s="4">
        <v>32.24</v>
      </c>
    </row>
    <row r="547" spans="1:17" x14ac:dyDescent="0.3">
      <c r="A547" t="s">
        <v>552</v>
      </c>
      <c r="B547" t="s">
        <v>1901</v>
      </c>
      <c r="C547" s="1">
        <v>45707</v>
      </c>
      <c r="D547" t="s">
        <v>2647</v>
      </c>
      <c r="E547" t="s">
        <v>3760</v>
      </c>
      <c r="F547" t="s">
        <v>4564</v>
      </c>
      <c r="G547" t="s">
        <v>4573</v>
      </c>
      <c r="H547" t="s">
        <v>4584</v>
      </c>
      <c r="I547" t="s">
        <v>4603</v>
      </c>
      <c r="J547">
        <v>1</v>
      </c>
      <c r="K547">
        <v>9.6300000000000008</v>
      </c>
      <c r="L547">
        <v>0.1</v>
      </c>
      <c r="M547">
        <v>3.94</v>
      </c>
      <c r="N547" t="s">
        <v>5481</v>
      </c>
      <c r="O547" t="s">
        <v>5469</v>
      </c>
      <c r="P547" t="s">
        <v>5479</v>
      </c>
      <c r="Q547" s="4">
        <v>8.6670000000000016</v>
      </c>
    </row>
    <row r="548" spans="1:17" x14ac:dyDescent="0.3">
      <c r="A548" t="s">
        <v>553</v>
      </c>
      <c r="B548" t="s">
        <v>1930</v>
      </c>
      <c r="C548" s="1">
        <v>45940</v>
      </c>
      <c r="D548" t="s">
        <v>2990</v>
      </c>
      <c r="E548" t="s">
        <v>5481</v>
      </c>
      <c r="F548" t="s">
        <v>4569</v>
      </c>
      <c r="G548" t="s">
        <v>4581</v>
      </c>
      <c r="H548" t="s">
        <v>4584</v>
      </c>
      <c r="I548" t="s">
        <v>4603</v>
      </c>
      <c r="J548">
        <v>10</v>
      </c>
      <c r="K548">
        <v>9.44</v>
      </c>
      <c r="L548">
        <v>0</v>
      </c>
      <c r="M548">
        <v>13.59</v>
      </c>
      <c r="N548" t="s">
        <v>5465</v>
      </c>
      <c r="O548" t="s">
        <v>5472</v>
      </c>
      <c r="P548" t="s">
        <v>5477</v>
      </c>
      <c r="Q548" s="4">
        <v>94.399999999999991</v>
      </c>
    </row>
    <row r="549" spans="1:17" x14ac:dyDescent="0.3">
      <c r="A549" t="s">
        <v>554</v>
      </c>
      <c r="B549" t="s">
        <v>1931</v>
      </c>
      <c r="C549" s="1">
        <v>45900</v>
      </c>
      <c r="D549" t="s">
        <v>2775</v>
      </c>
      <c r="E549" t="s">
        <v>3761</v>
      </c>
      <c r="F549" t="s">
        <v>4549</v>
      </c>
      <c r="G549" t="s">
        <v>4574</v>
      </c>
      <c r="H549" t="s">
        <v>4585</v>
      </c>
      <c r="I549" t="s">
        <v>4592</v>
      </c>
      <c r="J549">
        <v>10</v>
      </c>
      <c r="K549">
        <v>6.48</v>
      </c>
      <c r="L549">
        <v>0.1</v>
      </c>
      <c r="M549">
        <v>5.86</v>
      </c>
      <c r="N549" t="s">
        <v>5468</v>
      </c>
      <c r="O549" t="s">
        <v>5471</v>
      </c>
      <c r="P549" t="s">
        <v>5477</v>
      </c>
      <c r="Q549" s="4">
        <v>58.320000000000014</v>
      </c>
    </row>
    <row r="550" spans="1:17" x14ac:dyDescent="0.3">
      <c r="A550" t="s">
        <v>555</v>
      </c>
      <c r="B550" t="s">
        <v>1932</v>
      </c>
      <c r="C550" s="1">
        <v>45680</v>
      </c>
      <c r="D550" t="s">
        <v>2705</v>
      </c>
      <c r="E550" t="s">
        <v>3762</v>
      </c>
      <c r="F550" t="s">
        <v>4569</v>
      </c>
      <c r="G550" t="s">
        <v>4581</v>
      </c>
      <c r="H550" t="s">
        <v>4585</v>
      </c>
      <c r="I550" t="s">
        <v>4590</v>
      </c>
      <c r="J550">
        <v>2</v>
      </c>
      <c r="K550">
        <v>14.53</v>
      </c>
      <c r="L550">
        <v>0</v>
      </c>
      <c r="M550">
        <v>13.68</v>
      </c>
      <c r="N550" t="s">
        <v>5466</v>
      </c>
      <c r="O550" t="s">
        <v>5471</v>
      </c>
      <c r="P550" t="s">
        <v>5477</v>
      </c>
      <c r="Q550" s="4">
        <v>29.06</v>
      </c>
    </row>
    <row r="551" spans="1:17" x14ac:dyDescent="0.3">
      <c r="A551" t="s">
        <v>554</v>
      </c>
      <c r="B551" t="s">
        <v>1931</v>
      </c>
      <c r="C551" s="1">
        <v>45900</v>
      </c>
      <c r="D551" t="s">
        <v>2775</v>
      </c>
      <c r="E551" t="s">
        <v>3761</v>
      </c>
      <c r="F551" t="s">
        <v>4549</v>
      </c>
      <c r="G551" t="s">
        <v>4574</v>
      </c>
      <c r="H551" t="s">
        <v>4585</v>
      </c>
      <c r="I551" t="s">
        <v>4592</v>
      </c>
      <c r="J551">
        <v>10</v>
      </c>
      <c r="K551">
        <v>6.48</v>
      </c>
      <c r="L551">
        <v>0.1</v>
      </c>
      <c r="M551">
        <v>5.86</v>
      </c>
      <c r="N551" t="s">
        <v>5468</v>
      </c>
      <c r="O551" t="s">
        <v>5471</v>
      </c>
      <c r="P551" t="s">
        <v>5477</v>
      </c>
      <c r="Q551" s="4">
        <v>58.320000000000014</v>
      </c>
    </row>
    <row r="552" spans="1:17" x14ac:dyDescent="0.3">
      <c r="A552" t="s">
        <v>556</v>
      </c>
      <c r="B552" t="s">
        <v>1933</v>
      </c>
      <c r="C552" s="1">
        <v>45477</v>
      </c>
      <c r="D552" t="s">
        <v>2674</v>
      </c>
      <c r="E552" t="s">
        <v>3763</v>
      </c>
      <c r="F552" t="s">
        <v>4566</v>
      </c>
      <c r="G552" t="s">
        <v>4577</v>
      </c>
      <c r="H552" t="s">
        <v>4587</v>
      </c>
      <c r="I552" t="s">
        <v>4594</v>
      </c>
      <c r="J552">
        <v>10</v>
      </c>
      <c r="K552">
        <v>57.93</v>
      </c>
      <c r="L552">
        <v>0</v>
      </c>
      <c r="M552">
        <v>10.220000000000001</v>
      </c>
      <c r="N552" t="s">
        <v>5465</v>
      </c>
      <c r="O552" t="s">
        <v>5474</v>
      </c>
      <c r="P552" t="s">
        <v>5475</v>
      </c>
      <c r="Q552" s="4">
        <v>579.29999999999995</v>
      </c>
    </row>
    <row r="553" spans="1:17" x14ac:dyDescent="0.3">
      <c r="A553" t="s">
        <v>557</v>
      </c>
      <c r="B553" t="s">
        <v>1934</v>
      </c>
      <c r="C553" s="1">
        <v>45440</v>
      </c>
      <c r="D553" t="s">
        <v>2992</v>
      </c>
      <c r="E553" t="s">
        <v>3764</v>
      </c>
      <c r="F553" t="s">
        <v>4549</v>
      </c>
      <c r="G553" t="s">
        <v>4574</v>
      </c>
      <c r="H553" t="s">
        <v>4587</v>
      </c>
      <c r="I553" t="s">
        <v>4606</v>
      </c>
      <c r="J553">
        <v>1</v>
      </c>
      <c r="K553">
        <v>29.11</v>
      </c>
      <c r="L553">
        <v>0</v>
      </c>
      <c r="M553">
        <v>4.76</v>
      </c>
      <c r="N553" t="s">
        <v>5466</v>
      </c>
      <c r="O553" t="s">
        <v>5474</v>
      </c>
      <c r="P553" t="s">
        <v>5475</v>
      </c>
      <c r="Q553" s="4">
        <v>29.11</v>
      </c>
    </row>
    <row r="554" spans="1:17" x14ac:dyDescent="0.3">
      <c r="A554" t="s">
        <v>558</v>
      </c>
      <c r="B554" t="s">
        <v>1566</v>
      </c>
      <c r="C554" s="1">
        <v>45319</v>
      </c>
      <c r="D554" t="s">
        <v>2838</v>
      </c>
      <c r="E554" t="s">
        <v>3765</v>
      </c>
      <c r="F554" t="s">
        <v>4569</v>
      </c>
      <c r="G554" t="s">
        <v>4581</v>
      </c>
      <c r="H554" t="s">
        <v>4584</v>
      </c>
      <c r="I554" t="s">
        <v>4601</v>
      </c>
      <c r="J554">
        <v>4</v>
      </c>
      <c r="K554">
        <v>186.88</v>
      </c>
      <c r="L554">
        <v>0</v>
      </c>
      <c r="M554">
        <v>13</v>
      </c>
      <c r="N554" t="s">
        <v>5464</v>
      </c>
      <c r="O554" t="s">
        <v>5469</v>
      </c>
      <c r="P554" t="s">
        <v>5479</v>
      </c>
      <c r="Q554" s="4">
        <v>747.52</v>
      </c>
    </row>
    <row r="555" spans="1:17" x14ac:dyDescent="0.3">
      <c r="A555" t="s">
        <v>559</v>
      </c>
      <c r="B555" t="s">
        <v>1935</v>
      </c>
      <c r="C555" s="1">
        <v>46002</v>
      </c>
      <c r="D555" t="s">
        <v>2718</v>
      </c>
      <c r="E555" t="s">
        <v>3766</v>
      </c>
      <c r="F555" t="s">
        <v>4565</v>
      </c>
      <c r="G555" t="s">
        <v>4575</v>
      </c>
      <c r="H555" t="s">
        <v>4587</v>
      </c>
      <c r="I555" t="s">
        <v>4594</v>
      </c>
      <c r="J555">
        <v>4</v>
      </c>
      <c r="K555">
        <v>59.36</v>
      </c>
      <c r="L555">
        <v>0.1</v>
      </c>
      <c r="M555">
        <v>11.14</v>
      </c>
      <c r="N555" t="s">
        <v>5462</v>
      </c>
      <c r="O555" t="s">
        <v>5473</v>
      </c>
      <c r="P555" t="s">
        <v>5477</v>
      </c>
      <c r="Q555" s="4">
        <v>213.696</v>
      </c>
    </row>
    <row r="556" spans="1:17" x14ac:dyDescent="0.3">
      <c r="A556" t="s">
        <v>560</v>
      </c>
      <c r="B556" t="s">
        <v>1936</v>
      </c>
      <c r="C556" s="1">
        <v>45644</v>
      </c>
      <c r="D556" t="s">
        <v>2758</v>
      </c>
      <c r="E556" t="s">
        <v>3767</v>
      </c>
      <c r="F556" t="s">
        <v>4569</v>
      </c>
      <c r="G556" t="s">
        <v>4572</v>
      </c>
      <c r="H556" t="s">
        <v>4583</v>
      </c>
      <c r="I556" t="s">
        <v>4610</v>
      </c>
      <c r="J556">
        <v>2</v>
      </c>
      <c r="K556">
        <v>80.48</v>
      </c>
      <c r="L556">
        <v>0.05</v>
      </c>
      <c r="M556">
        <v>14.35</v>
      </c>
      <c r="N556" t="s">
        <v>5466</v>
      </c>
      <c r="O556" t="s">
        <v>5473</v>
      </c>
      <c r="P556" t="s">
        <v>5477</v>
      </c>
      <c r="Q556" s="4">
        <v>152.91200000000001</v>
      </c>
    </row>
    <row r="557" spans="1:17" x14ac:dyDescent="0.3">
      <c r="A557" t="s">
        <v>561</v>
      </c>
      <c r="B557" t="s">
        <v>1937</v>
      </c>
      <c r="C557" s="1">
        <v>45518</v>
      </c>
      <c r="D557" t="s">
        <v>2994</v>
      </c>
      <c r="E557" t="s">
        <v>5481</v>
      </c>
      <c r="F557" t="s">
        <v>4549</v>
      </c>
      <c r="G557" t="s">
        <v>4574</v>
      </c>
      <c r="H557" t="s">
        <v>4586</v>
      </c>
      <c r="I557" t="s">
        <v>4597</v>
      </c>
      <c r="J557">
        <v>5</v>
      </c>
      <c r="K557">
        <v>87.75</v>
      </c>
      <c r="L557">
        <v>0</v>
      </c>
      <c r="M557">
        <v>0</v>
      </c>
      <c r="N557" t="s">
        <v>5468</v>
      </c>
      <c r="O557" t="s">
        <v>5472</v>
      </c>
      <c r="P557" t="s">
        <v>5477</v>
      </c>
      <c r="Q557" s="4">
        <v>438.75</v>
      </c>
    </row>
    <row r="558" spans="1:17" x14ac:dyDescent="0.3">
      <c r="A558" t="s">
        <v>562</v>
      </c>
      <c r="B558" t="s">
        <v>1938</v>
      </c>
      <c r="C558" s="1">
        <v>45692</v>
      </c>
      <c r="D558" t="s">
        <v>2632</v>
      </c>
      <c r="E558" t="s">
        <v>3768</v>
      </c>
      <c r="F558" t="s">
        <v>4549</v>
      </c>
      <c r="G558" t="s">
        <v>4573</v>
      </c>
      <c r="H558" t="s">
        <v>4584</v>
      </c>
      <c r="I558" t="s">
        <v>4603</v>
      </c>
      <c r="J558">
        <v>2</v>
      </c>
      <c r="K558">
        <v>9.64</v>
      </c>
      <c r="L558">
        <v>0.05</v>
      </c>
      <c r="M558">
        <v>5.77</v>
      </c>
      <c r="N558" t="s">
        <v>5468</v>
      </c>
      <c r="O558" t="s">
        <v>5470</v>
      </c>
      <c r="P558" t="s">
        <v>5475</v>
      </c>
      <c r="Q558" s="4">
        <v>18.315999999999999</v>
      </c>
    </row>
    <row r="559" spans="1:17" x14ac:dyDescent="0.3">
      <c r="A559" t="s">
        <v>563</v>
      </c>
      <c r="B559" t="s">
        <v>1939</v>
      </c>
      <c r="C559" s="1">
        <v>45723</v>
      </c>
      <c r="D559" t="s">
        <v>2703</v>
      </c>
      <c r="E559" t="s">
        <v>5481</v>
      </c>
      <c r="F559" t="s">
        <v>4565</v>
      </c>
      <c r="G559" t="s">
        <v>4575</v>
      </c>
      <c r="H559" t="s">
        <v>4583</v>
      </c>
      <c r="I559" t="s">
        <v>4610</v>
      </c>
      <c r="J559">
        <v>10</v>
      </c>
      <c r="K559">
        <v>79.180000000000007</v>
      </c>
      <c r="L559">
        <v>0</v>
      </c>
      <c r="M559">
        <v>11.47</v>
      </c>
      <c r="N559" t="s">
        <v>5464</v>
      </c>
      <c r="O559" t="s">
        <v>5474</v>
      </c>
      <c r="P559" t="s">
        <v>5477</v>
      </c>
      <c r="Q559" s="4">
        <v>791.80000000000007</v>
      </c>
    </row>
    <row r="560" spans="1:17" x14ac:dyDescent="0.3">
      <c r="A560" t="s">
        <v>564</v>
      </c>
      <c r="B560" t="s">
        <v>1551</v>
      </c>
      <c r="C560" s="1">
        <v>45438</v>
      </c>
      <c r="D560" t="s">
        <v>5492</v>
      </c>
      <c r="E560" t="s">
        <v>3769</v>
      </c>
      <c r="F560" t="s">
        <v>4549</v>
      </c>
      <c r="G560" t="s">
        <v>4573</v>
      </c>
      <c r="H560" t="s">
        <v>4587</v>
      </c>
      <c r="I560" t="s">
        <v>4600</v>
      </c>
      <c r="J560">
        <v>1</v>
      </c>
      <c r="K560">
        <v>13.29</v>
      </c>
      <c r="L560">
        <v>0.15</v>
      </c>
      <c r="M560">
        <v>9.15</v>
      </c>
      <c r="N560" t="s">
        <v>5464</v>
      </c>
      <c r="O560" t="s">
        <v>5473</v>
      </c>
      <c r="P560" t="s">
        <v>5475</v>
      </c>
      <c r="Q560" s="4">
        <v>11.296499999999998</v>
      </c>
    </row>
    <row r="561" spans="1:17" x14ac:dyDescent="0.3">
      <c r="A561" t="s">
        <v>565</v>
      </c>
      <c r="B561" t="s">
        <v>1940</v>
      </c>
      <c r="C561" s="1">
        <v>45767</v>
      </c>
      <c r="D561" t="s">
        <v>2765</v>
      </c>
      <c r="E561" t="s">
        <v>3770</v>
      </c>
      <c r="F561" t="s">
        <v>4569</v>
      </c>
      <c r="G561" t="s">
        <v>4580</v>
      </c>
      <c r="H561" t="s">
        <v>4583</v>
      </c>
      <c r="I561" t="s">
        <v>4604</v>
      </c>
      <c r="J561">
        <v>2</v>
      </c>
      <c r="K561">
        <v>23.46</v>
      </c>
      <c r="L561">
        <v>0.05</v>
      </c>
      <c r="M561">
        <v>10.029999999999999</v>
      </c>
      <c r="N561" t="s">
        <v>5463</v>
      </c>
      <c r="O561" t="s">
        <v>5474</v>
      </c>
      <c r="P561" t="s">
        <v>5476</v>
      </c>
      <c r="Q561" s="4">
        <v>44.573999999999998</v>
      </c>
    </row>
    <row r="562" spans="1:17" x14ac:dyDescent="0.3">
      <c r="A562" t="s">
        <v>566</v>
      </c>
      <c r="B562" t="s">
        <v>1941</v>
      </c>
      <c r="C562" s="1">
        <v>45595</v>
      </c>
      <c r="D562" t="s">
        <v>2897</v>
      </c>
      <c r="E562" t="s">
        <v>3771</v>
      </c>
      <c r="F562" t="s">
        <v>4569</v>
      </c>
      <c r="G562" t="s">
        <v>4580</v>
      </c>
      <c r="H562" t="s">
        <v>4583</v>
      </c>
      <c r="I562" t="s">
        <v>4588</v>
      </c>
      <c r="J562">
        <v>1</v>
      </c>
      <c r="K562">
        <v>39.49</v>
      </c>
      <c r="L562">
        <v>0.05</v>
      </c>
      <c r="M562">
        <v>13.41</v>
      </c>
      <c r="N562" t="s">
        <v>5481</v>
      </c>
      <c r="O562" t="s">
        <v>5472</v>
      </c>
      <c r="P562" t="s">
        <v>5477</v>
      </c>
      <c r="Q562" s="4">
        <v>37.515500000000003</v>
      </c>
    </row>
    <row r="563" spans="1:17" x14ac:dyDescent="0.3">
      <c r="A563" t="s">
        <v>567</v>
      </c>
      <c r="B563" t="s">
        <v>1729</v>
      </c>
      <c r="C563" s="1">
        <v>45588</v>
      </c>
      <c r="D563" t="s">
        <v>2962</v>
      </c>
      <c r="E563" t="s">
        <v>5481</v>
      </c>
      <c r="F563" t="s">
        <v>4549</v>
      </c>
      <c r="G563" t="s">
        <v>4574</v>
      </c>
      <c r="H563" t="s">
        <v>5481</v>
      </c>
      <c r="I563" t="s">
        <v>4607</v>
      </c>
      <c r="J563">
        <v>2</v>
      </c>
      <c r="K563">
        <v>23.95</v>
      </c>
      <c r="L563">
        <v>0</v>
      </c>
      <c r="M563">
        <v>1.02</v>
      </c>
      <c r="N563" t="s">
        <v>5464</v>
      </c>
      <c r="O563" t="s">
        <v>5472</v>
      </c>
      <c r="P563" t="s">
        <v>5477</v>
      </c>
      <c r="Q563" s="4">
        <v>47.9</v>
      </c>
    </row>
    <row r="564" spans="1:17" x14ac:dyDescent="0.3">
      <c r="A564" t="s">
        <v>568</v>
      </c>
      <c r="B564" t="s">
        <v>1942</v>
      </c>
      <c r="C564" s="1">
        <v>45823</v>
      </c>
      <c r="D564" t="s">
        <v>3198</v>
      </c>
      <c r="E564" t="s">
        <v>3772</v>
      </c>
      <c r="F564" t="s">
        <v>4549</v>
      </c>
      <c r="G564" t="s">
        <v>4574</v>
      </c>
      <c r="H564" t="s">
        <v>4587</v>
      </c>
      <c r="I564" t="s">
        <v>4594</v>
      </c>
      <c r="J564">
        <v>2</v>
      </c>
      <c r="K564">
        <v>58.02</v>
      </c>
      <c r="L564">
        <v>0.05</v>
      </c>
      <c r="M564">
        <v>13.01</v>
      </c>
      <c r="N564" t="s">
        <v>5465</v>
      </c>
      <c r="O564" t="s">
        <v>5473</v>
      </c>
      <c r="P564" t="s">
        <v>5477</v>
      </c>
      <c r="Q564" s="4">
        <v>110.238</v>
      </c>
    </row>
    <row r="565" spans="1:17" x14ac:dyDescent="0.3">
      <c r="A565" t="s">
        <v>569</v>
      </c>
      <c r="B565" t="s">
        <v>1943</v>
      </c>
      <c r="C565" s="1">
        <v>45651</v>
      </c>
      <c r="D565" t="s">
        <v>2997</v>
      </c>
      <c r="E565" t="s">
        <v>3773</v>
      </c>
      <c r="F565" t="s">
        <v>4549</v>
      </c>
      <c r="G565" t="s">
        <v>4574</v>
      </c>
      <c r="H565" t="s">
        <v>4583</v>
      </c>
      <c r="I565" t="s">
        <v>4588</v>
      </c>
      <c r="J565">
        <v>1</v>
      </c>
      <c r="K565">
        <v>40.17</v>
      </c>
      <c r="L565">
        <v>0</v>
      </c>
      <c r="M565">
        <v>13.67</v>
      </c>
      <c r="N565" t="s">
        <v>5468</v>
      </c>
      <c r="O565" t="s">
        <v>5472</v>
      </c>
      <c r="P565" t="s">
        <v>5477</v>
      </c>
      <c r="Q565" s="4">
        <v>40.17</v>
      </c>
    </row>
    <row r="566" spans="1:17" x14ac:dyDescent="0.3">
      <c r="A566" t="s">
        <v>570</v>
      </c>
      <c r="B566" t="s">
        <v>1944</v>
      </c>
      <c r="C566" s="1">
        <v>45997</v>
      </c>
      <c r="D566" t="s">
        <v>2986</v>
      </c>
      <c r="E566" t="s">
        <v>3774</v>
      </c>
      <c r="F566" t="s">
        <v>4565</v>
      </c>
      <c r="G566" t="s">
        <v>4576</v>
      </c>
      <c r="H566" t="s">
        <v>4585</v>
      </c>
      <c r="I566" t="s">
        <v>4598</v>
      </c>
      <c r="J566">
        <v>1</v>
      </c>
      <c r="K566">
        <v>3.2</v>
      </c>
      <c r="L566">
        <v>0</v>
      </c>
      <c r="M566">
        <v>4.08</v>
      </c>
      <c r="N566" t="s">
        <v>5481</v>
      </c>
      <c r="O566" t="s">
        <v>5473</v>
      </c>
      <c r="P566" t="s">
        <v>5477</v>
      </c>
      <c r="Q566" s="4">
        <v>3.2</v>
      </c>
    </row>
    <row r="567" spans="1:17" x14ac:dyDescent="0.3">
      <c r="A567" t="s">
        <v>571</v>
      </c>
      <c r="B567" t="s">
        <v>1694</v>
      </c>
      <c r="C567" s="1">
        <v>45348</v>
      </c>
      <c r="D567" t="s">
        <v>2998</v>
      </c>
      <c r="E567" t="s">
        <v>5481</v>
      </c>
      <c r="F567" t="s">
        <v>4564</v>
      </c>
      <c r="G567" t="s">
        <v>4573</v>
      </c>
      <c r="H567" t="s">
        <v>4587</v>
      </c>
      <c r="I567" t="s">
        <v>4594</v>
      </c>
      <c r="J567">
        <v>3</v>
      </c>
      <c r="K567">
        <v>62.44</v>
      </c>
      <c r="L567">
        <v>0.1</v>
      </c>
      <c r="M567">
        <v>1.32</v>
      </c>
      <c r="N567" t="s">
        <v>5468</v>
      </c>
      <c r="O567" t="s">
        <v>5473</v>
      </c>
      <c r="P567" t="s">
        <v>5477</v>
      </c>
      <c r="Q567" s="4">
        <v>168.58799999999999</v>
      </c>
    </row>
    <row r="568" spans="1:17" x14ac:dyDescent="0.3">
      <c r="A568" t="s">
        <v>572</v>
      </c>
      <c r="B568" t="s">
        <v>1945</v>
      </c>
      <c r="C568" s="1">
        <v>45438</v>
      </c>
      <c r="D568" t="s">
        <v>2999</v>
      </c>
      <c r="E568" t="s">
        <v>3775</v>
      </c>
      <c r="F568" t="s">
        <v>4565</v>
      </c>
      <c r="G568" t="s">
        <v>4579</v>
      </c>
      <c r="H568" t="s">
        <v>4583</v>
      </c>
      <c r="I568" t="s">
        <v>4605</v>
      </c>
      <c r="J568">
        <v>2</v>
      </c>
      <c r="K568">
        <v>45.49</v>
      </c>
      <c r="L568">
        <v>0</v>
      </c>
      <c r="M568">
        <v>2.13</v>
      </c>
      <c r="N568" t="s">
        <v>5467</v>
      </c>
      <c r="O568" t="s">
        <v>5469</v>
      </c>
      <c r="P568" t="s">
        <v>5477</v>
      </c>
      <c r="Q568" s="4">
        <v>90.98</v>
      </c>
    </row>
    <row r="569" spans="1:17" x14ac:dyDescent="0.3">
      <c r="A569" t="s">
        <v>573</v>
      </c>
      <c r="B569" t="s">
        <v>1946</v>
      </c>
      <c r="C569" s="1">
        <v>45844</v>
      </c>
      <c r="D569" t="s">
        <v>2684</v>
      </c>
      <c r="E569" t="s">
        <v>3776</v>
      </c>
      <c r="F569" t="s">
        <v>4566</v>
      </c>
      <c r="G569" t="s">
        <v>4573</v>
      </c>
      <c r="H569" t="s">
        <v>4586</v>
      </c>
      <c r="I569" t="s">
        <v>4609</v>
      </c>
      <c r="J569">
        <v>10</v>
      </c>
      <c r="K569">
        <v>131.93</v>
      </c>
      <c r="L569">
        <v>0</v>
      </c>
      <c r="M569">
        <v>5.49</v>
      </c>
      <c r="N569" t="s">
        <v>5463</v>
      </c>
      <c r="O569" t="s">
        <v>5481</v>
      </c>
      <c r="P569" t="s">
        <v>5479</v>
      </c>
      <c r="Q569" s="4">
        <v>1319.3000000000002</v>
      </c>
    </row>
    <row r="570" spans="1:17" x14ac:dyDescent="0.3">
      <c r="A570" t="s">
        <v>574</v>
      </c>
      <c r="B570" t="s">
        <v>1947</v>
      </c>
      <c r="C570" s="1">
        <v>45376</v>
      </c>
      <c r="D570" t="s">
        <v>2965</v>
      </c>
      <c r="E570" t="s">
        <v>5481</v>
      </c>
      <c r="F570" t="s">
        <v>4549</v>
      </c>
      <c r="G570" t="s">
        <v>4573</v>
      </c>
      <c r="H570" t="s">
        <v>4584</v>
      </c>
      <c r="I570" t="s">
        <v>4607</v>
      </c>
      <c r="J570">
        <v>1</v>
      </c>
      <c r="K570">
        <v>24.48</v>
      </c>
      <c r="L570">
        <v>0.05</v>
      </c>
      <c r="M570">
        <v>0</v>
      </c>
      <c r="N570" t="s">
        <v>5464</v>
      </c>
      <c r="O570" t="s">
        <v>5471</v>
      </c>
      <c r="P570" t="s">
        <v>5479</v>
      </c>
      <c r="Q570" s="4">
        <v>23.256</v>
      </c>
    </row>
    <row r="571" spans="1:17" x14ac:dyDescent="0.3">
      <c r="A571" t="s">
        <v>575</v>
      </c>
      <c r="B571" t="s">
        <v>1948</v>
      </c>
      <c r="C571" s="1">
        <v>45499</v>
      </c>
      <c r="D571" t="s">
        <v>3000</v>
      </c>
      <c r="E571" t="s">
        <v>3777</v>
      </c>
      <c r="F571" t="s">
        <v>4566</v>
      </c>
      <c r="G571" t="s">
        <v>4577</v>
      </c>
      <c r="H571" t="s">
        <v>5481</v>
      </c>
      <c r="I571" t="s">
        <v>4599</v>
      </c>
      <c r="J571">
        <v>1</v>
      </c>
      <c r="K571">
        <v>243.25</v>
      </c>
      <c r="L571">
        <v>0.15</v>
      </c>
      <c r="M571">
        <v>5.49</v>
      </c>
      <c r="N571" t="s">
        <v>5463</v>
      </c>
      <c r="O571" t="s">
        <v>5481</v>
      </c>
      <c r="P571" t="s">
        <v>5476</v>
      </c>
      <c r="Q571" s="4">
        <v>206.76249999999999</v>
      </c>
    </row>
    <row r="572" spans="1:17" x14ac:dyDescent="0.3">
      <c r="A572" t="s">
        <v>576</v>
      </c>
      <c r="B572" t="s">
        <v>1949</v>
      </c>
      <c r="C572" s="1">
        <v>45669</v>
      </c>
      <c r="D572" t="s">
        <v>2631</v>
      </c>
      <c r="E572" t="s">
        <v>3778</v>
      </c>
      <c r="F572" t="s">
        <v>4566</v>
      </c>
      <c r="G572" t="s">
        <v>4582</v>
      </c>
      <c r="H572" t="s">
        <v>4583</v>
      </c>
      <c r="I572" t="s">
        <v>4588</v>
      </c>
      <c r="J572">
        <v>1</v>
      </c>
      <c r="K572">
        <v>39.97</v>
      </c>
      <c r="L572">
        <v>0</v>
      </c>
      <c r="M572">
        <v>0.45</v>
      </c>
      <c r="N572" t="s">
        <v>5465</v>
      </c>
      <c r="O572" t="s">
        <v>5481</v>
      </c>
      <c r="P572" t="s">
        <v>5476</v>
      </c>
      <c r="Q572" s="4">
        <v>39.97</v>
      </c>
    </row>
    <row r="573" spans="1:17" x14ac:dyDescent="0.3">
      <c r="A573" t="s">
        <v>577</v>
      </c>
      <c r="B573" t="s">
        <v>1950</v>
      </c>
      <c r="C573" s="1">
        <v>45731</v>
      </c>
      <c r="D573" t="s">
        <v>2771</v>
      </c>
      <c r="E573" t="s">
        <v>3779</v>
      </c>
      <c r="F573" t="s">
        <v>4565</v>
      </c>
      <c r="G573" t="s">
        <v>4579</v>
      </c>
      <c r="H573" t="s">
        <v>4585</v>
      </c>
      <c r="I573" t="s">
        <v>4602</v>
      </c>
      <c r="J573">
        <v>4</v>
      </c>
      <c r="K573">
        <v>4.4400000000000004</v>
      </c>
      <c r="L573">
        <v>0.05</v>
      </c>
      <c r="M573">
        <v>13.47</v>
      </c>
      <c r="N573" t="s">
        <v>5466</v>
      </c>
      <c r="O573" t="s">
        <v>5473</v>
      </c>
      <c r="P573" t="s">
        <v>5477</v>
      </c>
      <c r="Q573" s="4">
        <v>16.872</v>
      </c>
    </row>
    <row r="574" spans="1:17" x14ac:dyDescent="0.3">
      <c r="A574" t="s">
        <v>578</v>
      </c>
      <c r="B574" t="s">
        <v>1951</v>
      </c>
      <c r="C574" s="1">
        <v>45777</v>
      </c>
      <c r="D574" t="s">
        <v>2630</v>
      </c>
      <c r="E574" t="s">
        <v>3780</v>
      </c>
      <c r="F574" t="s">
        <v>4549</v>
      </c>
      <c r="G574" t="s">
        <v>4574</v>
      </c>
      <c r="H574" t="s">
        <v>4583</v>
      </c>
      <c r="I574" t="s">
        <v>4610</v>
      </c>
      <c r="J574">
        <v>1</v>
      </c>
      <c r="K574">
        <v>82.03</v>
      </c>
      <c r="L574">
        <v>0</v>
      </c>
      <c r="M574">
        <v>13.4</v>
      </c>
      <c r="N574" t="s">
        <v>5464</v>
      </c>
      <c r="O574" t="s">
        <v>5472</v>
      </c>
      <c r="P574" t="s">
        <v>5475</v>
      </c>
      <c r="Q574" s="4">
        <v>82.03</v>
      </c>
    </row>
    <row r="575" spans="1:17" x14ac:dyDescent="0.3">
      <c r="A575" t="s">
        <v>579</v>
      </c>
      <c r="B575" t="s">
        <v>1952</v>
      </c>
      <c r="C575" s="1">
        <v>45915</v>
      </c>
      <c r="D575" t="s">
        <v>2663</v>
      </c>
      <c r="E575" t="s">
        <v>5481</v>
      </c>
      <c r="F575" t="s">
        <v>4549</v>
      </c>
      <c r="G575" t="s">
        <v>4574</v>
      </c>
      <c r="H575" t="s">
        <v>4585</v>
      </c>
      <c r="I575" t="s">
        <v>4591</v>
      </c>
      <c r="J575">
        <v>4</v>
      </c>
      <c r="K575">
        <v>8.01</v>
      </c>
      <c r="L575">
        <v>0.1</v>
      </c>
      <c r="M575">
        <v>5.43</v>
      </c>
      <c r="N575" t="s">
        <v>5467</v>
      </c>
      <c r="O575" t="s">
        <v>5470</v>
      </c>
      <c r="P575" t="s">
        <v>5476</v>
      </c>
      <c r="Q575" s="4">
        <v>28.835999999999999</v>
      </c>
    </row>
    <row r="576" spans="1:17" x14ac:dyDescent="0.3">
      <c r="A576" t="s">
        <v>580</v>
      </c>
      <c r="B576" t="s">
        <v>1416</v>
      </c>
      <c r="C576" s="1">
        <v>45297</v>
      </c>
      <c r="D576" t="s">
        <v>3002</v>
      </c>
      <c r="E576" t="s">
        <v>3781</v>
      </c>
      <c r="F576" t="s">
        <v>4549</v>
      </c>
      <c r="G576" t="s">
        <v>4574</v>
      </c>
      <c r="H576" t="s">
        <v>4584</v>
      </c>
      <c r="I576" t="s">
        <v>4608</v>
      </c>
      <c r="J576">
        <v>3</v>
      </c>
      <c r="K576">
        <v>19.100000000000001</v>
      </c>
      <c r="L576">
        <v>0.05</v>
      </c>
      <c r="M576">
        <v>4.54</v>
      </c>
      <c r="N576" t="s">
        <v>5468</v>
      </c>
      <c r="O576" t="s">
        <v>5471</v>
      </c>
      <c r="P576" t="s">
        <v>5475</v>
      </c>
      <c r="Q576" s="4">
        <v>54.435000000000002</v>
      </c>
    </row>
    <row r="577" spans="1:17" x14ac:dyDescent="0.3">
      <c r="A577" t="s">
        <v>581</v>
      </c>
      <c r="B577" t="s">
        <v>1441</v>
      </c>
      <c r="C577" s="1">
        <v>45439</v>
      </c>
      <c r="D577" t="s">
        <v>2701</v>
      </c>
      <c r="E577" t="s">
        <v>3782</v>
      </c>
      <c r="F577" t="s">
        <v>4564</v>
      </c>
      <c r="G577" t="s">
        <v>4573</v>
      </c>
      <c r="H577" t="s">
        <v>4585</v>
      </c>
      <c r="I577" t="s">
        <v>4598</v>
      </c>
      <c r="J577">
        <v>10</v>
      </c>
      <c r="K577">
        <v>3.06</v>
      </c>
      <c r="L577">
        <v>0</v>
      </c>
      <c r="M577">
        <v>0.42</v>
      </c>
      <c r="N577" t="s">
        <v>5481</v>
      </c>
      <c r="O577" t="s">
        <v>5474</v>
      </c>
      <c r="P577" t="s">
        <v>5476</v>
      </c>
      <c r="Q577" s="4">
        <v>30.6</v>
      </c>
    </row>
    <row r="578" spans="1:17" x14ac:dyDescent="0.3">
      <c r="A578" t="s">
        <v>582</v>
      </c>
      <c r="B578" t="s">
        <v>1953</v>
      </c>
      <c r="C578" s="1">
        <v>45962</v>
      </c>
      <c r="D578" t="s">
        <v>2739</v>
      </c>
      <c r="E578" t="s">
        <v>3783</v>
      </c>
      <c r="F578" t="s">
        <v>4564</v>
      </c>
      <c r="G578" t="s">
        <v>4578</v>
      </c>
      <c r="H578" t="s">
        <v>4584</v>
      </c>
      <c r="I578" t="s">
        <v>4601</v>
      </c>
      <c r="J578">
        <v>10</v>
      </c>
      <c r="K578">
        <v>187.57</v>
      </c>
      <c r="L578">
        <v>0</v>
      </c>
      <c r="M578">
        <v>5.13</v>
      </c>
      <c r="N578" t="s">
        <v>5464</v>
      </c>
      <c r="O578" t="s">
        <v>5474</v>
      </c>
      <c r="P578" t="s">
        <v>5477</v>
      </c>
      <c r="Q578" s="4">
        <v>1875.6999999999998</v>
      </c>
    </row>
    <row r="579" spans="1:17" x14ac:dyDescent="0.3">
      <c r="A579" t="s">
        <v>583</v>
      </c>
      <c r="B579" t="s">
        <v>1954</v>
      </c>
      <c r="C579" s="1">
        <v>45837</v>
      </c>
      <c r="D579" t="s">
        <v>2718</v>
      </c>
      <c r="E579" t="s">
        <v>3784</v>
      </c>
      <c r="F579" t="s">
        <v>4564</v>
      </c>
      <c r="G579" t="s">
        <v>4573</v>
      </c>
      <c r="H579" t="s">
        <v>4584</v>
      </c>
      <c r="I579" t="s">
        <v>4601</v>
      </c>
      <c r="J579">
        <v>1</v>
      </c>
      <c r="K579">
        <v>197.84</v>
      </c>
      <c r="L579">
        <v>0.1</v>
      </c>
      <c r="M579">
        <v>3.25</v>
      </c>
      <c r="N579" t="s">
        <v>5467</v>
      </c>
      <c r="O579" t="s">
        <v>5470</v>
      </c>
      <c r="P579" t="s">
        <v>5475</v>
      </c>
      <c r="Q579" s="4">
        <v>178.05600000000001</v>
      </c>
    </row>
    <row r="580" spans="1:17" x14ac:dyDescent="0.3">
      <c r="A580" t="s">
        <v>584</v>
      </c>
      <c r="B580" t="s">
        <v>1955</v>
      </c>
      <c r="C580" s="1">
        <v>45346</v>
      </c>
      <c r="D580" t="s">
        <v>3003</v>
      </c>
      <c r="E580" t="s">
        <v>3785</v>
      </c>
      <c r="F580" t="s">
        <v>4566</v>
      </c>
      <c r="G580" t="s">
        <v>4577</v>
      </c>
      <c r="H580" t="s">
        <v>4587</v>
      </c>
      <c r="I580" t="s">
        <v>4600</v>
      </c>
      <c r="J580">
        <v>10</v>
      </c>
      <c r="K580">
        <v>12.76</v>
      </c>
      <c r="L580">
        <v>0</v>
      </c>
      <c r="M580">
        <v>4.54</v>
      </c>
      <c r="N580" t="s">
        <v>5462</v>
      </c>
      <c r="O580" t="s">
        <v>5472</v>
      </c>
      <c r="P580" t="s">
        <v>5476</v>
      </c>
      <c r="Q580" s="4">
        <v>127.6</v>
      </c>
    </row>
    <row r="581" spans="1:17" x14ac:dyDescent="0.3">
      <c r="A581" t="s">
        <v>585</v>
      </c>
      <c r="B581" t="s">
        <v>1956</v>
      </c>
      <c r="C581" s="1">
        <v>45318</v>
      </c>
      <c r="D581" t="s">
        <v>3003</v>
      </c>
      <c r="E581" t="s">
        <v>3786</v>
      </c>
      <c r="F581" t="s">
        <v>4564</v>
      </c>
      <c r="G581" t="s">
        <v>4573</v>
      </c>
      <c r="H581" t="s">
        <v>4585</v>
      </c>
      <c r="I581" t="s">
        <v>4598</v>
      </c>
      <c r="J581">
        <v>5</v>
      </c>
      <c r="K581">
        <v>3.2</v>
      </c>
      <c r="L581">
        <v>0.1</v>
      </c>
      <c r="M581">
        <v>10.78</v>
      </c>
      <c r="N581" t="s">
        <v>5464</v>
      </c>
      <c r="O581" t="s">
        <v>5470</v>
      </c>
      <c r="P581" t="s">
        <v>5476</v>
      </c>
      <c r="Q581" s="4">
        <v>14.4</v>
      </c>
    </row>
    <row r="582" spans="1:17" x14ac:dyDescent="0.3">
      <c r="A582" t="s">
        <v>586</v>
      </c>
      <c r="B582" t="s">
        <v>1957</v>
      </c>
      <c r="C582" s="1">
        <v>45568</v>
      </c>
      <c r="D582" t="s">
        <v>2887</v>
      </c>
      <c r="E582" t="s">
        <v>3787</v>
      </c>
      <c r="F582" t="s">
        <v>4549</v>
      </c>
      <c r="G582" t="s">
        <v>4573</v>
      </c>
      <c r="H582" t="s">
        <v>4586</v>
      </c>
      <c r="I582" t="s">
        <v>4597</v>
      </c>
      <c r="J582">
        <v>2</v>
      </c>
      <c r="K582">
        <v>84.77</v>
      </c>
      <c r="L582">
        <v>0</v>
      </c>
      <c r="M582">
        <v>0</v>
      </c>
      <c r="N582" t="s">
        <v>5468</v>
      </c>
      <c r="O582" t="s">
        <v>5469</v>
      </c>
      <c r="P582" t="s">
        <v>5477</v>
      </c>
      <c r="Q582" s="4">
        <v>169.54</v>
      </c>
    </row>
    <row r="583" spans="1:17" x14ac:dyDescent="0.3">
      <c r="A583" t="s">
        <v>587</v>
      </c>
      <c r="B583" t="s">
        <v>1640</v>
      </c>
      <c r="C583" s="1">
        <v>45632</v>
      </c>
      <c r="D583" t="s">
        <v>3004</v>
      </c>
      <c r="E583" t="s">
        <v>5481</v>
      </c>
      <c r="F583" t="s">
        <v>4565</v>
      </c>
      <c r="G583" t="s">
        <v>4576</v>
      </c>
      <c r="H583" t="s">
        <v>4583</v>
      </c>
      <c r="I583" t="s">
        <v>4588</v>
      </c>
      <c r="J583">
        <v>1</v>
      </c>
      <c r="K583">
        <v>39.729999999999997</v>
      </c>
      <c r="L583">
        <v>0.05</v>
      </c>
      <c r="M583">
        <v>14.48</v>
      </c>
      <c r="N583" t="s">
        <v>5466</v>
      </c>
      <c r="O583" t="s">
        <v>5473</v>
      </c>
      <c r="P583" t="s">
        <v>5476</v>
      </c>
      <c r="Q583" s="4">
        <v>37.743499999999997</v>
      </c>
    </row>
    <row r="584" spans="1:17" x14ac:dyDescent="0.3">
      <c r="A584" t="s">
        <v>588</v>
      </c>
      <c r="B584" t="s">
        <v>1582</v>
      </c>
      <c r="C584" s="1">
        <v>45506</v>
      </c>
      <c r="D584" t="s">
        <v>5493</v>
      </c>
      <c r="E584" t="s">
        <v>3788</v>
      </c>
      <c r="F584" t="s">
        <v>4549</v>
      </c>
      <c r="G584" t="s">
        <v>4573</v>
      </c>
      <c r="H584" t="s">
        <v>4586</v>
      </c>
      <c r="I584" t="s">
        <v>4609</v>
      </c>
      <c r="J584">
        <v>2</v>
      </c>
      <c r="K584">
        <v>133.51</v>
      </c>
      <c r="L584">
        <v>0.05</v>
      </c>
      <c r="M584">
        <v>11.03</v>
      </c>
      <c r="N584" t="s">
        <v>5467</v>
      </c>
      <c r="O584" t="s">
        <v>5472</v>
      </c>
      <c r="P584" t="s">
        <v>5477</v>
      </c>
      <c r="Q584" s="4">
        <v>253.66899999999998</v>
      </c>
    </row>
    <row r="585" spans="1:17" x14ac:dyDescent="0.3">
      <c r="A585" t="s">
        <v>589</v>
      </c>
      <c r="B585" t="s">
        <v>1958</v>
      </c>
      <c r="C585" s="1">
        <v>45673</v>
      </c>
      <c r="D585" t="s">
        <v>3006</v>
      </c>
      <c r="E585" t="s">
        <v>3789</v>
      </c>
      <c r="F585" t="s">
        <v>4566</v>
      </c>
      <c r="G585" t="s">
        <v>4573</v>
      </c>
      <c r="H585" t="s">
        <v>4585</v>
      </c>
      <c r="I585" t="s">
        <v>4602</v>
      </c>
      <c r="J585">
        <v>1</v>
      </c>
      <c r="K585">
        <v>4.4000000000000004</v>
      </c>
      <c r="L585">
        <v>0</v>
      </c>
      <c r="M585">
        <v>1.43</v>
      </c>
      <c r="N585" t="s">
        <v>5467</v>
      </c>
      <c r="O585" t="s">
        <v>5481</v>
      </c>
      <c r="P585" t="s">
        <v>5477</v>
      </c>
      <c r="Q585" s="4">
        <v>4.4000000000000004</v>
      </c>
    </row>
    <row r="586" spans="1:17" x14ac:dyDescent="0.3">
      <c r="A586" t="s">
        <v>590</v>
      </c>
      <c r="B586" t="s">
        <v>1959</v>
      </c>
      <c r="C586" s="1">
        <v>45419</v>
      </c>
      <c r="D586" t="s">
        <v>3007</v>
      </c>
      <c r="E586" t="s">
        <v>3790</v>
      </c>
      <c r="F586" t="s">
        <v>4549</v>
      </c>
      <c r="G586" t="s">
        <v>4573</v>
      </c>
      <c r="H586" t="s">
        <v>4586</v>
      </c>
      <c r="I586" t="s">
        <v>4597</v>
      </c>
      <c r="J586">
        <v>5</v>
      </c>
      <c r="K586">
        <v>85.85</v>
      </c>
      <c r="L586">
        <v>0.05</v>
      </c>
      <c r="M586">
        <v>2.15</v>
      </c>
      <c r="N586" t="s">
        <v>5467</v>
      </c>
      <c r="O586" t="s">
        <v>5471</v>
      </c>
      <c r="P586" t="s">
        <v>5476</v>
      </c>
      <c r="Q586" s="4">
        <v>407.78749999999997</v>
      </c>
    </row>
    <row r="587" spans="1:17" x14ac:dyDescent="0.3">
      <c r="A587" t="s">
        <v>591</v>
      </c>
      <c r="B587" t="s">
        <v>1960</v>
      </c>
      <c r="C587" s="1">
        <v>45478</v>
      </c>
      <c r="D587" t="s">
        <v>3008</v>
      </c>
      <c r="E587" t="s">
        <v>3791</v>
      </c>
      <c r="F587" t="s">
        <v>4566</v>
      </c>
      <c r="G587" t="s">
        <v>4582</v>
      </c>
      <c r="H587" t="s">
        <v>4583</v>
      </c>
      <c r="I587" t="s">
        <v>4604</v>
      </c>
      <c r="J587">
        <v>3</v>
      </c>
      <c r="K587">
        <v>23.1</v>
      </c>
      <c r="L587">
        <v>0</v>
      </c>
      <c r="M587">
        <v>3.14</v>
      </c>
      <c r="N587" t="s">
        <v>5465</v>
      </c>
      <c r="O587" t="s">
        <v>5473</v>
      </c>
      <c r="P587" t="s">
        <v>5477</v>
      </c>
      <c r="Q587" s="4">
        <v>69.300000000000011</v>
      </c>
    </row>
    <row r="588" spans="1:17" x14ac:dyDescent="0.3">
      <c r="A588" t="s">
        <v>592</v>
      </c>
      <c r="B588" t="s">
        <v>1961</v>
      </c>
      <c r="C588" s="1">
        <v>45634</v>
      </c>
      <c r="D588" t="s">
        <v>2775</v>
      </c>
      <c r="E588" t="s">
        <v>5481</v>
      </c>
      <c r="F588" t="s">
        <v>4565</v>
      </c>
      <c r="G588" t="s">
        <v>4576</v>
      </c>
      <c r="H588" t="s">
        <v>4587</v>
      </c>
      <c r="I588" t="s">
        <v>4606</v>
      </c>
      <c r="J588">
        <v>5</v>
      </c>
      <c r="K588">
        <v>31.07</v>
      </c>
      <c r="L588">
        <v>0.1</v>
      </c>
      <c r="M588">
        <v>13.61</v>
      </c>
      <c r="N588" t="s">
        <v>5468</v>
      </c>
      <c r="O588" t="s">
        <v>5470</v>
      </c>
      <c r="P588" t="s">
        <v>5476</v>
      </c>
      <c r="Q588" s="4">
        <v>139.815</v>
      </c>
    </row>
    <row r="589" spans="1:17" x14ac:dyDescent="0.3">
      <c r="A589" t="s">
        <v>593</v>
      </c>
      <c r="B589" t="s">
        <v>1962</v>
      </c>
      <c r="C589" s="1">
        <v>45481</v>
      </c>
      <c r="D589" t="s">
        <v>3009</v>
      </c>
      <c r="E589" t="s">
        <v>3792</v>
      </c>
      <c r="F589" t="s">
        <v>4564</v>
      </c>
      <c r="G589" t="s">
        <v>4578</v>
      </c>
      <c r="H589" t="s">
        <v>4585</v>
      </c>
      <c r="I589" t="s">
        <v>4602</v>
      </c>
      <c r="J589">
        <v>2</v>
      </c>
      <c r="K589">
        <v>4.05</v>
      </c>
      <c r="L589">
        <v>0</v>
      </c>
      <c r="M589">
        <v>13.67</v>
      </c>
      <c r="N589" t="s">
        <v>5467</v>
      </c>
      <c r="O589" t="s">
        <v>5474</v>
      </c>
      <c r="P589" t="s">
        <v>5477</v>
      </c>
      <c r="Q589" s="4">
        <v>8.1</v>
      </c>
    </row>
    <row r="590" spans="1:17" x14ac:dyDescent="0.3">
      <c r="A590" t="s">
        <v>594</v>
      </c>
      <c r="B590" t="s">
        <v>1963</v>
      </c>
      <c r="C590" s="1">
        <v>45377</v>
      </c>
      <c r="D590" t="s">
        <v>3010</v>
      </c>
      <c r="E590" t="s">
        <v>3793</v>
      </c>
      <c r="F590" t="s">
        <v>4569</v>
      </c>
      <c r="G590" t="s">
        <v>4580</v>
      </c>
      <c r="H590" t="s">
        <v>4587</v>
      </c>
      <c r="I590" t="s">
        <v>4600</v>
      </c>
      <c r="J590">
        <v>1</v>
      </c>
      <c r="K590">
        <v>13.01</v>
      </c>
      <c r="L590">
        <v>0</v>
      </c>
      <c r="M590">
        <v>0.3</v>
      </c>
      <c r="N590" t="s">
        <v>5463</v>
      </c>
      <c r="O590" t="s">
        <v>5470</v>
      </c>
      <c r="P590" t="s">
        <v>5475</v>
      </c>
      <c r="Q590" s="4">
        <v>13.01</v>
      </c>
    </row>
    <row r="591" spans="1:17" x14ac:dyDescent="0.3">
      <c r="A591" t="s">
        <v>595</v>
      </c>
      <c r="B591" t="s">
        <v>1964</v>
      </c>
      <c r="C591" s="1">
        <v>45586</v>
      </c>
      <c r="D591" t="s">
        <v>3199</v>
      </c>
      <c r="E591" t="s">
        <v>3794</v>
      </c>
      <c r="F591" t="s">
        <v>4566</v>
      </c>
      <c r="G591" t="s">
        <v>4582</v>
      </c>
      <c r="H591" t="s">
        <v>4585</v>
      </c>
      <c r="I591" t="s">
        <v>4590</v>
      </c>
      <c r="J591">
        <v>10</v>
      </c>
      <c r="K591">
        <v>13.46</v>
      </c>
      <c r="L591">
        <v>0.1</v>
      </c>
      <c r="M591">
        <v>6.47</v>
      </c>
      <c r="N591" t="s">
        <v>5463</v>
      </c>
      <c r="O591" t="s">
        <v>5470</v>
      </c>
      <c r="P591" t="s">
        <v>5477</v>
      </c>
      <c r="Q591" s="4">
        <v>121.14000000000003</v>
      </c>
    </row>
    <row r="592" spans="1:17" x14ac:dyDescent="0.3">
      <c r="A592" t="s">
        <v>596</v>
      </c>
      <c r="B592" t="s">
        <v>1965</v>
      </c>
      <c r="C592" s="1">
        <v>45645</v>
      </c>
      <c r="D592" t="s">
        <v>2897</v>
      </c>
      <c r="E592" t="s">
        <v>3795</v>
      </c>
      <c r="F592" t="s">
        <v>4549</v>
      </c>
      <c r="G592" t="s">
        <v>4574</v>
      </c>
      <c r="H592" t="s">
        <v>4586</v>
      </c>
      <c r="I592" t="s">
        <v>4593</v>
      </c>
      <c r="J592">
        <v>5</v>
      </c>
      <c r="K592">
        <v>105</v>
      </c>
      <c r="L592">
        <v>0</v>
      </c>
      <c r="M592">
        <v>0.11</v>
      </c>
      <c r="N592" t="s">
        <v>5462</v>
      </c>
      <c r="O592" t="s">
        <v>5474</v>
      </c>
      <c r="P592" t="s">
        <v>5477</v>
      </c>
      <c r="Q592" s="4">
        <v>525</v>
      </c>
    </row>
    <row r="593" spans="1:17" x14ac:dyDescent="0.3">
      <c r="A593" t="s">
        <v>597</v>
      </c>
      <c r="B593" t="s">
        <v>1966</v>
      </c>
      <c r="C593" s="1">
        <v>45462</v>
      </c>
      <c r="D593" t="s">
        <v>3012</v>
      </c>
      <c r="E593" t="s">
        <v>3796</v>
      </c>
      <c r="F593" t="s">
        <v>4549</v>
      </c>
      <c r="G593" t="s">
        <v>4573</v>
      </c>
      <c r="H593" t="s">
        <v>4584</v>
      </c>
      <c r="I593" t="s">
        <v>4607</v>
      </c>
      <c r="J593">
        <v>1</v>
      </c>
      <c r="K593">
        <v>24.31</v>
      </c>
      <c r="L593">
        <v>0</v>
      </c>
      <c r="M593">
        <v>1.36</v>
      </c>
      <c r="N593" t="s">
        <v>5465</v>
      </c>
      <c r="O593" t="s">
        <v>5469</v>
      </c>
      <c r="P593" t="s">
        <v>5476</v>
      </c>
      <c r="Q593" s="4">
        <v>24.31</v>
      </c>
    </row>
    <row r="594" spans="1:17" x14ac:dyDescent="0.3">
      <c r="A594" t="s">
        <v>598</v>
      </c>
      <c r="B594" t="s">
        <v>1967</v>
      </c>
      <c r="C594" s="1">
        <v>45689</v>
      </c>
      <c r="D594" t="s">
        <v>2689</v>
      </c>
      <c r="E594" t="s">
        <v>3797</v>
      </c>
      <c r="F594" t="s">
        <v>4566</v>
      </c>
      <c r="G594" t="s">
        <v>4582</v>
      </c>
      <c r="H594" t="s">
        <v>4585</v>
      </c>
      <c r="I594" t="s">
        <v>4598</v>
      </c>
      <c r="J594">
        <v>1</v>
      </c>
      <c r="K594">
        <v>3.1</v>
      </c>
      <c r="L594">
        <v>0.1</v>
      </c>
      <c r="M594">
        <v>8.48</v>
      </c>
      <c r="N594" t="s">
        <v>5481</v>
      </c>
      <c r="O594" t="s">
        <v>5469</v>
      </c>
      <c r="P594" t="s">
        <v>5477</v>
      </c>
      <c r="Q594" s="4">
        <v>2.79</v>
      </c>
    </row>
    <row r="595" spans="1:17" x14ac:dyDescent="0.3">
      <c r="A595" t="s">
        <v>599</v>
      </c>
      <c r="B595" t="s">
        <v>1968</v>
      </c>
      <c r="C595" s="1">
        <v>46008</v>
      </c>
      <c r="D595" t="s">
        <v>2949</v>
      </c>
      <c r="E595" t="s">
        <v>3798</v>
      </c>
      <c r="F595" t="s">
        <v>4549</v>
      </c>
      <c r="G595" t="s">
        <v>5481</v>
      </c>
      <c r="H595" t="s">
        <v>4586</v>
      </c>
      <c r="I595" t="s">
        <v>4599</v>
      </c>
      <c r="J595">
        <v>2</v>
      </c>
      <c r="K595">
        <v>245.9</v>
      </c>
      <c r="L595">
        <v>0</v>
      </c>
      <c r="M595">
        <v>5.51</v>
      </c>
      <c r="N595" t="s">
        <v>5462</v>
      </c>
      <c r="O595" t="s">
        <v>5471</v>
      </c>
      <c r="P595" t="s">
        <v>5477</v>
      </c>
      <c r="Q595" s="4">
        <v>491.8</v>
      </c>
    </row>
    <row r="596" spans="1:17" x14ac:dyDescent="0.3">
      <c r="A596" t="s">
        <v>600</v>
      </c>
      <c r="B596" t="s">
        <v>1969</v>
      </c>
      <c r="C596" s="1">
        <v>45335</v>
      </c>
      <c r="D596" t="s">
        <v>3013</v>
      </c>
      <c r="E596" t="s">
        <v>3799</v>
      </c>
      <c r="F596" t="s">
        <v>4569</v>
      </c>
      <c r="G596" t="s">
        <v>4572</v>
      </c>
      <c r="H596" t="s">
        <v>4585</v>
      </c>
      <c r="I596" t="s">
        <v>4590</v>
      </c>
      <c r="J596">
        <v>2</v>
      </c>
      <c r="K596">
        <v>13.43</v>
      </c>
      <c r="L596">
        <v>0.05</v>
      </c>
      <c r="M596">
        <v>7.7</v>
      </c>
      <c r="N596" t="s">
        <v>5467</v>
      </c>
      <c r="O596" t="s">
        <v>5470</v>
      </c>
      <c r="P596" t="s">
        <v>5477</v>
      </c>
      <c r="Q596" s="4">
        <v>25.516999999999999</v>
      </c>
    </row>
    <row r="597" spans="1:17" x14ac:dyDescent="0.3">
      <c r="A597" t="s">
        <v>601</v>
      </c>
      <c r="B597" t="s">
        <v>1970</v>
      </c>
      <c r="C597" s="1">
        <v>45470</v>
      </c>
      <c r="D597" t="s">
        <v>3014</v>
      </c>
      <c r="E597" t="s">
        <v>3800</v>
      </c>
      <c r="F597" t="s">
        <v>4549</v>
      </c>
      <c r="G597" t="s">
        <v>5481</v>
      </c>
      <c r="H597" t="s">
        <v>4584</v>
      </c>
      <c r="I597" t="s">
        <v>4589</v>
      </c>
      <c r="J597">
        <v>4</v>
      </c>
      <c r="K597">
        <v>34.4</v>
      </c>
      <c r="L597">
        <v>0</v>
      </c>
      <c r="M597">
        <v>0.22</v>
      </c>
      <c r="N597" t="s">
        <v>5462</v>
      </c>
      <c r="O597" t="s">
        <v>5474</v>
      </c>
      <c r="P597" t="s">
        <v>5475</v>
      </c>
      <c r="Q597" s="4">
        <v>137.6</v>
      </c>
    </row>
    <row r="598" spans="1:17" x14ac:dyDescent="0.3">
      <c r="A598" t="s">
        <v>442</v>
      </c>
      <c r="B598" t="s">
        <v>1705</v>
      </c>
      <c r="C598" s="1">
        <v>45482</v>
      </c>
      <c r="D598" t="s">
        <v>2791</v>
      </c>
      <c r="E598" t="s">
        <v>3659</v>
      </c>
      <c r="F598" t="s">
        <v>4565</v>
      </c>
      <c r="G598" t="s">
        <v>4576</v>
      </c>
      <c r="H598" t="s">
        <v>4586</v>
      </c>
      <c r="I598" t="s">
        <v>4609</v>
      </c>
      <c r="J598">
        <v>2</v>
      </c>
      <c r="K598">
        <v>129.16999999999999</v>
      </c>
      <c r="L598">
        <v>0.05</v>
      </c>
      <c r="M598">
        <v>4.84</v>
      </c>
      <c r="N598" t="s">
        <v>5468</v>
      </c>
      <c r="O598" t="s">
        <v>5471</v>
      </c>
      <c r="P598" t="s">
        <v>5477</v>
      </c>
      <c r="Q598" s="4">
        <v>245.42299999999997</v>
      </c>
    </row>
    <row r="599" spans="1:17" x14ac:dyDescent="0.3">
      <c r="A599" t="s">
        <v>602</v>
      </c>
      <c r="B599" t="s">
        <v>1971</v>
      </c>
      <c r="C599" s="1">
        <v>45977</v>
      </c>
      <c r="D599" t="s">
        <v>2759</v>
      </c>
      <c r="E599" t="s">
        <v>3801</v>
      </c>
      <c r="F599" t="s">
        <v>4564</v>
      </c>
      <c r="G599" t="s">
        <v>4573</v>
      </c>
      <c r="H599" t="s">
        <v>4583</v>
      </c>
      <c r="I599" t="s">
        <v>4588</v>
      </c>
      <c r="J599">
        <v>1</v>
      </c>
      <c r="K599">
        <v>40.340000000000003</v>
      </c>
      <c r="L599">
        <v>0</v>
      </c>
      <c r="M599">
        <v>10.85</v>
      </c>
      <c r="N599" t="s">
        <v>5481</v>
      </c>
      <c r="O599" t="s">
        <v>5474</v>
      </c>
      <c r="P599" t="s">
        <v>5477</v>
      </c>
      <c r="Q599" s="4">
        <v>40.340000000000003</v>
      </c>
    </row>
    <row r="600" spans="1:17" x14ac:dyDescent="0.3">
      <c r="A600" t="s">
        <v>603</v>
      </c>
      <c r="B600" t="s">
        <v>1972</v>
      </c>
      <c r="C600" s="1">
        <v>45320</v>
      </c>
      <c r="D600" t="s">
        <v>2714</v>
      </c>
      <c r="E600" t="s">
        <v>3802</v>
      </c>
      <c r="F600" t="s">
        <v>4564</v>
      </c>
      <c r="G600" t="s">
        <v>4578</v>
      </c>
      <c r="H600" t="s">
        <v>4584</v>
      </c>
      <c r="I600" t="s">
        <v>4601</v>
      </c>
      <c r="J600">
        <v>2</v>
      </c>
      <c r="K600">
        <v>182.39</v>
      </c>
      <c r="L600">
        <v>0</v>
      </c>
      <c r="M600">
        <v>0.99</v>
      </c>
      <c r="N600" t="s">
        <v>5467</v>
      </c>
      <c r="O600" t="s">
        <v>5473</v>
      </c>
      <c r="P600" t="s">
        <v>5479</v>
      </c>
      <c r="Q600" s="4">
        <v>364.78</v>
      </c>
    </row>
    <row r="601" spans="1:17" x14ac:dyDescent="0.3">
      <c r="A601" t="s">
        <v>604</v>
      </c>
      <c r="B601" t="s">
        <v>1973</v>
      </c>
      <c r="C601" s="1">
        <v>45350</v>
      </c>
      <c r="D601" t="s">
        <v>3015</v>
      </c>
      <c r="E601" t="s">
        <v>3803</v>
      </c>
      <c r="F601" t="s">
        <v>4564</v>
      </c>
      <c r="G601" t="s">
        <v>4578</v>
      </c>
      <c r="H601" t="s">
        <v>4584</v>
      </c>
      <c r="I601" t="s">
        <v>4601</v>
      </c>
      <c r="J601">
        <v>10</v>
      </c>
      <c r="K601">
        <v>186.85</v>
      </c>
      <c r="L601">
        <v>0</v>
      </c>
      <c r="M601">
        <v>2.02</v>
      </c>
      <c r="N601" t="s">
        <v>5481</v>
      </c>
      <c r="O601" t="s">
        <v>5469</v>
      </c>
      <c r="P601" t="s">
        <v>5477</v>
      </c>
      <c r="Q601" s="4">
        <v>1868.5</v>
      </c>
    </row>
    <row r="602" spans="1:17" x14ac:dyDescent="0.3">
      <c r="A602" t="s">
        <v>605</v>
      </c>
      <c r="B602" t="s">
        <v>1974</v>
      </c>
      <c r="C602" s="1">
        <v>45445</v>
      </c>
      <c r="D602" t="s">
        <v>2815</v>
      </c>
      <c r="E602" t="s">
        <v>5481</v>
      </c>
      <c r="F602" t="s">
        <v>4566</v>
      </c>
      <c r="G602" t="s">
        <v>4573</v>
      </c>
      <c r="H602" t="s">
        <v>4584</v>
      </c>
      <c r="I602" t="s">
        <v>4589</v>
      </c>
      <c r="J602">
        <v>5</v>
      </c>
      <c r="K602">
        <v>33.909999999999997</v>
      </c>
      <c r="L602">
        <v>0</v>
      </c>
      <c r="M602">
        <v>1.73</v>
      </c>
      <c r="N602" t="s">
        <v>5462</v>
      </c>
      <c r="O602" t="s">
        <v>5481</v>
      </c>
      <c r="P602" t="s">
        <v>5479</v>
      </c>
      <c r="Q602" s="4">
        <v>169.54999999999998</v>
      </c>
    </row>
    <row r="603" spans="1:17" x14ac:dyDescent="0.3">
      <c r="A603" t="s">
        <v>606</v>
      </c>
      <c r="B603" t="s">
        <v>1975</v>
      </c>
      <c r="C603" s="1">
        <v>45972</v>
      </c>
      <c r="D603" t="s">
        <v>2755</v>
      </c>
      <c r="E603" t="s">
        <v>3804</v>
      </c>
      <c r="F603" t="s">
        <v>4549</v>
      </c>
      <c r="G603" t="s">
        <v>4573</v>
      </c>
      <c r="H603" t="s">
        <v>4583</v>
      </c>
      <c r="I603" t="s">
        <v>4610</v>
      </c>
      <c r="J603">
        <v>3</v>
      </c>
      <c r="K603">
        <v>81.150000000000006</v>
      </c>
      <c r="L603">
        <v>0.1</v>
      </c>
      <c r="M603">
        <v>0.78</v>
      </c>
      <c r="N603" t="s">
        <v>5481</v>
      </c>
      <c r="O603" t="s">
        <v>5471</v>
      </c>
      <c r="P603" t="s">
        <v>5477</v>
      </c>
      <c r="Q603" s="4">
        <v>219.10500000000002</v>
      </c>
    </row>
    <row r="604" spans="1:17" x14ac:dyDescent="0.3">
      <c r="A604" t="s">
        <v>607</v>
      </c>
      <c r="B604" t="s">
        <v>1976</v>
      </c>
      <c r="C604" s="1">
        <v>45776</v>
      </c>
      <c r="D604" t="s">
        <v>2642</v>
      </c>
      <c r="E604" t="s">
        <v>3805</v>
      </c>
      <c r="F604" t="s">
        <v>4569</v>
      </c>
      <c r="G604" t="s">
        <v>5481</v>
      </c>
      <c r="H604" t="s">
        <v>4585</v>
      </c>
      <c r="I604" t="s">
        <v>4590</v>
      </c>
      <c r="J604">
        <v>2</v>
      </c>
      <c r="K604">
        <v>14.59</v>
      </c>
      <c r="L604">
        <v>0</v>
      </c>
      <c r="M604">
        <v>2.39</v>
      </c>
      <c r="N604" t="s">
        <v>5465</v>
      </c>
      <c r="O604" t="s">
        <v>5471</v>
      </c>
      <c r="P604" t="s">
        <v>5477</v>
      </c>
      <c r="Q604" s="4">
        <v>29.18</v>
      </c>
    </row>
    <row r="605" spans="1:17" x14ac:dyDescent="0.3">
      <c r="A605" t="s">
        <v>608</v>
      </c>
      <c r="B605" t="s">
        <v>1977</v>
      </c>
      <c r="C605" s="1">
        <v>45639</v>
      </c>
      <c r="D605" t="s">
        <v>2887</v>
      </c>
      <c r="E605" t="s">
        <v>3806</v>
      </c>
      <c r="F605" t="s">
        <v>4565</v>
      </c>
      <c r="G605" t="s">
        <v>4579</v>
      </c>
      <c r="H605" t="s">
        <v>4584</v>
      </c>
      <c r="I605" t="s">
        <v>4589</v>
      </c>
      <c r="J605">
        <v>1</v>
      </c>
      <c r="K605">
        <v>33.909999999999997</v>
      </c>
      <c r="L605">
        <v>0.15</v>
      </c>
      <c r="M605">
        <v>5.51</v>
      </c>
      <c r="N605" t="s">
        <v>5462</v>
      </c>
      <c r="O605" t="s">
        <v>5481</v>
      </c>
      <c r="P605" t="s">
        <v>5477</v>
      </c>
      <c r="Q605" s="4">
        <v>28.823499999999996</v>
      </c>
    </row>
    <row r="606" spans="1:17" x14ac:dyDescent="0.3">
      <c r="A606" t="s">
        <v>609</v>
      </c>
      <c r="B606" t="s">
        <v>1978</v>
      </c>
      <c r="C606" s="1">
        <v>45369</v>
      </c>
      <c r="D606" t="s">
        <v>3016</v>
      </c>
      <c r="E606" t="s">
        <v>3807</v>
      </c>
      <c r="F606" t="s">
        <v>4565</v>
      </c>
      <c r="G606" t="s">
        <v>4575</v>
      </c>
      <c r="H606" t="s">
        <v>4584</v>
      </c>
      <c r="I606" t="s">
        <v>4595</v>
      </c>
      <c r="J606">
        <v>1</v>
      </c>
      <c r="K606">
        <v>40.659999999999997</v>
      </c>
      <c r="L606">
        <v>0.05</v>
      </c>
      <c r="M606">
        <v>8.26</v>
      </c>
      <c r="N606" t="s">
        <v>5463</v>
      </c>
      <c r="O606" t="s">
        <v>5474</v>
      </c>
      <c r="P606" t="s">
        <v>5475</v>
      </c>
      <c r="Q606" s="4">
        <v>38.626999999999995</v>
      </c>
    </row>
    <row r="607" spans="1:17" x14ac:dyDescent="0.3">
      <c r="A607" t="s">
        <v>610</v>
      </c>
      <c r="B607" t="s">
        <v>1979</v>
      </c>
      <c r="C607" s="1">
        <v>45679</v>
      </c>
      <c r="D607" t="s">
        <v>2631</v>
      </c>
      <c r="E607" t="s">
        <v>3808</v>
      </c>
      <c r="F607" t="s">
        <v>4566</v>
      </c>
      <c r="G607" t="s">
        <v>4573</v>
      </c>
      <c r="H607" t="s">
        <v>4586</v>
      </c>
      <c r="I607" t="s">
        <v>4599</v>
      </c>
      <c r="J607">
        <v>1</v>
      </c>
      <c r="K607">
        <v>259.26</v>
      </c>
      <c r="L607">
        <v>0.05</v>
      </c>
      <c r="M607">
        <v>2.25</v>
      </c>
      <c r="N607" t="s">
        <v>5466</v>
      </c>
      <c r="O607" t="s">
        <v>5469</v>
      </c>
      <c r="P607" t="s">
        <v>5477</v>
      </c>
      <c r="Q607" s="4">
        <v>246.29699999999997</v>
      </c>
    </row>
    <row r="608" spans="1:17" x14ac:dyDescent="0.3">
      <c r="A608" t="s">
        <v>611</v>
      </c>
      <c r="B608" t="s">
        <v>1980</v>
      </c>
      <c r="C608" s="1">
        <v>45411</v>
      </c>
      <c r="D608" t="s">
        <v>2838</v>
      </c>
      <c r="E608" t="s">
        <v>3809</v>
      </c>
      <c r="F608" t="s">
        <v>4566</v>
      </c>
      <c r="G608" t="s">
        <v>5481</v>
      </c>
      <c r="H608" t="s">
        <v>4583</v>
      </c>
      <c r="I608" t="s">
        <v>4588</v>
      </c>
      <c r="J608">
        <v>5</v>
      </c>
      <c r="K608">
        <v>39.03</v>
      </c>
      <c r="L608">
        <v>0.15</v>
      </c>
      <c r="M608">
        <v>7.49</v>
      </c>
      <c r="N608" t="s">
        <v>5462</v>
      </c>
      <c r="O608" t="s">
        <v>5471</v>
      </c>
      <c r="P608" t="s">
        <v>5475</v>
      </c>
      <c r="Q608" s="4">
        <v>165.8775</v>
      </c>
    </row>
    <row r="609" spans="1:17" x14ac:dyDescent="0.3">
      <c r="A609" t="s">
        <v>612</v>
      </c>
      <c r="B609" t="s">
        <v>1964</v>
      </c>
      <c r="C609" s="1">
        <v>45586</v>
      </c>
      <c r="D609" t="s">
        <v>3074</v>
      </c>
      <c r="E609" t="s">
        <v>3810</v>
      </c>
      <c r="F609" t="s">
        <v>4566</v>
      </c>
      <c r="G609" t="s">
        <v>4582</v>
      </c>
      <c r="H609" t="s">
        <v>4585</v>
      </c>
      <c r="I609" t="s">
        <v>4598</v>
      </c>
      <c r="J609">
        <v>3</v>
      </c>
      <c r="K609">
        <v>3.03</v>
      </c>
      <c r="L609">
        <v>0</v>
      </c>
      <c r="M609">
        <v>6.91</v>
      </c>
      <c r="N609" t="s">
        <v>5468</v>
      </c>
      <c r="O609" t="s">
        <v>5471</v>
      </c>
      <c r="P609" t="s">
        <v>5475</v>
      </c>
      <c r="Q609" s="4">
        <v>9.09</v>
      </c>
    </row>
    <row r="610" spans="1:17" x14ac:dyDescent="0.3">
      <c r="A610" t="s">
        <v>613</v>
      </c>
      <c r="B610" t="s">
        <v>1519</v>
      </c>
      <c r="C610" s="1">
        <v>45627</v>
      </c>
      <c r="D610" t="s">
        <v>3018</v>
      </c>
      <c r="E610" t="s">
        <v>3811</v>
      </c>
      <c r="F610" t="s">
        <v>4549</v>
      </c>
      <c r="G610" t="s">
        <v>4573</v>
      </c>
      <c r="H610" t="s">
        <v>4587</v>
      </c>
      <c r="I610" t="s">
        <v>4606</v>
      </c>
      <c r="J610">
        <v>3</v>
      </c>
      <c r="K610">
        <v>31.13</v>
      </c>
      <c r="L610">
        <v>0.1</v>
      </c>
      <c r="M610">
        <v>3.91</v>
      </c>
      <c r="N610" t="s">
        <v>5462</v>
      </c>
      <c r="O610" t="s">
        <v>5471</v>
      </c>
      <c r="P610" t="s">
        <v>5477</v>
      </c>
      <c r="Q610" s="4">
        <v>84.051000000000002</v>
      </c>
    </row>
    <row r="611" spans="1:17" x14ac:dyDescent="0.3">
      <c r="A611" t="s">
        <v>614</v>
      </c>
      <c r="B611" t="s">
        <v>1981</v>
      </c>
      <c r="C611" s="1">
        <v>45613</v>
      </c>
      <c r="D611" t="s">
        <v>2637</v>
      </c>
      <c r="E611" t="s">
        <v>3812</v>
      </c>
      <c r="F611" t="s">
        <v>4569</v>
      </c>
      <c r="G611" t="s">
        <v>4572</v>
      </c>
      <c r="H611" t="s">
        <v>4585</v>
      </c>
      <c r="I611" t="s">
        <v>4592</v>
      </c>
      <c r="J611">
        <v>10</v>
      </c>
      <c r="K611">
        <v>6.55</v>
      </c>
      <c r="L611">
        <v>0.1</v>
      </c>
      <c r="M611">
        <v>3.06</v>
      </c>
      <c r="N611" t="s">
        <v>5481</v>
      </c>
      <c r="O611" t="s">
        <v>5481</v>
      </c>
      <c r="P611" t="s">
        <v>5477</v>
      </c>
      <c r="Q611" s="4">
        <v>58.95</v>
      </c>
    </row>
    <row r="612" spans="1:17" x14ac:dyDescent="0.3">
      <c r="A612" t="s">
        <v>615</v>
      </c>
      <c r="B612" t="s">
        <v>1982</v>
      </c>
      <c r="C612" s="1">
        <v>45962</v>
      </c>
      <c r="D612" t="s">
        <v>2769</v>
      </c>
      <c r="E612" t="s">
        <v>3813</v>
      </c>
      <c r="F612" t="s">
        <v>4549</v>
      </c>
      <c r="G612" t="s">
        <v>4573</v>
      </c>
      <c r="H612" t="s">
        <v>4586</v>
      </c>
      <c r="I612" t="s">
        <v>4599</v>
      </c>
      <c r="J612">
        <v>2</v>
      </c>
      <c r="K612">
        <v>248.73</v>
      </c>
      <c r="L612">
        <v>0</v>
      </c>
      <c r="M612">
        <v>1.01</v>
      </c>
      <c r="N612" t="s">
        <v>5468</v>
      </c>
      <c r="O612" t="s">
        <v>5474</v>
      </c>
      <c r="P612" t="s">
        <v>5477</v>
      </c>
      <c r="Q612" s="4">
        <v>497.46</v>
      </c>
    </row>
    <row r="613" spans="1:17" x14ac:dyDescent="0.3">
      <c r="A613" t="s">
        <v>616</v>
      </c>
      <c r="B613" t="s">
        <v>1983</v>
      </c>
      <c r="C613" s="1">
        <v>45723</v>
      </c>
      <c r="D613" t="s">
        <v>3020</v>
      </c>
      <c r="E613" t="s">
        <v>3814</v>
      </c>
      <c r="F613" t="s">
        <v>4569</v>
      </c>
      <c r="G613" t="s">
        <v>4572</v>
      </c>
      <c r="H613" t="s">
        <v>4583</v>
      </c>
      <c r="I613" t="s">
        <v>4604</v>
      </c>
      <c r="J613">
        <v>1</v>
      </c>
      <c r="K613">
        <v>23.12</v>
      </c>
      <c r="L613">
        <v>0.1</v>
      </c>
      <c r="M613">
        <v>12.73</v>
      </c>
      <c r="N613" t="s">
        <v>5466</v>
      </c>
      <c r="O613" t="s">
        <v>5469</v>
      </c>
      <c r="P613" t="s">
        <v>5477</v>
      </c>
      <c r="Q613" s="4">
        <v>20.808</v>
      </c>
    </row>
    <row r="614" spans="1:17" x14ac:dyDescent="0.3">
      <c r="A614" t="s">
        <v>617</v>
      </c>
      <c r="B614" t="s">
        <v>1984</v>
      </c>
      <c r="C614" s="1">
        <v>45833</v>
      </c>
      <c r="D614" t="s">
        <v>3021</v>
      </c>
      <c r="E614" t="s">
        <v>3815</v>
      </c>
      <c r="F614" t="s">
        <v>4565</v>
      </c>
      <c r="G614" t="s">
        <v>4576</v>
      </c>
      <c r="H614" t="s">
        <v>4584</v>
      </c>
      <c r="I614" t="s">
        <v>4607</v>
      </c>
      <c r="J614">
        <v>1</v>
      </c>
      <c r="K614">
        <v>23.88</v>
      </c>
      <c r="L614">
        <v>0.05</v>
      </c>
      <c r="M614">
        <v>13.61</v>
      </c>
      <c r="N614" t="s">
        <v>5481</v>
      </c>
      <c r="O614" t="s">
        <v>5469</v>
      </c>
      <c r="P614" t="s">
        <v>5477</v>
      </c>
      <c r="Q614" s="4">
        <v>22.685999999999996</v>
      </c>
    </row>
    <row r="615" spans="1:17" x14ac:dyDescent="0.3">
      <c r="A615" t="s">
        <v>618</v>
      </c>
      <c r="B615" t="s">
        <v>1985</v>
      </c>
      <c r="C615" s="1">
        <v>45528</v>
      </c>
      <c r="D615" t="s">
        <v>3063</v>
      </c>
      <c r="E615" t="s">
        <v>3816</v>
      </c>
      <c r="F615" t="s">
        <v>4566</v>
      </c>
      <c r="G615" t="s">
        <v>4582</v>
      </c>
      <c r="H615" t="s">
        <v>4585</v>
      </c>
      <c r="I615" t="s">
        <v>4592</v>
      </c>
      <c r="J615">
        <v>1</v>
      </c>
      <c r="K615">
        <v>6.18</v>
      </c>
      <c r="L615">
        <v>0.05</v>
      </c>
      <c r="M615">
        <v>0.75</v>
      </c>
      <c r="N615" t="s">
        <v>5464</v>
      </c>
      <c r="O615" t="s">
        <v>5481</v>
      </c>
      <c r="P615" t="s">
        <v>5477</v>
      </c>
      <c r="Q615" s="4">
        <v>5.8709999999999996</v>
      </c>
    </row>
    <row r="616" spans="1:17" x14ac:dyDescent="0.3">
      <c r="A616" t="s">
        <v>619</v>
      </c>
      <c r="B616" t="s">
        <v>1986</v>
      </c>
      <c r="C616" s="1">
        <v>45846</v>
      </c>
      <c r="D616" t="s">
        <v>2696</v>
      </c>
      <c r="E616" t="s">
        <v>3817</v>
      </c>
      <c r="F616" t="s">
        <v>4549</v>
      </c>
      <c r="G616" t="s">
        <v>4574</v>
      </c>
      <c r="H616" t="s">
        <v>4583</v>
      </c>
      <c r="I616" t="s">
        <v>4588</v>
      </c>
      <c r="J616">
        <v>3</v>
      </c>
      <c r="K616">
        <v>41.09</v>
      </c>
      <c r="L616">
        <v>0.05</v>
      </c>
      <c r="M616">
        <v>12.54</v>
      </c>
      <c r="N616" t="s">
        <v>5463</v>
      </c>
      <c r="O616" t="s">
        <v>5481</v>
      </c>
      <c r="P616" t="s">
        <v>5479</v>
      </c>
      <c r="Q616" s="4">
        <v>117.10650000000001</v>
      </c>
    </row>
    <row r="617" spans="1:17" x14ac:dyDescent="0.3">
      <c r="A617" t="s">
        <v>620</v>
      </c>
      <c r="B617" t="s">
        <v>1987</v>
      </c>
      <c r="C617" s="1">
        <v>45476</v>
      </c>
      <c r="D617" t="s">
        <v>3023</v>
      </c>
      <c r="E617" t="s">
        <v>3818</v>
      </c>
      <c r="F617" t="s">
        <v>4564</v>
      </c>
      <c r="G617" t="s">
        <v>4573</v>
      </c>
      <c r="H617" t="s">
        <v>4585</v>
      </c>
      <c r="I617" t="s">
        <v>4598</v>
      </c>
      <c r="J617">
        <v>2</v>
      </c>
      <c r="K617">
        <v>3</v>
      </c>
      <c r="L617">
        <v>0</v>
      </c>
      <c r="M617">
        <v>0</v>
      </c>
      <c r="N617" t="s">
        <v>5464</v>
      </c>
      <c r="O617" t="s">
        <v>5473</v>
      </c>
      <c r="P617" t="s">
        <v>5475</v>
      </c>
      <c r="Q617" s="4">
        <v>6</v>
      </c>
    </row>
    <row r="618" spans="1:17" x14ac:dyDescent="0.3">
      <c r="A618" t="s">
        <v>621</v>
      </c>
      <c r="B618" t="s">
        <v>1988</v>
      </c>
      <c r="C618" s="1">
        <v>45637</v>
      </c>
      <c r="D618" t="s">
        <v>3254</v>
      </c>
      <c r="E618" t="s">
        <v>3819</v>
      </c>
      <c r="F618" t="s">
        <v>4549</v>
      </c>
      <c r="G618" t="s">
        <v>4574</v>
      </c>
      <c r="H618" t="s">
        <v>4587</v>
      </c>
      <c r="I618" t="s">
        <v>4596</v>
      </c>
      <c r="J618">
        <v>2</v>
      </c>
      <c r="K618">
        <v>14.33</v>
      </c>
      <c r="L618">
        <v>0.05</v>
      </c>
      <c r="M618">
        <v>0.56000000000000005</v>
      </c>
      <c r="N618" t="s">
        <v>5468</v>
      </c>
      <c r="O618" t="s">
        <v>5470</v>
      </c>
      <c r="P618" t="s">
        <v>5477</v>
      </c>
      <c r="Q618" s="4">
        <v>27.227</v>
      </c>
    </row>
    <row r="619" spans="1:17" x14ac:dyDescent="0.3">
      <c r="A619" t="s">
        <v>622</v>
      </c>
      <c r="B619" t="s">
        <v>1989</v>
      </c>
      <c r="C619" s="1">
        <v>45374</v>
      </c>
      <c r="D619" t="s">
        <v>2712</v>
      </c>
      <c r="E619" t="s">
        <v>3820</v>
      </c>
      <c r="F619" t="s">
        <v>4565</v>
      </c>
      <c r="G619" t="s">
        <v>4576</v>
      </c>
      <c r="H619" t="s">
        <v>4583</v>
      </c>
      <c r="I619" t="s">
        <v>4610</v>
      </c>
      <c r="J619">
        <v>1</v>
      </c>
      <c r="K619">
        <v>79.650000000000006</v>
      </c>
      <c r="L619">
        <v>0.05</v>
      </c>
      <c r="M619">
        <v>7.85</v>
      </c>
      <c r="N619" t="s">
        <v>5481</v>
      </c>
      <c r="O619" t="s">
        <v>5469</v>
      </c>
      <c r="P619" t="s">
        <v>5475</v>
      </c>
      <c r="Q619" s="4">
        <v>75.667500000000004</v>
      </c>
    </row>
    <row r="620" spans="1:17" x14ac:dyDescent="0.3">
      <c r="A620" t="s">
        <v>623</v>
      </c>
      <c r="B620" t="s">
        <v>1990</v>
      </c>
      <c r="C620" s="1">
        <v>45587</v>
      </c>
      <c r="D620" t="s">
        <v>2843</v>
      </c>
      <c r="E620" t="s">
        <v>3821</v>
      </c>
      <c r="F620" t="s">
        <v>4569</v>
      </c>
      <c r="G620" t="s">
        <v>4580</v>
      </c>
      <c r="H620" t="s">
        <v>4583</v>
      </c>
      <c r="I620" t="s">
        <v>4588</v>
      </c>
      <c r="J620">
        <v>10</v>
      </c>
      <c r="K620">
        <v>40.39</v>
      </c>
      <c r="L620">
        <v>0.05</v>
      </c>
      <c r="M620">
        <v>4.71</v>
      </c>
      <c r="N620" t="s">
        <v>5481</v>
      </c>
      <c r="O620" t="s">
        <v>5469</v>
      </c>
      <c r="P620" t="s">
        <v>5477</v>
      </c>
      <c r="Q620" s="4">
        <v>383.70499999999998</v>
      </c>
    </row>
    <row r="621" spans="1:17" x14ac:dyDescent="0.3">
      <c r="A621" t="s">
        <v>624</v>
      </c>
      <c r="B621" t="s">
        <v>1991</v>
      </c>
      <c r="C621" s="1">
        <v>45886</v>
      </c>
      <c r="D621" t="s">
        <v>3026</v>
      </c>
      <c r="E621" t="s">
        <v>3822</v>
      </c>
      <c r="F621" t="s">
        <v>4569</v>
      </c>
      <c r="G621" t="s">
        <v>4580</v>
      </c>
      <c r="H621" t="s">
        <v>4587</v>
      </c>
      <c r="I621" t="s">
        <v>4606</v>
      </c>
      <c r="J621">
        <v>1</v>
      </c>
      <c r="K621">
        <v>29.41</v>
      </c>
      <c r="L621">
        <v>0</v>
      </c>
      <c r="M621">
        <v>0</v>
      </c>
      <c r="N621" t="s">
        <v>5464</v>
      </c>
      <c r="O621" t="s">
        <v>5471</v>
      </c>
      <c r="P621" t="s">
        <v>5477</v>
      </c>
      <c r="Q621" s="4">
        <v>29.41</v>
      </c>
    </row>
    <row r="622" spans="1:17" x14ac:dyDescent="0.3">
      <c r="A622" t="s">
        <v>625</v>
      </c>
      <c r="B622" t="s">
        <v>1992</v>
      </c>
      <c r="C622" s="1">
        <v>45537</v>
      </c>
      <c r="D622" t="s">
        <v>2687</v>
      </c>
      <c r="E622" t="s">
        <v>3823</v>
      </c>
      <c r="F622" t="s">
        <v>4565</v>
      </c>
      <c r="G622" t="s">
        <v>4575</v>
      </c>
      <c r="H622" t="s">
        <v>4586</v>
      </c>
      <c r="I622" t="s">
        <v>4599</v>
      </c>
      <c r="J622">
        <v>1</v>
      </c>
      <c r="K622">
        <v>249.98</v>
      </c>
      <c r="L622">
        <v>0.15</v>
      </c>
      <c r="M622">
        <v>14.2</v>
      </c>
      <c r="N622" t="s">
        <v>5466</v>
      </c>
      <c r="O622" t="s">
        <v>5471</v>
      </c>
      <c r="P622" t="s">
        <v>5477</v>
      </c>
      <c r="Q622" s="4">
        <v>212.48299999999998</v>
      </c>
    </row>
    <row r="623" spans="1:17" x14ac:dyDescent="0.3">
      <c r="A623" t="s">
        <v>626</v>
      </c>
      <c r="B623" t="s">
        <v>1993</v>
      </c>
      <c r="C623" s="1">
        <v>45702</v>
      </c>
      <c r="D623" t="s">
        <v>3082</v>
      </c>
      <c r="E623" t="s">
        <v>3824</v>
      </c>
      <c r="F623" t="s">
        <v>4566</v>
      </c>
      <c r="G623" t="s">
        <v>4573</v>
      </c>
      <c r="H623" t="s">
        <v>4587</v>
      </c>
      <c r="I623" t="s">
        <v>4596</v>
      </c>
      <c r="J623">
        <v>1</v>
      </c>
      <c r="K623">
        <v>14.66</v>
      </c>
      <c r="L623">
        <v>0.15</v>
      </c>
      <c r="M623">
        <v>11.6</v>
      </c>
      <c r="N623" t="s">
        <v>5462</v>
      </c>
      <c r="O623" t="s">
        <v>5472</v>
      </c>
      <c r="P623" t="s">
        <v>5477</v>
      </c>
      <c r="Q623" s="4">
        <v>12.461</v>
      </c>
    </row>
    <row r="624" spans="1:17" x14ac:dyDescent="0.3">
      <c r="A624" t="s">
        <v>627</v>
      </c>
      <c r="B624" t="s">
        <v>1994</v>
      </c>
      <c r="C624" s="1">
        <v>45698</v>
      </c>
      <c r="D624" t="s">
        <v>2941</v>
      </c>
      <c r="E624" t="s">
        <v>3825</v>
      </c>
      <c r="F624" t="s">
        <v>4566</v>
      </c>
      <c r="G624" t="s">
        <v>4573</v>
      </c>
      <c r="H624" t="s">
        <v>4585</v>
      </c>
      <c r="I624" t="s">
        <v>4598</v>
      </c>
      <c r="J624">
        <v>2</v>
      </c>
      <c r="K624">
        <v>3.13</v>
      </c>
      <c r="L624">
        <v>0.1</v>
      </c>
      <c r="M624">
        <v>0</v>
      </c>
      <c r="N624" t="s">
        <v>5465</v>
      </c>
      <c r="O624" t="s">
        <v>5470</v>
      </c>
      <c r="P624" t="s">
        <v>5479</v>
      </c>
      <c r="Q624" s="4">
        <v>5.6340000000000003</v>
      </c>
    </row>
    <row r="625" spans="1:17" x14ac:dyDescent="0.3">
      <c r="A625" t="s">
        <v>628</v>
      </c>
      <c r="B625" t="s">
        <v>1995</v>
      </c>
      <c r="C625" s="1">
        <v>45397</v>
      </c>
      <c r="D625" t="s">
        <v>2816</v>
      </c>
      <c r="E625" t="s">
        <v>3826</v>
      </c>
      <c r="F625" t="s">
        <v>4565</v>
      </c>
      <c r="G625" t="s">
        <v>4579</v>
      </c>
      <c r="H625" t="s">
        <v>4586</v>
      </c>
      <c r="I625" t="s">
        <v>4593</v>
      </c>
      <c r="J625">
        <v>10</v>
      </c>
      <c r="K625">
        <v>105.71</v>
      </c>
      <c r="L625">
        <v>0.1</v>
      </c>
      <c r="M625">
        <v>8.3800000000000008</v>
      </c>
      <c r="N625" t="s">
        <v>5463</v>
      </c>
      <c r="O625" t="s">
        <v>5473</v>
      </c>
      <c r="P625" t="s">
        <v>5477</v>
      </c>
      <c r="Q625" s="4">
        <v>951.39</v>
      </c>
    </row>
    <row r="626" spans="1:17" x14ac:dyDescent="0.3">
      <c r="A626" t="s">
        <v>629</v>
      </c>
      <c r="B626" t="s">
        <v>1996</v>
      </c>
      <c r="C626" s="1">
        <v>45973</v>
      </c>
      <c r="D626" t="s">
        <v>2835</v>
      </c>
      <c r="E626" t="s">
        <v>3827</v>
      </c>
      <c r="F626" t="s">
        <v>4565</v>
      </c>
      <c r="G626" t="s">
        <v>4575</v>
      </c>
      <c r="H626" t="s">
        <v>4583</v>
      </c>
      <c r="I626" t="s">
        <v>4604</v>
      </c>
      <c r="J626">
        <v>3</v>
      </c>
      <c r="K626">
        <v>21.42</v>
      </c>
      <c r="L626">
        <v>0.1</v>
      </c>
      <c r="M626">
        <v>13.88</v>
      </c>
      <c r="N626" t="s">
        <v>5464</v>
      </c>
      <c r="O626" t="s">
        <v>5474</v>
      </c>
      <c r="P626" t="s">
        <v>5477</v>
      </c>
      <c r="Q626" s="4">
        <v>57.834000000000003</v>
      </c>
    </row>
    <row r="627" spans="1:17" x14ac:dyDescent="0.3">
      <c r="A627" t="s">
        <v>630</v>
      </c>
      <c r="B627" t="s">
        <v>1997</v>
      </c>
      <c r="C627" s="1">
        <v>45370</v>
      </c>
      <c r="D627" t="s">
        <v>2843</v>
      </c>
      <c r="E627" t="s">
        <v>3828</v>
      </c>
      <c r="F627" t="s">
        <v>4566</v>
      </c>
      <c r="G627" t="s">
        <v>4582</v>
      </c>
      <c r="H627" t="s">
        <v>4585</v>
      </c>
      <c r="I627" t="s">
        <v>4598</v>
      </c>
      <c r="J627">
        <v>4</v>
      </c>
      <c r="K627">
        <v>3.25</v>
      </c>
      <c r="L627">
        <v>0.1</v>
      </c>
      <c r="N627" t="s">
        <v>5465</v>
      </c>
      <c r="O627" t="s">
        <v>5474</v>
      </c>
      <c r="P627" t="s">
        <v>5479</v>
      </c>
      <c r="Q627" s="4">
        <v>11.700000000000001</v>
      </c>
    </row>
    <row r="628" spans="1:17" x14ac:dyDescent="0.3">
      <c r="A628" t="s">
        <v>631</v>
      </c>
      <c r="B628" t="s">
        <v>1998</v>
      </c>
      <c r="C628" s="1">
        <v>45500</v>
      </c>
      <c r="D628" t="s">
        <v>2698</v>
      </c>
      <c r="E628" t="s">
        <v>3829</v>
      </c>
      <c r="F628" t="s">
        <v>4565</v>
      </c>
      <c r="G628" t="s">
        <v>4575</v>
      </c>
      <c r="H628" t="s">
        <v>4583</v>
      </c>
      <c r="I628" t="s">
        <v>4605</v>
      </c>
      <c r="J628">
        <v>10</v>
      </c>
      <c r="K628">
        <v>45.78</v>
      </c>
      <c r="L628">
        <v>0</v>
      </c>
      <c r="M628">
        <v>0</v>
      </c>
      <c r="N628" t="s">
        <v>5467</v>
      </c>
      <c r="O628" t="s">
        <v>5470</v>
      </c>
      <c r="P628" t="s">
        <v>5476</v>
      </c>
      <c r="Q628" s="4">
        <v>457.8</v>
      </c>
    </row>
    <row r="629" spans="1:17" x14ac:dyDescent="0.3">
      <c r="A629" t="s">
        <v>632</v>
      </c>
      <c r="B629" t="s">
        <v>1999</v>
      </c>
      <c r="C629" s="1">
        <v>45573</v>
      </c>
      <c r="D629" t="s">
        <v>2895</v>
      </c>
      <c r="E629" t="s">
        <v>5481</v>
      </c>
      <c r="F629" t="s">
        <v>4569</v>
      </c>
      <c r="G629" t="s">
        <v>4572</v>
      </c>
      <c r="H629" t="s">
        <v>4585</v>
      </c>
      <c r="I629" t="s">
        <v>4602</v>
      </c>
      <c r="J629">
        <v>5</v>
      </c>
      <c r="K629">
        <v>4.17</v>
      </c>
      <c r="L629">
        <v>0</v>
      </c>
      <c r="M629">
        <v>5.8</v>
      </c>
      <c r="N629" t="s">
        <v>5466</v>
      </c>
      <c r="O629" t="s">
        <v>5472</v>
      </c>
      <c r="P629" t="s">
        <v>5477</v>
      </c>
      <c r="Q629" s="4">
        <v>20.85</v>
      </c>
    </row>
    <row r="630" spans="1:17" x14ac:dyDescent="0.3">
      <c r="A630" t="s">
        <v>633</v>
      </c>
      <c r="B630" t="s">
        <v>2000</v>
      </c>
      <c r="C630" s="1">
        <v>45592</v>
      </c>
      <c r="D630" t="s">
        <v>2942</v>
      </c>
      <c r="E630" t="s">
        <v>3830</v>
      </c>
      <c r="F630" t="s">
        <v>4565</v>
      </c>
      <c r="G630" t="s">
        <v>4576</v>
      </c>
      <c r="H630" t="s">
        <v>4583</v>
      </c>
      <c r="I630" t="s">
        <v>4604</v>
      </c>
      <c r="J630">
        <v>10</v>
      </c>
      <c r="K630">
        <v>22.59</v>
      </c>
      <c r="L630">
        <v>0</v>
      </c>
      <c r="M630">
        <v>11.51</v>
      </c>
      <c r="N630" t="s">
        <v>5465</v>
      </c>
      <c r="O630" t="s">
        <v>5474</v>
      </c>
      <c r="P630" t="s">
        <v>5477</v>
      </c>
      <c r="Q630" s="4">
        <v>225.9</v>
      </c>
    </row>
    <row r="631" spans="1:17" x14ac:dyDescent="0.3">
      <c r="A631" t="s">
        <v>634</v>
      </c>
      <c r="B631" t="s">
        <v>2001</v>
      </c>
      <c r="C631" s="1">
        <v>45772</v>
      </c>
      <c r="D631" t="s">
        <v>2626</v>
      </c>
      <c r="E631" t="s">
        <v>3831</v>
      </c>
      <c r="F631" t="s">
        <v>4565</v>
      </c>
      <c r="G631" t="s">
        <v>4576</v>
      </c>
      <c r="H631" t="s">
        <v>4587</v>
      </c>
      <c r="I631" t="s">
        <v>4594</v>
      </c>
      <c r="J631">
        <v>2</v>
      </c>
      <c r="K631">
        <v>62.39</v>
      </c>
      <c r="L631">
        <v>0</v>
      </c>
      <c r="M631">
        <v>3.23</v>
      </c>
      <c r="N631" t="s">
        <v>5481</v>
      </c>
      <c r="O631" t="s">
        <v>5481</v>
      </c>
      <c r="P631" t="s">
        <v>5477</v>
      </c>
      <c r="Q631" s="4">
        <v>124.78</v>
      </c>
    </row>
    <row r="632" spans="1:17" x14ac:dyDescent="0.3">
      <c r="A632" t="s">
        <v>635</v>
      </c>
      <c r="B632" t="s">
        <v>2002</v>
      </c>
      <c r="C632" s="1">
        <v>45900</v>
      </c>
      <c r="D632" t="s">
        <v>3014</v>
      </c>
      <c r="E632" t="s">
        <v>3832</v>
      </c>
      <c r="F632" t="s">
        <v>4566</v>
      </c>
      <c r="G632" t="s">
        <v>4573</v>
      </c>
      <c r="H632" t="s">
        <v>5481</v>
      </c>
      <c r="I632" t="s">
        <v>4596</v>
      </c>
      <c r="J632">
        <v>10</v>
      </c>
      <c r="K632">
        <v>14.29</v>
      </c>
      <c r="L632">
        <v>0</v>
      </c>
      <c r="M632">
        <v>0.84</v>
      </c>
      <c r="N632" t="s">
        <v>5468</v>
      </c>
      <c r="O632" t="s">
        <v>5471</v>
      </c>
      <c r="P632" t="s">
        <v>5477</v>
      </c>
      <c r="Q632" s="4">
        <v>142.89999999999998</v>
      </c>
    </row>
    <row r="633" spans="1:17" x14ac:dyDescent="0.3">
      <c r="A633" t="s">
        <v>636</v>
      </c>
      <c r="B633" t="s">
        <v>1690</v>
      </c>
      <c r="C633" s="1">
        <v>45556</v>
      </c>
      <c r="D633" t="s">
        <v>2718</v>
      </c>
      <c r="E633" t="s">
        <v>3833</v>
      </c>
      <c r="F633" t="s">
        <v>4549</v>
      </c>
      <c r="G633" t="s">
        <v>4574</v>
      </c>
      <c r="H633" t="s">
        <v>4584</v>
      </c>
      <c r="I633" t="s">
        <v>4595</v>
      </c>
      <c r="J633">
        <v>5</v>
      </c>
      <c r="K633">
        <v>42.6</v>
      </c>
      <c r="L633">
        <v>0.05</v>
      </c>
      <c r="M633">
        <v>11.42</v>
      </c>
      <c r="N633" t="s">
        <v>5464</v>
      </c>
      <c r="O633" t="s">
        <v>5470</v>
      </c>
      <c r="P633" t="s">
        <v>5479</v>
      </c>
      <c r="Q633" s="4">
        <v>202.35</v>
      </c>
    </row>
    <row r="634" spans="1:17" x14ac:dyDescent="0.3">
      <c r="A634" t="s">
        <v>637</v>
      </c>
      <c r="B634" t="s">
        <v>2003</v>
      </c>
      <c r="C634" s="1">
        <v>45632</v>
      </c>
      <c r="D634" t="s">
        <v>2903</v>
      </c>
      <c r="E634" t="s">
        <v>3834</v>
      </c>
      <c r="F634" t="s">
        <v>4569</v>
      </c>
      <c r="G634" t="s">
        <v>4572</v>
      </c>
      <c r="H634" t="s">
        <v>4585</v>
      </c>
      <c r="I634" t="s">
        <v>4591</v>
      </c>
      <c r="J634">
        <v>3</v>
      </c>
      <c r="K634">
        <v>7.44</v>
      </c>
      <c r="L634">
        <v>0.15</v>
      </c>
      <c r="M634">
        <v>11.16</v>
      </c>
      <c r="N634" t="s">
        <v>5462</v>
      </c>
      <c r="O634" t="s">
        <v>5470</v>
      </c>
      <c r="P634" t="s">
        <v>5476</v>
      </c>
      <c r="Q634" s="4">
        <v>18.972000000000001</v>
      </c>
    </row>
    <row r="635" spans="1:17" x14ac:dyDescent="0.3">
      <c r="A635" t="s">
        <v>351</v>
      </c>
      <c r="B635" t="s">
        <v>1743</v>
      </c>
      <c r="C635" s="1">
        <v>45985</v>
      </c>
      <c r="D635" t="s">
        <v>2694</v>
      </c>
      <c r="E635" t="s">
        <v>3576</v>
      </c>
      <c r="F635" t="s">
        <v>4564</v>
      </c>
      <c r="G635" t="s">
        <v>4578</v>
      </c>
      <c r="H635" t="s">
        <v>4584</v>
      </c>
      <c r="I635" t="s">
        <v>4589</v>
      </c>
      <c r="J635">
        <v>2</v>
      </c>
      <c r="K635">
        <v>36.39</v>
      </c>
      <c r="L635">
        <v>0.1</v>
      </c>
      <c r="M635">
        <v>4.51</v>
      </c>
      <c r="N635" t="s">
        <v>5467</v>
      </c>
      <c r="O635" t="s">
        <v>5472</v>
      </c>
      <c r="P635" t="s">
        <v>5479</v>
      </c>
      <c r="Q635" s="4">
        <v>65.50200000000001</v>
      </c>
    </row>
    <row r="636" spans="1:17" x14ac:dyDescent="0.3">
      <c r="A636" t="s">
        <v>638</v>
      </c>
      <c r="B636" t="s">
        <v>2004</v>
      </c>
      <c r="C636" s="1">
        <v>45340</v>
      </c>
      <c r="D636" t="s">
        <v>2763</v>
      </c>
      <c r="E636" t="s">
        <v>3835</v>
      </c>
      <c r="F636" t="s">
        <v>4549</v>
      </c>
      <c r="G636" t="s">
        <v>4574</v>
      </c>
      <c r="H636" t="s">
        <v>4584</v>
      </c>
      <c r="I636" t="s">
        <v>4607</v>
      </c>
      <c r="J636">
        <v>2</v>
      </c>
      <c r="K636">
        <v>24.9</v>
      </c>
      <c r="L636">
        <v>0.1</v>
      </c>
      <c r="M636">
        <v>2.1</v>
      </c>
      <c r="N636" t="s">
        <v>5463</v>
      </c>
      <c r="O636" t="s">
        <v>5470</v>
      </c>
      <c r="P636" t="s">
        <v>5479</v>
      </c>
      <c r="Q636" s="4">
        <v>44.82</v>
      </c>
    </row>
    <row r="637" spans="1:17" x14ac:dyDescent="0.3">
      <c r="A637" t="s">
        <v>639</v>
      </c>
      <c r="B637" t="s">
        <v>1830</v>
      </c>
      <c r="C637" s="1">
        <v>45807</v>
      </c>
      <c r="D637" t="s">
        <v>2903</v>
      </c>
      <c r="E637" t="s">
        <v>3836</v>
      </c>
      <c r="F637" t="s">
        <v>4566</v>
      </c>
      <c r="G637" t="s">
        <v>4582</v>
      </c>
      <c r="H637" t="s">
        <v>4585</v>
      </c>
      <c r="I637" t="s">
        <v>4592</v>
      </c>
      <c r="J637">
        <v>2</v>
      </c>
      <c r="K637">
        <v>6.67</v>
      </c>
      <c r="L637">
        <v>0.1</v>
      </c>
      <c r="M637">
        <v>4.7699999999999996</v>
      </c>
      <c r="N637" t="s">
        <v>5467</v>
      </c>
      <c r="O637" t="s">
        <v>5474</v>
      </c>
      <c r="P637" t="s">
        <v>5475</v>
      </c>
      <c r="Q637" s="4">
        <v>12.006</v>
      </c>
    </row>
    <row r="638" spans="1:17" x14ac:dyDescent="0.3">
      <c r="A638" t="s">
        <v>640</v>
      </c>
      <c r="B638" t="s">
        <v>1543</v>
      </c>
      <c r="C638" s="1">
        <v>45972</v>
      </c>
      <c r="D638" t="s">
        <v>2962</v>
      </c>
      <c r="E638" t="s">
        <v>3837</v>
      </c>
      <c r="F638" t="s">
        <v>4564</v>
      </c>
      <c r="G638" t="s">
        <v>4578</v>
      </c>
      <c r="H638" t="s">
        <v>4585</v>
      </c>
      <c r="I638" t="s">
        <v>4592</v>
      </c>
      <c r="J638">
        <v>1</v>
      </c>
      <c r="K638">
        <v>6.48</v>
      </c>
      <c r="L638">
        <v>0</v>
      </c>
      <c r="M638">
        <v>6.79</v>
      </c>
      <c r="N638" t="s">
        <v>5462</v>
      </c>
      <c r="O638" t="s">
        <v>5472</v>
      </c>
      <c r="P638" t="s">
        <v>5476</v>
      </c>
      <c r="Q638" s="4">
        <v>6.48</v>
      </c>
    </row>
    <row r="639" spans="1:17" x14ac:dyDescent="0.3">
      <c r="A639" t="s">
        <v>641</v>
      </c>
      <c r="B639" t="s">
        <v>2005</v>
      </c>
      <c r="C639" s="1">
        <v>45423</v>
      </c>
      <c r="D639" t="s">
        <v>2765</v>
      </c>
      <c r="E639" t="s">
        <v>3838</v>
      </c>
      <c r="F639" t="s">
        <v>4569</v>
      </c>
      <c r="G639" t="s">
        <v>4581</v>
      </c>
      <c r="H639" t="s">
        <v>4586</v>
      </c>
      <c r="I639" t="s">
        <v>4597</v>
      </c>
      <c r="J639">
        <v>3</v>
      </c>
      <c r="K639">
        <v>92.56</v>
      </c>
      <c r="L639">
        <v>0</v>
      </c>
      <c r="M639">
        <v>10.63</v>
      </c>
      <c r="N639" t="s">
        <v>5465</v>
      </c>
      <c r="O639" t="s">
        <v>5469</v>
      </c>
      <c r="P639" t="s">
        <v>5477</v>
      </c>
      <c r="Q639" s="4">
        <v>277.68</v>
      </c>
    </row>
    <row r="640" spans="1:17" x14ac:dyDescent="0.3">
      <c r="A640" t="s">
        <v>642</v>
      </c>
      <c r="B640" t="s">
        <v>2006</v>
      </c>
      <c r="C640" s="1">
        <v>45816</v>
      </c>
      <c r="D640" t="s">
        <v>3254</v>
      </c>
      <c r="E640" t="s">
        <v>3839</v>
      </c>
      <c r="F640" t="s">
        <v>4569</v>
      </c>
      <c r="G640" t="s">
        <v>4581</v>
      </c>
      <c r="H640" t="s">
        <v>4587</v>
      </c>
      <c r="I640" t="s">
        <v>4600</v>
      </c>
      <c r="J640">
        <v>10</v>
      </c>
      <c r="K640">
        <v>13.54</v>
      </c>
      <c r="L640">
        <v>0</v>
      </c>
      <c r="M640">
        <v>5.98</v>
      </c>
      <c r="N640" t="s">
        <v>5464</v>
      </c>
      <c r="O640" t="s">
        <v>5471</v>
      </c>
      <c r="P640" t="s">
        <v>5476</v>
      </c>
      <c r="Q640" s="4">
        <v>135.39999999999998</v>
      </c>
    </row>
    <row r="641" spans="1:17" x14ac:dyDescent="0.3">
      <c r="A641" t="s">
        <v>643</v>
      </c>
      <c r="B641" t="s">
        <v>2007</v>
      </c>
      <c r="C641" s="1">
        <v>45664</v>
      </c>
      <c r="D641" t="s">
        <v>2914</v>
      </c>
      <c r="E641" t="s">
        <v>3840</v>
      </c>
      <c r="F641" t="s">
        <v>4564</v>
      </c>
      <c r="G641" t="s">
        <v>4578</v>
      </c>
      <c r="H641" t="s">
        <v>4584</v>
      </c>
      <c r="I641" t="s">
        <v>4595</v>
      </c>
      <c r="J641">
        <v>1</v>
      </c>
      <c r="K641">
        <v>44.08</v>
      </c>
      <c r="L641">
        <v>0</v>
      </c>
      <c r="M641">
        <v>10.9</v>
      </c>
      <c r="N641" t="s">
        <v>5467</v>
      </c>
      <c r="O641" t="s">
        <v>5481</v>
      </c>
      <c r="P641" t="s">
        <v>5477</v>
      </c>
      <c r="Q641" s="4">
        <v>44.08</v>
      </c>
    </row>
    <row r="642" spans="1:17" x14ac:dyDescent="0.3">
      <c r="A642" t="s">
        <v>644</v>
      </c>
      <c r="B642" t="s">
        <v>2008</v>
      </c>
      <c r="C642" s="1">
        <v>45664</v>
      </c>
      <c r="D642" t="s">
        <v>2898</v>
      </c>
      <c r="E642" t="s">
        <v>3841</v>
      </c>
      <c r="F642" t="s">
        <v>4565</v>
      </c>
      <c r="G642" t="s">
        <v>4575</v>
      </c>
      <c r="H642" t="s">
        <v>4587</v>
      </c>
      <c r="I642" t="s">
        <v>4606</v>
      </c>
      <c r="J642">
        <v>1</v>
      </c>
      <c r="K642">
        <v>29.59</v>
      </c>
      <c r="L642">
        <v>0</v>
      </c>
      <c r="M642">
        <v>14.41</v>
      </c>
      <c r="N642" t="s">
        <v>5467</v>
      </c>
      <c r="O642" t="s">
        <v>5470</v>
      </c>
      <c r="P642" t="s">
        <v>5476</v>
      </c>
      <c r="Q642" s="4">
        <v>29.59</v>
      </c>
    </row>
    <row r="643" spans="1:17" x14ac:dyDescent="0.3">
      <c r="A643" t="s">
        <v>645</v>
      </c>
      <c r="B643" t="s">
        <v>1595</v>
      </c>
      <c r="C643" s="1">
        <v>45314</v>
      </c>
      <c r="D643" t="s">
        <v>2719</v>
      </c>
      <c r="E643" t="s">
        <v>3842</v>
      </c>
      <c r="F643" t="s">
        <v>4569</v>
      </c>
      <c r="G643" t="s">
        <v>4572</v>
      </c>
      <c r="H643" t="s">
        <v>4586</v>
      </c>
      <c r="I643" t="s">
        <v>4609</v>
      </c>
      <c r="J643">
        <v>3</v>
      </c>
      <c r="K643">
        <v>124.6</v>
      </c>
      <c r="L643">
        <v>0.15</v>
      </c>
      <c r="M643">
        <v>8.9</v>
      </c>
      <c r="N643" t="s">
        <v>5468</v>
      </c>
      <c r="O643" t="s">
        <v>5471</v>
      </c>
      <c r="P643" t="s">
        <v>5476</v>
      </c>
      <c r="Q643" s="4">
        <v>317.72999999999996</v>
      </c>
    </row>
    <row r="644" spans="1:17" x14ac:dyDescent="0.3">
      <c r="A644" t="s">
        <v>646</v>
      </c>
      <c r="B644" t="s">
        <v>2009</v>
      </c>
      <c r="C644" s="1">
        <v>45747</v>
      </c>
      <c r="D644" t="s">
        <v>2660</v>
      </c>
      <c r="E644" t="s">
        <v>3843</v>
      </c>
      <c r="F644" t="s">
        <v>4569</v>
      </c>
      <c r="G644" t="s">
        <v>4581</v>
      </c>
      <c r="H644" t="s">
        <v>4584</v>
      </c>
      <c r="I644" t="s">
        <v>4603</v>
      </c>
      <c r="J644">
        <v>10</v>
      </c>
      <c r="K644">
        <v>9.24</v>
      </c>
      <c r="L644">
        <v>0</v>
      </c>
      <c r="M644">
        <v>10.4</v>
      </c>
      <c r="N644" t="s">
        <v>5462</v>
      </c>
      <c r="O644" t="s">
        <v>5472</v>
      </c>
      <c r="P644" t="s">
        <v>5477</v>
      </c>
      <c r="Q644" s="4">
        <v>92.4</v>
      </c>
    </row>
    <row r="645" spans="1:17" x14ac:dyDescent="0.3">
      <c r="A645" t="s">
        <v>647</v>
      </c>
      <c r="B645" t="s">
        <v>2010</v>
      </c>
      <c r="C645" s="1">
        <v>45709</v>
      </c>
      <c r="D645" t="s">
        <v>2802</v>
      </c>
      <c r="E645" t="s">
        <v>3844</v>
      </c>
      <c r="F645" t="s">
        <v>4569</v>
      </c>
      <c r="G645" t="s">
        <v>4572</v>
      </c>
      <c r="H645" t="s">
        <v>4585</v>
      </c>
      <c r="I645" t="s">
        <v>4602</v>
      </c>
      <c r="J645">
        <v>5</v>
      </c>
      <c r="K645">
        <v>4.33</v>
      </c>
      <c r="L645">
        <v>0</v>
      </c>
      <c r="M645">
        <v>3.39</v>
      </c>
      <c r="N645" t="s">
        <v>5481</v>
      </c>
      <c r="O645" t="s">
        <v>5474</v>
      </c>
      <c r="P645" t="s">
        <v>5477</v>
      </c>
      <c r="Q645" s="4">
        <v>21.65</v>
      </c>
    </row>
    <row r="646" spans="1:17" x14ac:dyDescent="0.3">
      <c r="A646" t="s">
        <v>585</v>
      </c>
      <c r="B646" t="s">
        <v>1956</v>
      </c>
      <c r="C646" s="1">
        <v>45318</v>
      </c>
      <c r="D646" t="s">
        <v>3003</v>
      </c>
      <c r="E646" t="s">
        <v>3786</v>
      </c>
      <c r="F646" t="s">
        <v>4564</v>
      </c>
      <c r="G646" t="s">
        <v>4573</v>
      </c>
      <c r="H646" t="s">
        <v>4585</v>
      </c>
      <c r="I646" t="s">
        <v>4598</v>
      </c>
      <c r="J646">
        <v>5</v>
      </c>
      <c r="K646">
        <v>3.2</v>
      </c>
      <c r="L646">
        <v>0.1</v>
      </c>
      <c r="M646">
        <v>10.78</v>
      </c>
      <c r="N646" t="s">
        <v>5464</v>
      </c>
      <c r="O646" t="s">
        <v>5470</v>
      </c>
      <c r="P646" t="s">
        <v>5476</v>
      </c>
      <c r="Q646" s="4">
        <v>14.4</v>
      </c>
    </row>
    <row r="647" spans="1:17" x14ac:dyDescent="0.3">
      <c r="A647" t="s">
        <v>648</v>
      </c>
      <c r="B647" t="s">
        <v>2011</v>
      </c>
      <c r="C647" s="1">
        <v>45378</v>
      </c>
      <c r="D647" t="s">
        <v>3104</v>
      </c>
      <c r="E647" t="s">
        <v>3845</v>
      </c>
      <c r="F647" t="s">
        <v>4566</v>
      </c>
      <c r="G647" t="s">
        <v>4573</v>
      </c>
      <c r="H647" t="s">
        <v>4585</v>
      </c>
      <c r="I647" t="s">
        <v>4598</v>
      </c>
      <c r="J647">
        <v>2</v>
      </c>
      <c r="K647">
        <v>3.11</v>
      </c>
      <c r="L647">
        <v>0.05</v>
      </c>
      <c r="M647">
        <v>3.81</v>
      </c>
      <c r="N647" t="s">
        <v>5463</v>
      </c>
      <c r="O647" t="s">
        <v>5481</v>
      </c>
      <c r="P647" t="s">
        <v>5475</v>
      </c>
      <c r="Q647" s="4">
        <v>5.9089999999999998</v>
      </c>
    </row>
    <row r="648" spans="1:17" x14ac:dyDescent="0.3">
      <c r="A648" t="s">
        <v>649</v>
      </c>
      <c r="B648" t="s">
        <v>2012</v>
      </c>
      <c r="C648" s="1">
        <v>45861</v>
      </c>
      <c r="D648" t="s">
        <v>3023</v>
      </c>
      <c r="E648" t="s">
        <v>3846</v>
      </c>
      <c r="F648" t="s">
        <v>4549</v>
      </c>
      <c r="G648" t="s">
        <v>4573</v>
      </c>
      <c r="H648" t="s">
        <v>4586</v>
      </c>
      <c r="I648" t="s">
        <v>4597</v>
      </c>
      <c r="J648">
        <v>3</v>
      </c>
      <c r="K648">
        <v>86.42</v>
      </c>
      <c r="L648">
        <v>0</v>
      </c>
      <c r="M648">
        <v>5.89</v>
      </c>
      <c r="N648" t="s">
        <v>5466</v>
      </c>
      <c r="O648" t="s">
        <v>5481</v>
      </c>
      <c r="P648" t="s">
        <v>5477</v>
      </c>
      <c r="Q648" s="4">
        <v>259.26</v>
      </c>
    </row>
    <row r="649" spans="1:17" x14ac:dyDescent="0.3">
      <c r="A649" t="s">
        <v>650</v>
      </c>
      <c r="B649" t="s">
        <v>2013</v>
      </c>
      <c r="C649" s="1">
        <v>45776</v>
      </c>
      <c r="D649" t="s">
        <v>3033</v>
      </c>
      <c r="E649" t="s">
        <v>3847</v>
      </c>
      <c r="F649" t="s">
        <v>4565</v>
      </c>
      <c r="G649" t="s">
        <v>4579</v>
      </c>
      <c r="H649" t="s">
        <v>4583</v>
      </c>
      <c r="I649" t="s">
        <v>4605</v>
      </c>
      <c r="J649">
        <v>1</v>
      </c>
      <c r="K649">
        <v>45.17</v>
      </c>
      <c r="L649">
        <v>0.1</v>
      </c>
      <c r="M649">
        <v>1.33</v>
      </c>
      <c r="N649" t="s">
        <v>5465</v>
      </c>
      <c r="O649" t="s">
        <v>5473</v>
      </c>
      <c r="P649" t="s">
        <v>5477</v>
      </c>
      <c r="Q649" s="4">
        <v>40.653000000000006</v>
      </c>
    </row>
    <row r="650" spans="1:17" x14ac:dyDescent="0.3">
      <c r="A650" t="s">
        <v>651</v>
      </c>
      <c r="B650" t="s">
        <v>2014</v>
      </c>
      <c r="C650" s="1">
        <v>45470</v>
      </c>
      <c r="D650" t="s">
        <v>3034</v>
      </c>
      <c r="E650" t="s">
        <v>3848</v>
      </c>
      <c r="F650" t="s">
        <v>4569</v>
      </c>
      <c r="G650" t="s">
        <v>4580</v>
      </c>
      <c r="H650" t="s">
        <v>4586</v>
      </c>
      <c r="I650" t="s">
        <v>4599</v>
      </c>
      <c r="J650">
        <v>2</v>
      </c>
      <c r="K650">
        <v>249.01</v>
      </c>
      <c r="L650">
        <v>0.05</v>
      </c>
      <c r="M650">
        <v>8.75</v>
      </c>
      <c r="N650" t="s">
        <v>5465</v>
      </c>
      <c r="O650" t="s">
        <v>5474</v>
      </c>
      <c r="P650" t="s">
        <v>5476</v>
      </c>
      <c r="Q650" s="4">
        <v>473.11899999999997</v>
      </c>
    </row>
    <row r="651" spans="1:17" x14ac:dyDescent="0.3">
      <c r="A651" t="s">
        <v>652</v>
      </c>
      <c r="B651" t="s">
        <v>2015</v>
      </c>
      <c r="C651" s="1">
        <v>45970</v>
      </c>
      <c r="D651" t="s">
        <v>5492</v>
      </c>
      <c r="E651" t="s">
        <v>5481</v>
      </c>
      <c r="F651" t="s">
        <v>4569</v>
      </c>
      <c r="G651" t="s">
        <v>4581</v>
      </c>
      <c r="H651" t="s">
        <v>4587</v>
      </c>
      <c r="I651" t="s">
        <v>4606</v>
      </c>
      <c r="J651">
        <v>3</v>
      </c>
      <c r="K651">
        <v>31.38</v>
      </c>
      <c r="L651">
        <v>0.05</v>
      </c>
      <c r="M651">
        <v>10.07</v>
      </c>
      <c r="N651" t="s">
        <v>5462</v>
      </c>
      <c r="O651" t="s">
        <v>5470</v>
      </c>
      <c r="P651" t="s">
        <v>5476</v>
      </c>
      <c r="Q651" s="4">
        <v>89.432999999999993</v>
      </c>
    </row>
    <row r="652" spans="1:17" x14ac:dyDescent="0.3">
      <c r="A652" t="s">
        <v>653</v>
      </c>
      <c r="B652" t="s">
        <v>2016</v>
      </c>
      <c r="C652" s="1">
        <v>45874</v>
      </c>
      <c r="D652" t="s">
        <v>3035</v>
      </c>
      <c r="E652" t="s">
        <v>3849</v>
      </c>
      <c r="F652" t="s">
        <v>4549</v>
      </c>
      <c r="G652" t="s">
        <v>5481</v>
      </c>
      <c r="H652" t="s">
        <v>4587</v>
      </c>
      <c r="I652" t="s">
        <v>4594</v>
      </c>
      <c r="J652">
        <v>1</v>
      </c>
      <c r="K652">
        <v>59.75</v>
      </c>
      <c r="L652">
        <v>0</v>
      </c>
      <c r="M652">
        <v>10.28</v>
      </c>
      <c r="N652" t="s">
        <v>5481</v>
      </c>
      <c r="O652" t="s">
        <v>5473</v>
      </c>
      <c r="P652" t="s">
        <v>5477</v>
      </c>
      <c r="Q652" s="4">
        <v>59.75</v>
      </c>
    </row>
    <row r="653" spans="1:17" x14ac:dyDescent="0.3">
      <c r="A653" t="s">
        <v>654</v>
      </c>
      <c r="B653" t="s">
        <v>1765</v>
      </c>
      <c r="C653" s="1">
        <v>45692</v>
      </c>
      <c r="D653" t="s">
        <v>2760</v>
      </c>
      <c r="E653" t="s">
        <v>3850</v>
      </c>
      <c r="F653" t="s">
        <v>4569</v>
      </c>
      <c r="G653" t="s">
        <v>4581</v>
      </c>
      <c r="H653" t="s">
        <v>4583</v>
      </c>
      <c r="I653" t="s">
        <v>4605</v>
      </c>
      <c r="J653">
        <v>2</v>
      </c>
      <c r="K653">
        <v>44.48</v>
      </c>
      <c r="L653">
        <v>0.1</v>
      </c>
      <c r="M653">
        <v>7.73</v>
      </c>
      <c r="N653" t="s">
        <v>5481</v>
      </c>
      <c r="O653" t="s">
        <v>5470</v>
      </c>
      <c r="P653" t="s">
        <v>5479</v>
      </c>
      <c r="Q653" s="4">
        <v>80.063999999999993</v>
      </c>
    </row>
    <row r="654" spans="1:17" x14ac:dyDescent="0.3">
      <c r="A654" t="s">
        <v>655</v>
      </c>
      <c r="B654" t="s">
        <v>2017</v>
      </c>
      <c r="C654" s="1">
        <v>45929</v>
      </c>
      <c r="D654" t="s">
        <v>2867</v>
      </c>
      <c r="E654" t="s">
        <v>3851</v>
      </c>
      <c r="F654" t="s">
        <v>4566</v>
      </c>
      <c r="G654" t="s">
        <v>4573</v>
      </c>
      <c r="H654" t="s">
        <v>4586</v>
      </c>
      <c r="I654" t="s">
        <v>4599</v>
      </c>
      <c r="J654">
        <v>2</v>
      </c>
      <c r="K654">
        <v>237.93</v>
      </c>
      <c r="L654">
        <v>0.15</v>
      </c>
      <c r="M654">
        <v>6.01</v>
      </c>
      <c r="N654" t="s">
        <v>5467</v>
      </c>
      <c r="O654" t="s">
        <v>5471</v>
      </c>
      <c r="P654" t="s">
        <v>5475</v>
      </c>
      <c r="Q654" s="4">
        <v>404.48099999999999</v>
      </c>
    </row>
    <row r="655" spans="1:17" x14ac:dyDescent="0.3">
      <c r="A655" t="s">
        <v>656</v>
      </c>
      <c r="B655" t="s">
        <v>2018</v>
      </c>
      <c r="C655" s="1">
        <v>45474</v>
      </c>
      <c r="D655" t="s">
        <v>2649</v>
      </c>
      <c r="E655" t="s">
        <v>3852</v>
      </c>
      <c r="F655" t="s">
        <v>4549</v>
      </c>
      <c r="G655" t="s">
        <v>4574</v>
      </c>
      <c r="H655" t="s">
        <v>4584</v>
      </c>
      <c r="I655" t="s">
        <v>4603</v>
      </c>
      <c r="J655">
        <v>1</v>
      </c>
      <c r="K655">
        <v>9.31</v>
      </c>
      <c r="L655">
        <v>0</v>
      </c>
      <c r="M655">
        <v>11.02</v>
      </c>
      <c r="N655" t="s">
        <v>5463</v>
      </c>
      <c r="O655" t="s">
        <v>5473</v>
      </c>
      <c r="P655" t="s">
        <v>5477</v>
      </c>
      <c r="Q655" s="4">
        <v>9.31</v>
      </c>
    </row>
    <row r="656" spans="1:17" x14ac:dyDescent="0.3">
      <c r="A656" t="s">
        <v>657</v>
      </c>
      <c r="B656" t="s">
        <v>2019</v>
      </c>
      <c r="C656" s="1">
        <v>46021</v>
      </c>
      <c r="D656" t="s">
        <v>2965</v>
      </c>
      <c r="E656" t="s">
        <v>3853</v>
      </c>
      <c r="F656" t="s">
        <v>4566</v>
      </c>
      <c r="G656" t="s">
        <v>4582</v>
      </c>
      <c r="H656" t="s">
        <v>4584</v>
      </c>
      <c r="I656" t="s">
        <v>4589</v>
      </c>
      <c r="J656">
        <v>1</v>
      </c>
      <c r="K656">
        <v>33.82</v>
      </c>
      <c r="L656">
        <v>0</v>
      </c>
      <c r="M656">
        <v>12.37</v>
      </c>
      <c r="N656" t="s">
        <v>5465</v>
      </c>
      <c r="O656" t="s">
        <v>5470</v>
      </c>
      <c r="P656" t="s">
        <v>5477</v>
      </c>
      <c r="Q656" s="4">
        <v>33.82</v>
      </c>
    </row>
    <row r="657" spans="1:17" x14ac:dyDescent="0.3">
      <c r="A657" t="s">
        <v>658</v>
      </c>
      <c r="B657" t="s">
        <v>2020</v>
      </c>
      <c r="C657" s="1">
        <v>45889</v>
      </c>
      <c r="D657" t="s">
        <v>2708</v>
      </c>
      <c r="E657" t="s">
        <v>3854</v>
      </c>
      <c r="F657" t="s">
        <v>4566</v>
      </c>
      <c r="G657" t="s">
        <v>4577</v>
      </c>
      <c r="H657" t="s">
        <v>4586</v>
      </c>
      <c r="I657" t="s">
        <v>4597</v>
      </c>
      <c r="J657">
        <v>10</v>
      </c>
      <c r="K657">
        <v>89.07</v>
      </c>
      <c r="L657">
        <v>0.05</v>
      </c>
      <c r="M657">
        <v>13.08</v>
      </c>
      <c r="N657" t="s">
        <v>5467</v>
      </c>
      <c r="O657" t="s">
        <v>5470</v>
      </c>
      <c r="P657" t="s">
        <v>5477</v>
      </c>
      <c r="Q657" s="4">
        <v>846.16499999999985</v>
      </c>
    </row>
    <row r="658" spans="1:17" x14ac:dyDescent="0.3">
      <c r="A658" t="s">
        <v>659</v>
      </c>
      <c r="B658" t="s">
        <v>2021</v>
      </c>
      <c r="C658" s="1">
        <v>45514</v>
      </c>
      <c r="D658" t="s">
        <v>2696</v>
      </c>
      <c r="E658" t="s">
        <v>3855</v>
      </c>
      <c r="F658" t="s">
        <v>4564</v>
      </c>
      <c r="G658" t="s">
        <v>4578</v>
      </c>
      <c r="H658" t="s">
        <v>4584</v>
      </c>
      <c r="I658" t="s">
        <v>4589</v>
      </c>
      <c r="J658">
        <v>1</v>
      </c>
      <c r="K658">
        <v>34.39</v>
      </c>
      <c r="L658">
        <v>0.15</v>
      </c>
      <c r="M658">
        <v>9.1199999999999992</v>
      </c>
      <c r="N658" t="s">
        <v>5466</v>
      </c>
      <c r="O658" t="s">
        <v>5470</v>
      </c>
      <c r="P658" t="s">
        <v>5476</v>
      </c>
      <c r="Q658" s="4">
        <v>29.2315</v>
      </c>
    </row>
    <row r="659" spans="1:17" x14ac:dyDescent="0.3">
      <c r="A659" t="s">
        <v>660</v>
      </c>
      <c r="B659" t="s">
        <v>2022</v>
      </c>
      <c r="C659" s="1">
        <v>45400</v>
      </c>
      <c r="D659" t="s">
        <v>2886</v>
      </c>
      <c r="E659" t="s">
        <v>3856</v>
      </c>
      <c r="F659" t="s">
        <v>4565</v>
      </c>
      <c r="G659" t="s">
        <v>4576</v>
      </c>
      <c r="H659" t="s">
        <v>4583</v>
      </c>
      <c r="I659" t="s">
        <v>4588</v>
      </c>
      <c r="J659">
        <v>2</v>
      </c>
      <c r="K659">
        <v>39.659999999999997</v>
      </c>
      <c r="L659">
        <v>0.05</v>
      </c>
      <c r="M659">
        <v>0</v>
      </c>
      <c r="N659" t="s">
        <v>5481</v>
      </c>
      <c r="O659" t="s">
        <v>5481</v>
      </c>
      <c r="P659" t="s">
        <v>5477</v>
      </c>
      <c r="Q659" s="4">
        <v>75.353999999999985</v>
      </c>
    </row>
    <row r="660" spans="1:17" x14ac:dyDescent="0.3">
      <c r="A660" t="s">
        <v>661</v>
      </c>
      <c r="B660" t="s">
        <v>2023</v>
      </c>
      <c r="C660" s="1">
        <v>45628</v>
      </c>
      <c r="D660" t="s">
        <v>3039</v>
      </c>
      <c r="E660" t="s">
        <v>3857</v>
      </c>
      <c r="F660" t="s">
        <v>4565</v>
      </c>
      <c r="G660" t="s">
        <v>4576</v>
      </c>
      <c r="H660" t="s">
        <v>4586</v>
      </c>
      <c r="I660" t="s">
        <v>4599</v>
      </c>
      <c r="J660">
        <v>1</v>
      </c>
      <c r="K660">
        <v>253.18</v>
      </c>
      <c r="L660">
        <v>0</v>
      </c>
      <c r="M660">
        <v>10.86</v>
      </c>
      <c r="N660" t="s">
        <v>5468</v>
      </c>
      <c r="O660" t="s">
        <v>5469</v>
      </c>
      <c r="P660" t="s">
        <v>5479</v>
      </c>
      <c r="Q660" s="4">
        <v>253.18</v>
      </c>
    </row>
    <row r="661" spans="1:17" x14ac:dyDescent="0.3">
      <c r="A661" t="s">
        <v>662</v>
      </c>
      <c r="B661" t="s">
        <v>2024</v>
      </c>
      <c r="C661" s="1">
        <v>45690</v>
      </c>
      <c r="D661" t="s">
        <v>2714</v>
      </c>
      <c r="E661" t="s">
        <v>5481</v>
      </c>
      <c r="F661" t="s">
        <v>4564</v>
      </c>
      <c r="G661" t="s">
        <v>4573</v>
      </c>
      <c r="H661" t="s">
        <v>4587</v>
      </c>
      <c r="I661" t="s">
        <v>4606</v>
      </c>
      <c r="J661">
        <v>10</v>
      </c>
      <c r="K661">
        <v>30.36</v>
      </c>
      <c r="L661">
        <v>0.05</v>
      </c>
      <c r="M661">
        <v>10.68</v>
      </c>
      <c r="N661" t="s">
        <v>5465</v>
      </c>
      <c r="O661" t="s">
        <v>5481</v>
      </c>
      <c r="P661" t="s">
        <v>5477</v>
      </c>
      <c r="Q661" s="4">
        <v>288.42</v>
      </c>
    </row>
    <row r="662" spans="1:17" x14ac:dyDescent="0.3">
      <c r="A662" t="s">
        <v>663</v>
      </c>
      <c r="B662" t="s">
        <v>2025</v>
      </c>
      <c r="C662" s="1">
        <v>45640</v>
      </c>
      <c r="D662" t="s">
        <v>2786</v>
      </c>
      <c r="E662" t="s">
        <v>3858</v>
      </c>
      <c r="F662" t="s">
        <v>4565</v>
      </c>
      <c r="G662" t="s">
        <v>4575</v>
      </c>
      <c r="H662" t="s">
        <v>4587</v>
      </c>
      <c r="I662" t="s">
        <v>4600</v>
      </c>
      <c r="J662">
        <v>1</v>
      </c>
      <c r="K662">
        <v>12.46</v>
      </c>
      <c r="L662">
        <v>0.05</v>
      </c>
      <c r="M662">
        <v>12.66</v>
      </c>
      <c r="N662" t="s">
        <v>5465</v>
      </c>
      <c r="O662" t="s">
        <v>5469</v>
      </c>
      <c r="P662" t="s">
        <v>5477</v>
      </c>
      <c r="Q662" s="4">
        <v>11.837</v>
      </c>
    </row>
    <row r="663" spans="1:17" x14ac:dyDescent="0.3">
      <c r="A663" t="s">
        <v>664</v>
      </c>
      <c r="B663" t="s">
        <v>2026</v>
      </c>
      <c r="C663" s="1">
        <v>45452</v>
      </c>
      <c r="D663" t="s">
        <v>2715</v>
      </c>
      <c r="E663" t="s">
        <v>3859</v>
      </c>
      <c r="F663" t="s">
        <v>4565</v>
      </c>
      <c r="G663" t="s">
        <v>4579</v>
      </c>
      <c r="H663" t="s">
        <v>4587</v>
      </c>
      <c r="I663" t="s">
        <v>4606</v>
      </c>
      <c r="J663">
        <v>4</v>
      </c>
      <c r="K663">
        <v>29.91</v>
      </c>
      <c r="L663">
        <v>0.05</v>
      </c>
      <c r="M663">
        <v>11.7</v>
      </c>
      <c r="N663" t="s">
        <v>5465</v>
      </c>
      <c r="O663" t="s">
        <v>5469</v>
      </c>
      <c r="P663" t="s">
        <v>5477</v>
      </c>
      <c r="Q663" s="4">
        <v>113.658</v>
      </c>
    </row>
    <row r="664" spans="1:17" x14ac:dyDescent="0.3">
      <c r="A664" t="s">
        <v>665</v>
      </c>
      <c r="B664" t="s">
        <v>2027</v>
      </c>
      <c r="C664" s="1">
        <v>45884</v>
      </c>
      <c r="D664" t="s">
        <v>3040</v>
      </c>
      <c r="E664" t="s">
        <v>3860</v>
      </c>
      <c r="F664" t="s">
        <v>4569</v>
      </c>
      <c r="G664" t="s">
        <v>4581</v>
      </c>
      <c r="H664" t="s">
        <v>4584</v>
      </c>
      <c r="I664" t="s">
        <v>4608</v>
      </c>
      <c r="J664">
        <v>2</v>
      </c>
      <c r="K664">
        <v>19.53</v>
      </c>
      <c r="L664">
        <v>0</v>
      </c>
      <c r="M664">
        <v>7.8</v>
      </c>
      <c r="N664" t="s">
        <v>5467</v>
      </c>
      <c r="O664" t="s">
        <v>5472</v>
      </c>
      <c r="P664" t="s">
        <v>5477</v>
      </c>
      <c r="Q664" s="4">
        <v>39.06</v>
      </c>
    </row>
    <row r="665" spans="1:17" x14ac:dyDescent="0.3">
      <c r="A665" t="s">
        <v>666</v>
      </c>
      <c r="B665" t="s">
        <v>2028</v>
      </c>
      <c r="C665" s="1">
        <v>45955</v>
      </c>
      <c r="D665" t="s">
        <v>3041</v>
      </c>
      <c r="E665" t="s">
        <v>5481</v>
      </c>
      <c r="F665" t="s">
        <v>4549</v>
      </c>
      <c r="G665" t="s">
        <v>4573</v>
      </c>
      <c r="H665" t="s">
        <v>4583</v>
      </c>
      <c r="I665" t="s">
        <v>4588</v>
      </c>
      <c r="J665">
        <v>1</v>
      </c>
      <c r="K665">
        <v>38.4</v>
      </c>
      <c r="L665">
        <v>0</v>
      </c>
      <c r="M665">
        <v>12.33</v>
      </c>
      <c r="N665" t="s">
        <v>5466</v>
      </c>
      <c r="O665" t="s">
        <v>5473</v>
      </c>
      <c r="P665" t="s">
        <v>5475</v>
      </c>
      <c r="Q665" s="4">
        <v>38.4</v>
      </c>
    </row>
    <row r="666" spans="1:17" x14ac:dyDescent="0.3">
      <c r="A666" t="s">
        <v>667</v>
      </c>
      <c r="B666" t="s">
        <v>2029</v>
      </c>
      <c r="C666" s="1">
        <v>45307</v>
      </c>
      <c r="D666" t="s">
        <v>2814</v>
      </c>
      <c r="E666" t="s">
        <v>3861</v>
      </c>
      <c r="F666" t="s">
        <v>4569</v>
      </c>
      <c r="G666" t="s">
        <v>4572</v>
      </c>
      <c r="H666" t="s">
        <v>4587</v>
      </c>
      <c r="I666" t="s">
        <v>4606</v>
      </c>
      <c r="J666">
        <v>5</v>
      </c>
      <c r="K666">
        <v>30</v>
      </c>
      <c r="L666">
        <v>0.15</v>
      </c>
      <c r="M666">
        <v>10.07</v>
      </c>
      <c r="N666" t="s">
        <v>5463</v>
      </c>
      <c r="O666" t="s">
        <v>5481</v>
      </c>
      <c r="P666" t="s">
        <v>5477</v>
      </c>
      <c r="Q666" s="4">
        <v>127.5</v>
      </c>
    </row>
    <row r="667" spans="1:17" x14ac:dyDescent="0.3">
      <c r="A667" t="s">
        <v>668</v>
      </c>
      <c r="B667" t="s">
        <v>2030</v>
      </c>
      <c r="C667" s="1">
        <v>45983</v>
      </c>
      <c r="D667" t="s">
        <v>2687</v>
      </c>
      <c r="E667" t="s">
        <v>3862</v>
      </c>
      <c r="F667" t="s">
        <v>4565</v>
      </c>
      <c r="G667" t="s">
        <v>4575</v>
      </c>
      <c r="H667" t="s">
        <v>4586</v>
      </c>
      <c r="I667" t="s">
        <v>4609</v>
      </c>
      <c r="J667">
        <v>4</v>
      </c>
      <c r="K667">
        <v>126.66</v>
      </c>
      <c r="L667">
        <v>0</v>
      </c>
      <c r="M667">
        <v>9.77</v>
      </c>
      <c r="N667" t="s">
        <v>5464</v>
      </c>
      <c r="O667" t="s">
        <v>5472</v>
      </c>
      <c r="P667" t="s">
        <v>5476</v>
      </c>
      <c r="Q667" s="4">
        <v>506.64</v>
      </c>
    </row>
    <row r="668" spans="1:17" x14ac:dyDescent="0.3">
      <c r="A668" t="s">
        <v>669</v>
      </c>
      <c r="B668" t="s">
        <v>1655</v>
      </c>
      <c r="C668" s="1">
        <v>45722</v>
      </c>
      <c r="D668" t="s">
        <v>2986</v>
      </c>
      <c r="E668" t="s">
        <v>3863</v>
      </c>
      <c r="F668" t="s">
        <v>4566</v>
      </c>
      <c r="G668" t="s">
        <v>4577</v>
      </c>
      <c r="H668" t="s">
        <v>4583</v>
      </c>
      <c r="I668" t="s">
        <v>4588</v>
      </c>
      <c r="J668">
        <v>10</v>
      </c>
      <c r="K668">
        <v>38.89</v>
      </c>
      <c r="L668">
        <v>0.1</v>
      </c>
      <c r="M668">
        <v>9.2100000000000009</v>
      </c>
      <c r="N668" t="s">
        <v>5463</v>
      </c>
      <c r="O668" t="s">
        <v>5474</v>
      </c>
      <c r="P668" t="s">
        <v>5475</v>
      </c>
      <c r="Q668" s="4">
        <v>350.01</v>
      </c>
    </row>
    <row r="669" spans="1:17" x14ac:dyDescent="0.3">
      <c r="A669" t="s">
        <v>670</v>
      </c>
      <c r="B669" t="s">
        <v>2031</v>
      </c>
      <c r="C669" s="1">
        <v>45944</v>
      </c>
      <c r="D669" t="s">
        <v>2651</v>
      </c>
      <c r="E669" t="s">
        <v>3864</v>
      </c>
      <c r="F669" t="s">
        <v>4564</v>
      </c>
      <c r="G669" t="s">
        <v>4578</v>
      </c>
      <c r="H669" t="s">
        <v>5481</v>
      </c>
      <c r="I669" t="s">
        <v>4599</v>
      </c>
      <c r="J669">
        <v>5</v>
      </c>
      <c r="K669">
        <v>238.97</v>
      </c>
      <c r="L669">
        <v>0</v>
      </c>
      <c r="M669">
        <v>14.47</v>
      </c>
      <c r="N669" t="s">
        <v>5462</v>
      </c>
      <c r="O669" t="s">
        <v>5481</v>
      </c>
      <c r="P669" t="s">
        <v>5476</v>
      </c>
      <c r="Q669" s="4">
        <v>1194.8499999999999</v>
      </c>
    </row>
    <row r="670" spans="1:17" x14ac:dyDescent="0.3">
      <c r="A670" t="s">
        <v>671</v>
      </c>
      <c r="B670" t="s">
        <v>2032</v>
      </c>
      <c r="C670" s="1">
        <v>45397</v>
      </c>
      <c r="D670" t="s">
        <v>2884</v>
      </c>
      <c r="E670" t="s">
        <v>3865</v>
      </c>
      <c r="F670" t="s">
        <v>4566</v>
      </c>
      <c r="G670" t="s">
        <v>4582</v>
      </c>
      <c r="H670" t="s">
        <v>4586</v>
      </c>
      <c r="I670" t="s">
        <v>4599</v>
      </c>
      <c r="J670">
        <v>10</v>
      </c>
      <c r="K670">
        <v>237.62</v>
      </c>
      <c r="L670">
        <v>0.15</v>
      </c>
      <c r="M670">
        <v>4.0999999999999996</v>
      </c>
      <c r="N670" t="s">
        <v>5462</v>
      </c>
      <c r="O670" t="s">
        <v>5470</v>
      </c>
      <c r="P670" t="s">
        <v>5477</v>
      </c>
      <c r="Q670" s="4">
        <v>2019.7699999999998</v>
      </c>
    </row>
    <row r="671" spans="1:17" x14ac:dyDescent="0.3">
      <c r="A671" t="s">
        <v>672</v>
      </c>
      <c r="B671" t="s">
        <v>2033</v>
      </c>
      <c r="C671" s="1">
        <v>45481</v>
      </c>
      <c r="D671" t="s">
        <v>2940</v>
      </c>
      <c r="E671" t="s">
        <v>3866</v>
      </c>
      <c r="F671" t="s">
        <v>4564</v>
      </c>
      <c r="G671" t="s">
        <v>4573</v>
      </c>
      <c r="H671" t="s">
        <v>4584</v>
      </c>
      <c r="I671" t="s">
        <v>4601</v>
      </c>
      <c r="J671">
        <v>4</v>
      </c>
      <c r="K671">
        <v>181.3</v>
      </c>
      <c r="L671">
        <v>0</v>
      </c>
      <c r="M671">
        <v>1.56</v>
      </c>
      <c r="N671" t="s">
        <v>5467</v>
      </c>
      <c r="O671" t="s">
        <v>5473</v>
      </c>
      <c r="P671" t="s">
        <v>5477</v>
      </c>
      <c r="Q671" s="4">
        <v>725.2</v>
      </c>
    </row>
    <row r="672" spans="1:17" x14ac:dyDescent="0.3">
      <c r="A672" t="s">
        <v>673</v>
      </c>
      <c r="B672" t="s">
        <v>2034</v>
      </c>
      <c r="C672" s="1">
        <v>45853</v>
      </c>
      <c r="D672" t="s">
        <v>2689</v>
      </c>
      <c r="E672" t="s">
        <v>3867</v>
      </c>
      <c r="F672" t="s">
        <v>4549</v>
      </c>
      <c r="G672" t="s">
        <v>4573</v>
      </c>
      <c r="H672" t="s">
        <v>4586</v>
      </c>
      <c r="I672" t="s">
        <v>4599</v>
      </c>
      <c r="J672">
        <v>4</v>
      </c>
      <c r="K672">
        <v>247.02</v>
      </c>
      <c r="L672">
        <v>0.1</v>
      </c>
      <c r="M672">
        <v>13.36</v>
      </c>
      <c r="N672" t="s">
        <v>5463</v>
      </c>
      <c r="O672" t="s">
        <v>5470</v>
      </c>
      <c r="P672" t="s">
        <v>5479</v>
      </c>
      <c r="Q672" s="4">
        <v>889.27200000000005</v>
      </c>
    </row>
    <row r="673" spans="1:17" x14ac:dyDescent="0.3">
      <c r="A673" t="s">
        <v>674</v>
      </c>
      <c r="B673" t="s">
        <v>2035</v>
      </c>
      <c r="C673" s="1">
        <v>45686</v>
      </c>
      <c r="D673" t="s">
        <v>2685</v>
      </c>
      <c r="E673" t="s">
        <v>3868</v>
      </c>
      <c r="F673" t="s">
        <v>4565</v>
      </c>
      <c r="G673" t="s">
        <v>4579</v>
      </c>
      <c r="H673" t="s">
        <v>4587</v>
      </c>
      <c r="I673" t="s">
        <v>4594</v>
      </c>
      <c r="J673">
        <v>3</v>
      </c>
      <c r="K673">
        <v>62.63</v>
      </c>
      <c r="L673">
        <v>0.1</v>
      </c>
      <c r="M673">
        <v>6.54</v>
      </c>
      <c r="N673" t="s">
        <v>5462</v>
      </c>
      <c r="O673" t="s">
        <v>5481</v>
      </c>
      <c r="P673" t="s">
        <v>5475</v>
      </c>
      <c r="Q673" s="4">
        <v>169.10100000000003</v>
      </c>
    </row>
    <row r="674" spans="1:17" x14ac:dyDescent="0.3">
      <c r="A674" t="s">
        <v>675</v>
      </c>
      <c r="B674" t="s">
        <v>2036</v>
      </c>
      <c r="C674" s="1">
        <v>45577</v>
      </c>
      <c r="D674" t="s">
        <v>3043</v>
      </c>
      <c r="E674" t="s">
        <v>3869</v>
      </c>
      <c r="F674" t="s">
        <v>4549</v>
      </c>
      <c r="G674" t="s">
        <v>4573</v>
      </c>
      <c r="H674" t="s">
        <v>4586</v>
      </c>
      <c r="I674" t="s">
        <v>4597</v>
      </c>
      <c r="J674">
        <v>1</v>
      </c>
      <c r="K674">
        <v>92.44</v>
      </c>
      <c r="L674">
        <v>0</v>
      </c>
      <c r="M674">
        <v>13.89</v>
      </c>
      <c r="N674" t="s">
        <v>5467</v>
      </c>
      <c r="O674" t="s">
        <v>5474</v>
      </c>
      <c r="P674" t="s">
        <v>5476</v>
      </c>
      <c r="Q674" s="4">
        <v>92.44</v>
      </c>
    </row>
    <row r="675" spans="1:17" x14ac:dyDescent="0.3">
      <c r="A675" t="s">
        <v>676</v>
      </c>
      <c r="B675" t="s">
        <v>2037</v>
      </c>
      <c r="C675" s="1">
        <v>45890</v>
      </c>
      <c r="D675" t="s">
        <v>3044</v>
      </c>
      <c r="E675" t="s">
        <v>3870</v>
      </c>
      <c r="F675" t="s">
        <v>4564</v>
      </c>
      <c r="G675" t="s">
        <v>4578</v>
      </c>
      <c r="H675" t="s">
        <v>4584</v>
      </c>
      <c r="I675" t="s">
        <v>4595</v>
      </c>
      <c r="J675">
        <v>4</v>
      </c>
      <c r="K675">
        <v>41.28</v>
      </c>
      <c r="L675">
        <v>0.1</v>
      </c>
      <c r="M675">
        <v>1.84</v>
      </c>
      <c r="N675" t="s">
        <v>5463</v>
      </c>
      <c r="O675" t="s">
        <v>5470</v>
      </c>
      <c r="P675" t="s">
        <v>5477</v>
      </c>
      <c r="Q675" s="4">
        <v>148.608</v>
      </c>
    </row>
    <row r="676" spans="1:17" x14ac:dyDescent="0.3">
      <c r="A676" t="s">
        <v>677</v>
      </c>
      <c r="B676" t="s">
        <v>2038</v>
      </c>
      <c r="C676" s="1">
        <v>45468</v>
      </c>
      <c r="D676" t="s">
        <v>2831</v>
      </c>
      <c r="E676" t="s">
        <v>3871</v>
      </c>
      <c r="F676" t="s">
        <v>4565</v>
      </c>
      <c r="G676" t="s">
        <v>4576</v>
      </c>
      <c r="H676" t="s">
        <v>4584</v>
      </c>
      <c r="I676" t="s">
        <v>4608</v>
      </c>
      <c r="J676">
        <v>2</v>
      </c>
      <c r="K676">
        <v>19.11</v>
      </c>
      <c r="L676">
        <v>0</v>
      </c>
      <c r="M676">
        <v>9.1300000000000008</v>
      </c>
      <c r="N676" t="s">
        <v>5468</v>
      </c>
      <c r="O676" t="s">
        <v>5469</v>
      </c>
      <c r="P676" t="s">
        <v>5476</v>
      </c>
      <c r="Q676" s="4">
        <v>38.22</v>
      </c>
    </row>
    <row r="677" spans="1:17" x14ac:dyDescent="0.3">
      <c r="A677" t="s">
        <v>678</v>
      </c>
      <c r="B677" t="s">
        <v>2039</v>
      </c>
      <c r="C677" s="1">
        <v>45429</v>
      </c>
      <c r="D677" t="s">
        <v>2770</v>
      </c>
      <c r="E677" t="s">
        <v>3872</v>
      </c>
      <c r="F677" t="s">
        <v>4569</v>
      </c>
      <c r="G677" t="s">
        <v>4572</v>
      </c>
      <c r="H677" t="s">
        <v>4583</v>
      </c>
      <c r="I677" t="s">
        <v>4604</v>
      </c>
      <c r="J677">
        <v>2</v>
      </c>
      <c r="K677">
        <v>23.6</v>
      </c>
      <c r="L677">
        <v>0</v>
      </c>
      <c r="N677" t="s">
        <v>5481</v>
      </c>
      <c r="O677" t="s">
        <v>5471</v>
      </c>
      <c r="P677" t="s">
        <v>5477</v>
      </c>
      <c r="Q677" s="4">
        <v>47.2</v>
      </c>
    </row>
    <row r="678" spans="1:17" x14ac:dyDescent="0.3">
      <c r="A678" t="s">
        <v>679</v>
      </c>
      <c r="B678" t="s">
        <v>2040</v>
      </c>
      <c r="C678" s="1">
        <v>45630</v>
      </c>
      <c r="D678" t="s">
        <v>3007</v>
      </c>
      <c r="E678" t="s">
        <v>3873</v>
      </c>
      <c r="F678" t="s">
        <v>4569</v>
      </c>
      <c r="G678" t="s">
        <v>4580</v>
      </c>
      <c r="H678" t="s">
        <v>4586</v>
      </c>
      <c r="I678" t="s">
        <v>4597</v>
      </c>
      <c r="J678">
        <v>1</v>
      </c>
      <c r="K678">
        <v>89.06</v>
      </c>
      <c r="L678">
        <v>0</v>
      </c>
      <c r="M678">
        <v>7.12</v>
      </c>
      <c r="N678" t="s">
        <v>5467</v>
      </c>
      <c r="O678" t="s">
        <v>5471</v>
      </c>
      <c r="P678" t="s">
        <v>5477</v>
      </c>
      <c r="Q678" s="4">
        <v>89.06</v>
      </c>
    </row>
    <row r="679" spans="1:17" x14ac:dyDescent="0.3">
      <c r="A679" t="s">
        <v>680</v>
      </c>
      <c r="B679" t="s">
        <v>2041</v>
      </c>
      <c r="C679" s="1">
        <v>45979</v>
      </c>
      <c r="D679" t="s">
        <v>3046</v>
      </c>
      <c r="E679" t="s">
        <v>3874</v>
      </c>
      <c r="F679" t="s">
        <v>4564</v>
      </c>
      <c r="G679" t="s">
        <v>4573</v>
      </c>
      <c r="H679" t="s">
        <v>4585</v>
      </c>
      <c r="I679" t="s">
        <v>4591</v>
      </c>
      <c r="J679">
        <v>2</v>
      </c>
      <c r="K679">
        <v>8.15</v>
      </c>
      <c r="L679">
        <v>0</v>
      </c>
      <c r="M679">
        <v>7.76</v>
      </c>
      <c r="N679" t="s">
        <v>5466</v>
      </c>
      <c r="O679" t="s">
        <v>5474</v>
      </c>
      <c r="P679" t="s">
        <v>5477</v>
      </c>
      <c r="Q679" s="4">
        <v>16.3</v>
      </c>
    </row>
    <row r="680" spans="1:17" x14ac:dyDescent="0.3">
      <c r="A680" t="s">
        <v>681</v>
      </c>
      <c r="B680" t="s">
        <v>2042</v>
      </c>
      <c r="C680" s="1">
        <v>45706</v>
      </c>
      <c r="D680" t="s">
        <v>3047</v>
      </c>
      <c r="E680" t="s">
        <v>3875</v>
      </c>
      <c r="F680" t="s">
        <v>4566</v>
      </c>
      <c r="G680" t="s">
        <v>4582</v>
      </c>
      <c r="H680" t="s">
        <v>4586</v>
      </c>
      <c r="I680" t="s">
        <v>4593</v>
      </c>
      <c r="J680">
        <v>2</v>
      </c>
      <c r="K680">
        <v>104.54</v>
      </c>
      <c r="L680">
        <v>0</v>
      </c>
      <c r="M680">
        <v>0</v>
      </c>
      <c r="N680" t="s">
        <v>5468</v>
      </c>
      <c r="O680" t="s">
        <v>5469</v>
      </c>
      <c r="P680" t="s">
        <v>5477</v>
      </c>
      <c r="Q680" s="4">
        <v>209.08</v>
      </c>
    </row>
    <row r="681" spans="1:17" x14ac:dyDescent="0.3">
      <c r="A681" t="s">
        <v>682</v>
      </c>
      <c r="B681" t="s">
        <v>2043</v>
      </c>
      <c r="C681" s="1">
        <v>45952</v>
      </c>
      <c r="D681" t="s">
        <v>2980</v>
      </c>
      <c r="E681" t="s">
        <v>3876</v>
      </c>
      <c r="F681" t="s">
        <v>4566</v>
      </c>
      <c r="G681" t="s">
        <v>4573</v>
      </c>
      <c r="H681" t="s">
        <v>4587</v>
      </c>
      <c r="I681" t="s">
        <v>4596</v>
      </c>
      <c r="J681">
        <v>4</v>
      </c>
      <c r="K681">
        <v>14.89</v>
      </c>
      <c r="L681">
        <v>0.1</v>
      </c>
      <c r="M681">
        <v>4.42</v>
      </c>
      <c r="N681" t="s">
        <v>5466</v>
      </c>
      <c r="O681" t="s">
        <v>5481</v>
      </c>
      <c r="P681" t="s">
        <v>5479</v>
      </c>
      <c r="Q681" s="4">
        <v>53.604000000000006</v>
      </c>
    </row>
    <row r="682" spans="1:17" x14ac:dyDescent="0.3">
      <c r="A682" t="s">
        <v>683</v>
      </c>
      <c r="B682" t="s">
        <v>2044</v>
      </c>
      <c r="C682" s="1">
        <v>45576</v>
      </c>
      <c r="D682" t="s">
        <v>2764</v>
      </c>
      <c r="E682" t="s">
        <v>3877</v>
      </c>
      <c r="F682" t="s">
        <v>4566</v>
      </c>
      <c r="G682" t="s">
        <v>4577</v>
      </c>
      <c r="H682" t="s">
        <v>4584</v>
      </c>
      <c r="I682" t="s">
        <v>4608</v>
      </c>
      <c r="J682">
        <v>10</v>
      </c>
      <c r="K682">
        <v>19.260000000000002</v>
      </c>
      <c r="L682">
        <v>0.05</v>
      </c>
      <c r="M682">
        <v>9.65</v>
      </c>
      <c r="N682" t="s">
        <v>5468</v>
      </c>
      <c r="O682" t="s">
        <v>5481</v>
      </c>
      <c r="P682" t="s">
        <v>5477</v>
      </c>
      <c r="Q682" s="4">
        <v>182.97</v>
      </c>
    </row>
    <row r="683" spans="1:17" x14ac:dyDescent="0.3">
      <c r="A683" t="s">
        <v>684</v>
      </c>
      <c r="B683" t="s">
        <v>2045</v>
      </c>
      <c r="C683" s="1">
        <v>45791</v>
      </c>
      <c r="D683" t="s">
        <v>5494</v>
      </c>
      <c r="E683" t="s">
        <v>3878</v>
      </c>
      <c r="F683" t="s">
        <v>4569</v>
      </c>
      <c r="G683" t="s">
        <v>4581</v>
      </c>
      <c r="H683" t="s">
        <v>4587</v>
      </c>
      <c r="I683" t="s">
        <v>4596</v>
      </c>
      <c r="J683">
        <v>3</v>
      </c>
      <c r="K683">
        <v>15.45</v>
      </c>
      <c r="L683">
        <v>0.15</v>
      </c>
      <c r="M683">
        <v>9.99</v>
      </c>
      <c r="N683" t="s">
        <v>5466</v>
      </c>
      <c r="O683" t="s">
        <v>5474</v>
      </c>
      <c r="P683" t="s">
        <v>5476</v>
      </c>
      <c r="Q683" s="4">
        <v>39.397499999999994</v>
      </c>
    </row>
    <row r="684" spans="1:17" x14ac:dyDescent="0.3">
      <c r="A684" t="s">
        <v>685</v>
      </c>
      <c r="B684" t="s">
        <v>2046</v>
      </c>
      <c r="C684" s="1">
        <v>45417</v>
      </c>
      <c r="D684" t="s">
        <v>2622</v>
      </c>
      <c r="E684" t="s">
        <v>3879</v>
      </c>
      <c r="F684" t="s">
        <v>4549</v>
      </c>
      <c r="G684" t="s">
        <v>4573</v>
      </c>
      <c r="H684" t="s">
        <v>4584</v>
      </c>
      <c r="I684" t="s">
        <v>4603</v>
      </c>
      <c r="J684">
        <v>1</v>
      </c>
      <c r="K684">
        <v>9.4</v>
      </c>
      <c r="L684">
        <v>0</v>
      </c>
      <c r="N684" t="s">
        <v>5462</v>
      </c>
      <c r="O684" t="s">
        <v>5481</v>
      </c>
      <c r="P684" t="s">
        <v>5476</v>
      </c>
      <c r="Q684" s="4">
        <v>9.4</v>
      </c>
    </row>
    <row r="685" spans="1:17" x14ac:dyDescent="0.3">
      <c r="A685" t="s">
        <v>686</v>
      </c>
      <c r="B685" t="s">
        <v>1823</v>
      </c>
      <c r="C685" s="1">
        <v>45727</v>
      </c>
      <c r="D685" t="s">
        <v>2649</v>
      </c>
      <c r="E685" t="s">
        <v>3880</v>
      </c>
      <c r="F685" t="s">
        <v>4569</v>
      </c>
      <c r="G685" t="s">
        <v>4572</v>
      </c>
      <c r="H685" t="s">
        <v>4585</v>
      </c>
      <c r="I685" t="s">
        <v>4591</v>
      </c>
      <c r="J685">
        <v>1</v>
      </c>
      <c r="K685">
        <v>7.82</v>
      </c>
      <c r="L685">
        <v>0.15</v>
      </c>
      <c r="M685">
        <v>0</v>
      </c>
      <c r="N685" t="s">
        <v>5468</v>
      </c>
      <c r="O685" t="s">
        <v>5474</v>
      </c>
      <c r="P685" t="s">
        <v>5477</v>
      </c>
      <c r="Q685" s="4">
        <v>6.6470000000000002</v>
      </c>
    </row>
    <row r="686" spans="1:17" x14ac:dyDescent="0.3">
      <c r="A686" t="s">
        <v>687</v>
      </c>
      <c r="B686" t="s">
        <v>2047</v>
      </c>
      <c r="C686" s="1">
        <v>45478</v>
      </c>
      <c r="D686" t="s">
        <v>3050</v>
      </c>
      <c r="E686" t="s">
        <v>3881</v>
      </c>
      <c r="F686" t="s">
        <v>4566</v>
      </c>
      <c r="G686" t="s">
        <v>4573</v>
      </c>
      <c r="H686" t="s">
        <v>4587</v>
      </c>
      <c r="I686" t="s">
        <v>4596</v>
      </c>
      <c r="J686">
        <v>1</v>
      </c>
      <c r="K686">
        <v>15.71</v>
      </c>
      <c r="L686">
        <v>0.15</v>
      </c>
      <c r="M686">
        <v>13.57</v>
      </c>
      <c r="N686" t="s">
        <v>5464</v>
      </c>
      <c r="O686" t="s">
        <v>5474</v>
      </c>
      <c r="P686" t="s">
        <v>5477</v>
      </c>
      <c r="Q686" s="4">
        <v>13.3535</v>
      </c>
    </row>
    <row r="687" spans="1:17" x14ac:dyDescent="0.3">
      <c r="A687" t="s">
        <v>688</v>
      </c>
      <c r="B687" t="s">
        <v>2048</v>
      </c>
      <c r="C687" s="1">
        <v>46001</v>
      </c>
      <c r="D687" t="s">
        <v>2881</v>
      </c>
      <c r="E687" t="s">
        <v>3882</v>
      </c>
      <c r="F687" t="s">
        <v>4549</v>
      </c>
      <c r="G687" t="s">
        <v>4574</v>
      </c>
      <c r="H687" t="s">
        <v>4584</v>
      </c>
      <c r="I687" t="s">
        <v>4607</v>
      </c>
      <c r="J687">
        <v>2</v>
      </c>
      <c r="K687">
        <v>24.69</v>
      </c>
      <c r="L687">
        <v>0.1</v>
      </c>
      <c r="M687">
        <v>9.6300000000000008</v>
      </c>
      <c r="N687" t="s">
        <v>5468</v>
      </c>
      <c r="O687" t="s">
        <v>5474</v>
      </c>
      <c r="P687" t="s">
        <v>5477</v>
      </c>
      <c r="Q687" s="4">
        <v>44.442</v>
      </c>
    </row>
    <row r="688" spans="1:17" x14ac:dyDescent="0.3">
      <c r="A688" t="s">
        <v>689</v>
      </c>
      <c r="B688" t="s">
        <v>2049</v>
      </c>
      <c r="C688" s="1">
        <v>45852</v>
      </c>
      <c r="D688" t="s">
        <v>3051</v>
      </c>
      <c r="E688" t="s">
        <v>3883</v>
      </c>
      <c r="F688" t="s">
        <v>4549</v>
      </c>
      <c r="G688" t="s">
        <v>4573</v>
      </c>
      <c r="H688" t="s">
        <v>4585</v>
      </c>
      <c r="I688" t="s">
        <v>4590</v>
      </c>
      <c r="J688">
        <v>2</v>
      </c>
      <c r="K688">
        <v>14.35</v>
      </c>
      <c r="L688">
        <v>0.05</v>
      </c>
      <c r="M688">
        <v>0</v>
      </c>
      <c r="N688" t="s">
        <v>5466</v>
      </c>
      <c r="O688" t="s">
        <v>5473</v>
      </c>
      <c r="P688" t="s">
        <v>5479</v>
      </c>
      <c r="Q688" s="4">
        <v>27.264999999999997</v>
      </c>
    </row>
    <row r="689" spans="1:17" x14ac:dyDescent="0.3">
      <c r="A689" t="s">
        <v>690</v>
      </c>
      <c r="B689" t="s">
        <v>2050</v>
      </c>
      <c r="C689" s="1">
        <v>45718</v>
      </c>
      <c r="D689" t="s">
        <v>2665</v>
      </c>
      <c r="E689" t="s">
        <v>5481</v>
      </c>
      <c r="F689" t="s">
        <v>4564</v>
      </c>
      <c r="G689" t="s">
        <v>4573</v>
      </c>
      <c r="H689" t="s">
        <v>4585</v>
      </c>
      <c r="I689" t="s">
        <v>4592</v>
      </c>
      <c r="J689">
        <v>3</v>
      </c>
      <c r="K689">
        <v>6.67</v>
      </c>
      <c r="L689">
        <v>0</v>
      </c>
      <c r="M689">
        <v>2.3199999999999998</v>
      </c>
      <c r="N689" t="s">
        <v>5466</v>
      </c>
      <c r="O689" t="s">
        <v>5481</v>
      </c>
      <c r="P689" t="s">
        <v>5477</v>
      </c>
      <c r="Q689" s="4">
        <v>20.009999999999998</v>
      </c>
    </row>
    <row r="690" spans="1:17" x14ac:dyDescent="0.3">
      <c r="A690" t="s">
        <v>405</v>
      </c>
      <c r="B690" t="s">
        <v>1792</v>
      </c>
      <c r="C690" s="1">
        <v>45530</v>
      </c>
      <c r="D690" t="s">
        <v>2731</v>
      </c>
      <c r="E690" t="s">
        <v>3627</v>
      </c>
      <c r="F690" t="s">
        <v>4549</v>
      </c>
      <c r="G690" t="s">
        <v>4573</v>
      </c>
      <c r="H690" t="s">
        <v>4587</v>
      </c>
      <c r="I690" t="s">
        <v>4600</v>
      </c>
      <c r="J690">
        <v>2</v>
      </c>
      <c r="K690">
        <v>12.89</v>
      </c>
      <c r="L690">
        <v>0</v>
      </c>
      <c r="M690">
        <v>1.55</v>
      </c>
      <c r="N690" t="s">
        <v>5468</v>
      </c>
      <c r="O690" t="s">
        <v>5470</v>
      </c>
      <c r="P690" t="s">
        <v>5477</v>
      </c>
      <c r="Q690" s="4">
        <v>25.78</v>
      </c>
    </row>
    <row r="691" spans="1:17" x14ac:dyDescent="0.3">
      <c r="A691" t="s">
        <v>691</v>
      </c>
      <c r="B691" t="s">
        <v>2051</v>
      </c>
      <c r="C691" s="1">
        <v>45381</v>
      </c>
      <c r="D691" t="s">
        <v>2685</v>
      </c>
      <c r="E691" t="s">
        <v>5481</v>
      </c>
      <c r="F691" t="s">
        <v>4565</v>
      </c>
      <c r="G691" t="s">
        <v>4579</v>
      </c>
      <c r="H691" t="s">
        <v>4585</v>
      </c>
      <c r="I691" t="s">
        <v>4590</v>
      </c>
      <c r="J691">
        <v>1</v>
      </c>
      <c r="K691">
        <v>14.14</v>
      </c>
      <c r="L691">
        <v>0</v>
      </c>
      <c r="M691">
        <v>11.54</v>
      </c>
      <c r="N691" t="s">
        <v>5466</v>
      </c>
      <c r="O691" t="s">
        <v>5472</v>
      </c>
      <c r="P691" t="s">
        <v>5477</v>
      </c>
      <c r="Q691" s="4">
        <v>14.14</v>
      </c>
    </row>
    <row r="692" spans="1:17" x14ac:dyDescent="0.3">
      <c r="A692" t="s">
        <v>692</v>
      </c>
      <c r="B692" t="s">
        <v>2052</v>
      </c>
      <c r="C692" s="1">
        <v>45332</v>
      </c>
      <c r="D692" t="s">
        <v>2678</v>
      </c>
      <c r="E692" t="s">
        <v>3884</v>
      </c>
      <c r="F692" t="s">
        <v>4566</v>
      </c>
      <c r="G692" t="s">
        <v>4573</v>
      </c>
      <c r="H692" t="s">
        <v>4587</v>
      </c>
      <c r="I692" t="s">
        <v>4606</v>
      </c>
      <c r="J692">
        <v>3</v>
      </c>
      <c r="K692">
        <v>31.25</v>
      </c>
      <c r="L692">
        <v>0</v>
      </c>
      <c r="M692">
        <v>14.79</v>
      </c>
      <c r="N692" t="s">
        <v>5466</v>
      </c>
      <c r="O692" t="s">
        <v>5471</v>
      </c>
      <c r="P692" t="s">
        <v>5476</v>
      </c>
      <c r="Q692" s="4">
        <v>93.75</v>
      </c>
    </row>
    <row r="693" spans="1:17" x14ac:dyDescent="0.3">
      <c r="A693" t="s">
        <v>693</v>
      </c>
      <c r="B693" t="s">
        <v>2053</v>
      </c>
      <c r="C693" s="1">
        <v>45377</v>
      </c>
      <c r="D693" t="s">
        <v>2924</v>
      </c>
      <c r="E693" t="s">
        <v>3885</v>
      </c>
      <c r="F693" t="s">
        <v>4564</v>
      </c>
      <c r="G693" t="s">
        <v>4578</v>
      </c>
      <c r="H693" t="s">
        <v>4587</v>
      </c>
      <c r="I693" t="s">
        <v>4594</v>
      </c>
      <c r="J693">
        <v>4</v>
      </c>
      <c r="K693">
        <v>60.77</v>
      </c>
      <c r="L693">
        <v>0.1</v>
      </c>
      <c r="M693">
        <v>5.55</v>
      </c>
      <c r="N693" t="s">
        <v>5481</v>
      </c>
      <c r="O693" t="s">
        <v>5473</v>
      </c>
      <c r="P693" t="s">
        <v>5475</v>
      </c>
      <c r="Q693" s="4">
        <v>218.77200000000002</v>
      </c>
    </row>
    <row r="694" spans="1:17" x14ac:dyDescent="0.3">
      <c r="A694" t="s">
        <v>694</v>
      </c>
      <c r="B694" t="s">
        <v>2054</v>
      </c>
      <c r="C694" s="1">
        <v>45865</v>
      </c>
      <c r="D694" t="s">
        <v>2784</v>
      </c>
      <c r="E694" t="s">
        <v>3886</v>
      </c>
      <c r="F694" t="s">
        <v>4566</v>
      </c>
      <c r="G694" t="s">
        <v>4577</v>
      </c>
      <c r="H694" t="s">
        <v>4585</v>
      </c>
      <c r="I694" t="s">
        <v>4602</v>
      </c>
      <c r="J694">
        <v>3</v>
      </c>
      <c r="K694">
        <v>4.2300000000000004</v>
      </c>
      <c r="L694">
        <v>0</v>
      </c>
      <c r="M694">
        <v>4.51</v>
      </c>
      <c r="N694" t="s">
        <v>5468</v>
      </c>
      <c r="O694" t="s">
        <v>5469</v>
      </c>
      <c r="P694" t="s">
        <v>5475</v>
      </c>
      <c r="Q694" s="4">
        <v>12.690000000000001</v>
      </c>
    </row>
    <row r="695" spans="1:17" x14ac:dyDescent="0.3">
      <c r="A695" t="s">
        <v>695</v>
      </c>
      <c r="B695" t="s">
        <v>2055</v>
      </c>
      <c r="C695" s="1">
        <v>45429</v>
      </c>
      <c r="D695" t="s">
        <v>2677</v>
      </c>
      <c r="E695" t="s">
        <v>3887</v>
      </c>
      <c r="F695" t="s">
        <v>4569</v>
      </c>
      <c r="G695" t="s">
        <v>4580</v>
      </c>
      <c r="H695" t="s">
        <v>4587</v>
      </c>
      <c r="I695" t="s">
        <v>4596</v>
      </c>
      <c r="J695">
        <v>3</v>
      </c>
      <c r="K695">
        <v>15.6</v>
      </c>
      <c r="L695">
        <v>0.1</v>
      </c>
      <c r="M695">
        <v>12.39</v>
      </c>
      <c r="N695" t="s">
        <v>5462</v>
      </c>
      <c r="O695" t="s">
        <v>5471</v>
      </c>
      <c r="P695" t="s">
        <v>5476</v>
      </c>
      <c r="Q695" s="4">
        <v>42.12</v>
      </c>
    </row>
    <row r="696" spans="1:17" x14ac:dyDescent="0.3">
      <c r="A696" t="s">
        <v>696</v>
      </c>
      <c r="B696" t="s">
        <v>2056</v>
      </c>
      <c r="C696" s="1">
        <v>45786</v>
      </c>
      <c r="D696" t="s">
        <v>2875</v>
      </c>
      <c r="E696" t="s">
        <v>3888</v>
      </c>
      <c r="F696" t="s">
        <v>4549</v>
      </c>
      <c r="G696" t="s">
        <v>4573</v>
      </c>
      <c r="H696" t="s">
        <v>4585</v>
      </c>
      <c r="I696" t="s">
        <v>4590</v>
      </c>
      <c r="J696">
        <v>3</v>
      </c>
      <c r="K696">
        <v>13.38</v>
      </c>
      <c r="L696">
        <v>0</v>
      </c>
      <c r="N696" t="s">
        <v>5462</v>
      </c>
      <c r="O696" t="s">
        <v>5481</v>
      </c>
      <c r="P696" t="s">
        <v>5477</v>
      </c>
      <c r="Q696" s="4">
        <v>40.14</v>
      </c>
    </row>
    <row r="697" spans="1:17" x14ac:dyDescent="0.3">
      <c r="A697" t="s">
        <v>697</v>
      </c>
      <c r="B697" t="s">
        <v>1915</v>
      </c>
      <c r="C697" s="1">
        <v>45719</v>
      </c>
      <c r="D697" t="s">
        <v>2974</v>
      </c>
      <c r="E697" t="s">
        <v>3889</v>
      </c>
      <c r="F697" t="s">
        <v>4549</v>
      </c>
      <c r="G697" t="s">
        <v>4573</v>
      </c>
      <c r="H697" t="s">
        <v>4585</v>
      </c>
      <c r="I697" t="s">
        <v>4590</v>
      </c>
      <c r="J697">
        <v>2</v>
      </c>
      <c r="K697">
        <v>13.89</v>
      </c>
      <c r="L697">
        <v>0.05</v>
      </c>
      <c r="M697">
        <v>6.79</v>
      </c>
      <c r="N697" t="s">
        <v>5465</v>
      </c>
      <c r="O697" t="s">
        <v>5481</v>
      </c>
      <c r="P697" t="s">
        <v>5476</v>
      </c>
      <c r="Q697" s="4">
        <v>26.390999999999998</v>
      </c>
    </row>
    <row r="698" spans="1:17" x14ac:dyDescent="0.3">
      <c r="A698" t="s">
        <v>698</v>
      </c>
      <c r="B698" t="s">
        <v>2057</v>
      </c>
      <c r="C698" s="1">
        <v>45949</v>
      </c>
      <c r="D698" t="s">
        <v>2840</v>
      </c>
      <c r="E698" t="s">
        <v>5481</v>
      </c>
      <c r="F698" t="s">
        <v>4565</v>
      </c>
      <c r="G698" t="s">
        <v>4579</v>
      </c>
      <c r="H698" t="s">
        <v>4587</v>
      </c>
      <c r="I698" t="s">
        <v>4606</v>
      </c>
      <c r="J698">
        <v>3</v>
      </c>
      <c r="K698">
        <v>30.61</v>
      </c>
      <c r="L698">
        <v>0</v>
      </c>
      <c r="M698">
        <v>2.46</v>
      </c>
      <c r="N698" t="s">
        <v>5463</v>
      </c>
      <c r="O698" t="s">
        <v>5471</v>
      </c>
      <c r="P698" t="s">
        <v>5477</v>
      </c>
      <c r="Q698" s="4">
        <v>91.83</v>
      </c>
    </row>
    <row r="699" spans="1:17" x14ac:dyDescent="0.3">
      <c r="A699" t="s">
        <v>699</v>
      </c>
      <c r="B699" t="s">
        <v>2058</v>
      </c>
      <c r="C699" s="1">
        <v>45308</v>
      </c>
      <c r="D699" t="s">
        <v>3137</v>
      </c>
      <c r="E699" t="s">
        <v>3890</v>
      </c>
      <c r="F699" t="s">
        <v>4565</v>
      </c>
      <c r="G699" t="s">
        <v>4576</v>
      </c>
      <c r="H699" t="s">
        <v>4583</v>
      </c>
      <c r="I699" t="s">
        <v>4610</v>
      </c>
      <c r="J699">
        <v>3</v>
      </c>
      <c r="K699">
        <v>77.33</v>
      </c>
      <c r="L699">
        <v>0.05</v>
      </c>
      <c r="M699">
        <v>7.57</v>
      </c>
      <c r="N699" t="s">
        <v>5468</v>
      </c>
      <c r="O699" t="s">
        <v>5481</v>
      </c>
      <c r="P699" t="s">
        <v>5477</v>
      </c>
      <c r="Q699" s="4">
        <v>220.3905</v>
      </c>
    </row>
    <row r="700" spans="1:17" x14ac:dyDescent="0.3">
      <c r="A700" t="s">
        <v>700</v>
      </c>
      <c r="B700" t="s">
        <v>2059</v>
      </c>
      <c r="C700" s="1">
        <v>45721</v>
      </c>
      <c r="D700" t="s">
        <v>2888</v>
      </c>
      <c r="E700" t="s">
        <v>3891</v>
      </c>
      <c r="F700" t="s">
        <v>4549</v>
      </c>
      <c r="G700" t="s">
        <v>4574</v>
      </c>
      <c r="H700" t="s">
        <v>4584</v>
      </c>
      <c r="I700" t="s">
        <v>4601</v>
      </c>
      <c r="J700">
        <v>2</v>
      </c>
      <c r="K700">
        <v>192.16</v>
      </c>
      <c r="L700">
        <v>0.05</v>
      </c>
      <c r="M700">
        <v>2.11</v>
      </c>
      <c r="N700" t="s">
        <v>5468</v>
      </c>
      <c r="O700" t="s">
        <v>5474</v>
      </c>
      <c r="P700" t="s">
        <v>5476</v>
      </c>
      <c r="Q700" s="4">
        <v>365.10399999999998</v>
      </c>
    </row>
    <row r="701" spans="1:17" x14ac:dyDescent="0.3">
      <c r="A701" t="s">
        <v>701</v>
      </c>
      <c r="B701" t="s">
        <v>2060</v>
      </c>
      <c r="C701" s="1">
        <v>45917</v>
      </c>
      <c r="D701" t="s">
        <v>2735</v>
      </c>
      <c r="E701" t="s">
        <v>3892</v>
      </c>
      <c r="F701" t="s">
        <v>4565</v>
      </c>
      <c r="G701" t="s">
        <v>4575</v>
      </c>
      <c r="H701" t="s">
        <v>4587</v>
      </c>
      <c r="I701" t="s">
        <v>4606</v>
      </c>
      <c r="J701">
        <v>1</v>
      </c>
      <c r="K701">
        <v>30.9</v>
      </c>
      <c r="L701">
        <v>0.05</v>
      </c>
      <c r="M701">
        <v>1.03</v>
      </c>
      <c r="N701" t="s">
        <v>5462</v>
      </c>
      <c r="O701" t="s">
        <v>5474</v>
      </c>
      <c r="P701" t="s">
        <v>5475</v>
      </c>
      <c r="Q701" s="4">
        <v>29.354999999999997</v>
      </c>
    </row>
    <row r="702" spans="1:17" x14ac:dyDescent="0.3">
      <c r="A702" t="s">
        <v>702</v>
      </c>
      <c r="B702" t="s">
        <v>2061</v>
      </c>
      <c r="C702" s="1">
        <v>45660</v>
      </c>
      <c r="D702" t="s">
        <v>2802</v>
      </c>
      <c r="E702" t="s">
        <v>3893</v>
      </c>
      <c r="F702" t="s">
        <v>4566</v>
      </c>
      <c r="G702" t="s">
        <v>4573</v>
      </c>
      <c r="H702" t="s">
        <v>4586</v>
      </c>
      <c r="I702" t="s">
        <v>4599</v>
      </c>
      <c r="J702">
        <v>1</v>
      </c>
      <c r="K702">
        <v>246.01</v>
      </c>
      <c r="L702">
        <v>0.1</v>
      </c>
      <c r="M702">
        <v>2.81</v>
      </c>
      <c r="N702" t="s">
        <v>5481</v>
      </c>
      <c r="O702" t="s">
        <v>5470</v>
      </c>
      <c r="P702" t="s">
        <v>5477</v>
      </c>
      <c r="Q702" s="4">
        <v>221.40899999999999</v>
      </c>
    </row>
    <row r="703" spans="1:17" x14ac:dyDescent="0.3">
      <c r="A703" t="s">
        <v>703</v>
      </c>
      <c r="B703" t="s">
        <v>2062</v>
      </c>
      <c r="C703" s="1">
        <v>45677</v>
      </c>
      <c r="D703" t="s">
        <v>2634</v>
      </c>
      <c r="E703" t="s">
        <v>5481</v>
      </c>
      <c r="F703" t="s">
        <v>4565</v>
      </c>
      <c r="G703" t="s">
        <v>5481</v>
      </c>
      <c r="H703" t="s">
        <v>4587</v>
      </c>
      <c r="I703" t="s">
        <v>4600</v>
      </c>
      <c r="J703">
        <v>1</v>
      </c>
      <c r="K703">
        <v>12.4</v>
      </c>
      <c r="L703">
        <v>0.1</v>
      </c>
      <c r="M703">
        <v>11.78</v>
      </c>
      <c r="N703" t="s">
        <v>5468</v>
      </c>
      <c r="O703" t="s">
        <v>5473</v>
      </c>
      <c r="P703" t="s">
        <v>5477</v>
      </c>
      <c r="Q703" s="4">
        <v>11.16</v>
      </c>
    </row>
    <row r="704" spans="1:17" x14ac:dyDescent="0.3">
      <c r="A704" t="s">
        <v>704</v>
      </c>
      <c r="B704" t="s">
        <v>2063</v>
      </c>
      <c r="C704" s="1">
        <v>45652</v>
      </c>
      <c r="D704" t="s">
        <v>2997</v>
      </c>
      <c r="E704" t="s">
        <v>3894</v>
      </c>
      <c r="F704" t="s">
        <v>4564</v>
      </c>
      <c r="G704" t="s">
        <v>4573</v>
      </c>
      <c r="H704" t="s">
        <v>4585</v>
      </c>
      <c r="I704" t="s">
        <v>4592</v>
      </c>
      <c r="J704">
        <v>10</v>
      </c>
      <c r="K704">
        <v>6.56</v>
      </c>
      <c r="L704">
        <v>0.15</v>
      </c>
      <c r="M704">
        <v>4.22</v>
      </c>
      <c r="N704" t="s">
        <v>5481</v>
      </c>
      <c r="O704" t="s">
        <v>5473</v>
      </c>
      <c r="P704" t="s">
        <v>5475</v>
      </c>
      <c r="Q704" s="4">
        <v>55.759999999999991</v>
      </c>
    </row>
    <row r="705" spans="1:17" x14ac:dyDescent="0.3">
      <c r="A705" t="s">
        <v>705</v>
      </c>
      <c r="B705" t="s">
        <v>2064</v>
      </c>
      <c r="C705" s="1">
        <v>45381</v>
      </c>
      <c r="D705" t="s">
        <v>2809</v>
      </c>
      <c r="E705" t="s">
        <v>3895</v>
      </c>
      <c r="F705" t="s">
        <v>4549</v>
      </c>
      <c r="G705" t="s">
        <v>4573</v>
      </c>
      <c r="H705" t="s">
        <v>4585</v>
      </c>
      <c r="I705" t="s">
        <v>4591</v>
      </c>
      <c r="J705">
        <v>1</v>
      </c>
      <c r="K705">
        <v>7.76</v>
      </c>
      <c r="L705">
        <v>0</v>
      </c>
      <c r="M705">
        <v>6.85</v>
      </c>
      <c r="N705" t="s">
        <v>5466</v>
      </c>
      <c r="O705" t="s">
        <v>5471</v>
      </c>
      <c r="P705" t="s">
        <v>5477</v>
      </c>
      <c r="Q705" s="4">
        <v>7.76</v>
      </c>
    </row>
    <row r="706" spans="1:17" x14ac:dyDescent="0.3">
      <c r="A706" t="s">
        <v>706</v>
      </c>
      <c r="B706" t="s">
        <v>2065</v>
      </c>
      <c r="C706" s="1">
        <v>45327</v>
      </c>
      <c r="D706" t="s">
        <v>2758</v>
      </c>
      <c r="E706" t="s">
        <v>3896</v>
      </c>
      <c r="F706" t="s">
        <v>4566</v>
      </c>
      <c r="G706" t="s">
        <v>4577</v>
      </c>
      <c r="H706" t="s">
        <v>4585</v>
      </c>
      <c r="I706" t="s">
        <v>4592</v>
      </c>
      <c r="J706">
        <v>1</v>
      </c>
      <c r="K706">
        <v>6.54</v>
      </c>
      <c r="L706">
        <v>0</v>
      </c>
      <c r="M706">
        <v>5.45</v>
      </c>
      <c r="N706" t="s">
        <v>5464</v>
      </c>
      <c r="O706" t="s">
        <v>5473</v>
      </c>
      <c r="P706" t="s">
        <v>5477</v>
      </c>
      <c r="Q706" s="4">
        <v>6.54</v>
      </c>
    </row>
    <row r="707" spans="1:17" x14ac:dyDescent="0.3">
      <c r="A707" t="s">
        <v>707</v>
      </c>
      <c r="B707" t="s">
        <v>2066</v>
      </c>
      <c r="C707" s="1">
        <v>45501</v>
      </c>
      <c r="D707" t="s">
        <v>2675</v>
      </c>
      <c r="E707" t="s">
        <v>3897</v>
      </c>
      <c r="F707" t="s">
        <v>4564</v>
      </c>
      <c r="G707" t="s">
        <v>4578</v>
      </c>
      <c r="H707" t="s">
        <v>4587</v>
      </c>
      <c r="I707" t="s">
        <v>4606</v>
      </c>
      <c r="J707">
        <v>2</v>
      </c>
      <c r="K707">
        <v>30.09</v>
      </c>
      <c r="L707">
        <v>0.1</v>
      </c>
      <c r="M707">
        <v>11.08</v>
      </c>
      <c r="N707" t="s">
        <v>5466</v>
      </c>
      <c r="O707" t="s">
        <v>5471</v>
      </c>
      <c r="P707" t="s">
        <v>5477</v>
      </c>
      <c r="Q707" s="4">
        <v>54.161999999999999</v>
      </c>
    </row>
    <row r="708" spans="1:17" x14ac:dyDescent="0.3">
      <c r="A708" t="s">
        <v>708</v>
      </c>
      <c r="B708" t="s">
        <v>1783</v>
      </c>
      <c r="C708" s="1">
        <v>45597</v>
      </c>
      <c r="D708" t="s">
        <v>3043</v>
      </c>
      <c r="E708" t="s">
        <v>5481</v>
      </c>
      <c r="F708" t="s">
        <v>4566</v>
      </c>
      <c r="G708" t="s">
        <v>4573</v>
      </c>
      <c r="H708" t="s">
        <v>4583</v>
      </c>
      <c r="I708" t="s">
        <v>4588</v>
      </c>
      <c r="J708">
        <v>3</v>
      </c>
      <c r="K708">
        <v>41.85</v>
      </c>
      <c r="L708">
        <v>0</v>
      </c>
      <c r="M708">
        <v>12.78</v>
      </c>
      <c r="N708" t="s">
        <v>5462</v>
      </c>
      <c r="O708" t="s">
        <v>5472</v>
      </c>
      <c r="P708" t="s">
        <v>5477</v>
      </c>
      <c r="Q708" s="4">
        <v>125.55000000000001</v>
      </c>
    </row>
    <row r="709" spans="1:17" x14ac:dyDescent="0.3">
      <c r="A709" t="s">
        <v>709</v>
      </c>
      <c r="B709" t="s">
        <v>2067</v>
      </c>
      <c r="C709" s="1">
        <v>45695</v>
      </c>
      <c r="D709" t="s">
        <v>2807</v>
      </c>
      <c r="E709" t="s">
        <v>3898</v>
      </c>
      <c r="F709" t="s">
        <v>4565</v>
      </c>
      <c r="G709" t="s">
        <v>4579</v>
      </c>
      <c r="H709" t="s">
        <v>4587</v>
      </c>
      <c r="I709" t="s">
        <v>4596</v>
      </c>
      <c r="J709">
        <v>4</v>
      </c>
      <c r="K709">
        <v>15.7</v>
      </c>
      <c r="L709">
        <v>0.05</v>
      </c>
      <c r="M709">
        <v>0</v>
      </c>
      <c r="N709" t="s">
        <v>5462</v>
      </c>
      <c r="O709" t="s">
        <v>5481</v>
      </c>
      <c r="P709" t="s">
        <v>5479</v>
      </c>
      <c r="Q709" s="4">
        <v>59.66</v>
      </c>
    </row>
    <row r="710" spans="1:17" x14ac:dyDescent="0.3">
      <c r="A710" t="s">
        <v>710</v>
      </c>
      <c r="B710" t="s">
        <v>2068</v>
      </c>
      <c r="C710" s="1">
        <v>45391</v>
      </c>
      <c r="D710" t="s">
        <v>2893</v>
      </c>
      <c r="E710" t="s">
        <v>3899</v>
      </c>
      <c r="F710" t="s">
        <v>4569</v>
      </c>
      <c r="G710" t="s">
        <v>4581</v>
      </c>
      <c r="H710" t="s">
        <v>4583</v>
      </c>
      <c r="I710" t="s">
        <v>4604</v>
      </c>
      <c r="J710">
        <v>4</v>
      </c>
      <c r="K710">
        <v>21.47</v>
      </c>
      <c r="L710">
        <v>0.05</v>
      </c>
      <c r="M710">
        <v>4.6399999999999997</v>
      </c>
      <c r="N710" t="s">
        <v>5466</v>
      </c>
      <c r="O710" t="s">
        <v>5473</v>
      </c>
      <c r="P710" t="s">
        <v>5477</v>
      </c>
      <c r="Q710" s="4">
        <v>81.585999999999999</v>
      </c>
    </row>
    <row r="711" spans="1:17" x14ac:dyDescent="0.3">
      <c r="A711" t="s">
        <v>711</v>
      </c>
      <c r="B711" t="s">
        <v>2069</v>
      </c>
      <c r="C711" s="1">
        <v>45515</v>
      </c>
      <c r="D711" t="s">
        <v>2963</v>
      </c>
      <c r="E711" t="s">
        <v>3900</v>
      </c>
      <c r="F711" t="s">
        <v>4569</v>
      </c>
      <c r="G711" t="s">
        <v>4572</v>
      </c>
      <c r="H711" t="s">
        <v>5481</v>
      </c>
      <c r="I711" t="s">
        <v>4604</v>
      </c>
      <c r="J711">
        <v>3</v>
      </c>
      <c r="K711">
        <v>21.8</v>
      </c>
      <c r="L711">
        <v>0.05</v>
      </c>
      <c r="M711">
        <v>8.2899999999999991</v>
      </c>
      <c r="N711" t="s">
        <v>5463</v>
      </c>
      <c r="O711" t="s">
        <v>5472</v>
      </c>
      <c r="P711" t="s">
        <v>5475</v>
      </c>
      <c r="Q711" s="4">
        <v>62.13</v>
      </c>
    </row>
    <row r="712" spans="1:17" x14ac:dyDescent="0.3">
      <c r="A712" t="s">
        <v>712</v>
      </c>
      <c r="B712" t="s">
        <v>2070</v>
      </c>
      <c r="C712" s="1">
        <v>45784</v>
      </c>
      <c r="D712" t="s">
        <v>3054</v>
      </c>
      <c r="E712" t="s">
        <v>3901</v>
      </c>
      <c r="F712" t="s">
        <v>4549</v>
      </c>
      <c r="G712" t="s">
        <v>4574</v>
      </c>
      <c r="H712" t="s">
        <v>4586</v>
      </c>
      <c r="I712" t="s">
        <v>4599</v>
      </c>
      <c r="J712">
        <v>4</v>
      </c>
      <c r="K712">
        <v>260.02</v>
      </c>
      <c r="L712">
        <v>0.05</v>
      </c>
      <c r="M712">
        <v>13.41</v>
      </c>
      <c r="N712" t="s">
        <v>5466</v>
      </c>
      <c r="O712" t="s">
        <v>5470</v>
      </c>
      <c r="P712" t="s">
        <v>5477</v>
      </c>
      <c r="Q712" s="4">
        <v>988.07599999999991</v>
      </c>
    </row>
    <row r="713" spans="1:17" x14ac:dyDescent="0.3">
      <c r="A713" t="s">
        <v>713</v>
      </c>
      <c r="B713" t="s">
        <v>2071</v>
      </c>
      <c r="C713" s="1">
        <v>45366</v>
      </c>
      <c r="D713" t="s">
        <v>2645</v>
      </c>
      <c r="E713" t="s">
        <v>3902</v>
      </c>
      <c r="F713" t="s">
        <v>4569</v>
      </c>
      <c r="G713" t="s">
        <v>5481</v>
      </c>
      <c r="H713" t="s">
        <v>4586</v>
      </c>
      <c r="I713" t="s">
        <v>4599</v>
      </c>
      <c r="J713">
        <v>5</v>
      </c>
      <c r="K713">
        <v>237.06</v>
      </c>
      <c r="L713">
        <v>0.05</v>
      </c>
      <c r="M713">
        <v>4.7</v>
      </c>
      <c r="N713" t="s">
        <v>5464</v>
      </c>
      <c r="O713" t="s">
        <v>5473</v>
      </c>
      <c r="P713" t="s">
        <v>5477</v>
      </c>
      <c r="Q713" s="4">
        <v>1126.0349999999999</v>
      </c>
    </row>
    <row r="714" spans="1:17" x14ac:dyDescent="0.3">
      <c r="A714" t="s">
        <v>714</v>
      </c>
      <c r="B714" t="s">
        <v>2072</v>
      </c>
      <c r="C714" s="1">
        <v>46006</v>
      </c>
      <c r="D714" t="s">
        <v>2812</v>
      </c>
      <c r="E714" t="s">
        <v>3903</v>
      </c>
      <c r="F714" t="s">
        <v>4549</v>
      </c>
      <c r="G714" t="s">
        <v>4573</v>
      </c>
      <c r="H714" t="s">
        <v>4585</v>
      </c>
      <c r="I714" t="s">
        <v>4591</v>
      </c>
      <c r="J714">
        <v>3</v>
      </c>
      <c r="K714">
        <v>7.47</v>
      </c>
      <c r="L714">
        <v>0</v>
      </c>
      <c r="M714">
        <v>5.58</v>
      </c>
      <c r="N714" t="s">
        <v>5467</v>
      </c>
      <c r="O714" t="s">
        <v>5470</v>
      </c>
      <c r="P714" t="s">
        <v>5477</v>
      </c>
      <c r="Q714" s="4">
        <v>22.41</v>
      </c>
    </row>
    <row r="715" spans="1:17" x14ac:dyDescent="0.3">
      <c r="A715" t="s">
        <v>715</v>
      </c>
      <c r="B715" t="s">
        <v>2073</v>
      </c>
      <c r="C715" s="1">
        <v>45370</v>
      </c>
      <c r="D715" t="s">
        <v>3057</v>
      </c>
      <c r="E715" t="s">
        <v>3904</v>
      </c>
      <c r="F715" t="s">
        <v>4566</v>
      </c>
      <c r="G715" t="s">
        <v>4577</v>
      </c>
      <c r="H715" t="s">
        <v>4586</v>
      </c>
      <c r="I715" t="s">
        <v>4599</v>
      </c>
      <c r="J715">
        <v>2</v>
      </c>
      <c r="K715">
        <v>253.47</v>
      </c>
      <c r="L715">
        <v>0.1</v>
      </c>
      <c r="M715">
        <v>2.23</v>
      </c>
      <c r="N715" t="s">
        <v>5464</v>
      </c>
      <c r="O715" t="s">
        <v>5472</v>
      </c>
      <c r="P715" t="s">
        <v>5477</v>
      </c>
      <c r="Q715" s="4">
        <v>456.24599999999998</v>
      </c>
    </row>
    <row r="716" spans="1:17" x14ac:dyDescent="0.3">
      <c r="A716" t="s">
        <v>716</v>
      </c>
      <c r="B716" t="s">
        <v>2074</v>
      </c>
      <c r="C716" s="1">
        <v>45404</v>
      </c>
      <c r="D716" t="s">
        <v>3058</v>
      </c>
      <c r="E716" t="s">
        <v>3905</v>
      </c>
      <c r="F716" t="s">
        <v>4565</v>
      </c>
      <c r="G716" t="s">
        <v>4576</v>
      </c>
      <c r="H716" t="s">
        <v>4584</v>
      </c>
      <c r="I716" t="s">
        <v>4595</v>
      </c>
      <c r="J716">
        <v>10</v>
      </c>
      <c r="K716">
        <v>42.36</v>
      </c>
      <c r="L716">
        <v>0.05</v>
      </c>
      <c r="M716">
        <v>1.1499999999999999</v>
      </c>
      <c r="N716" t="s">
        <v>5481</v>
      </c>
      <c r="O716" t="s">
        <v>5473</v>
      </c>
      <c r="P716" t="s">
        <v>5477</v>
      </c>
      <c r="Q716" s="4">
        <v>402.42</v>
      </c>
    </row>
    <row r="717" spans="1:17" x14ac:dyDescent="0.3">
      <c r="A717" t="s">
        <v>717</v>
      </c>
      <c r="B717" t="s">
        <v>2075</v>
      </c>
      <c r="C717" s="1">
        <v>45916</v>
      </c>
      <c r="D717" t="s">
        <v>2698</v>
      </c>
      <c r="E717" t="s">
        <v>3906</v>
      </c>
      <c r="F717" t="s">
        <v>4566</v>
      </c>
      <c r="G717" t="s">
        <v>4573</v>
      </c>
      <c r="H717" t="s">
        <v>4583</v>
      </c>
      <c r="I717" t="s">
        <v>4605</v>
      </c>
      <c r="J717">
        <v>1</v>
      </c>
      <c r="K717">
        <v>47.05</v>
      </c>
      <c r="L717">
        <v>0.1</v>
      </c>
      <c r="M717">
        <v>4.1900000000000004</v>
      </c>
      <c r="N717" t="s">
        <v>5467</v>
      </c>
      <c r="O717" t="s">
        <v>5474</v>
      </c>
      <c r="P717" t="s">
        <v>5479</v>
      </c>
      <c r="Q717" s="4">
        <v>42.344999999999999</v>
      </c>
    </row>
    <row r="718" spans="1:17" x14ac:dyDescent="0.3">
      <c r="A718" t="s">
        <v>718</v>
      </c>
      <c r="B718" t="s">
        <v>2076</v>
      </c>
      <c r="C718" s="1">
        <v>45911</v>
      </c>
      <c r="D718" t="s">
        <v>2637</v>
      </c>
      <c r="E718" t="s">
        <v>3907</v>
      </c>
      <c r="F718" t="s">
        <v>4569</v>
      </c>
      <c r="G718" t="s">
        <v>4572</v>
      </c>
      <c r="H718" t="s">
        <v>4586</v>
      </c>
      <c r="I718" t="s">
        <v>4593</v>
      </c>
      <c r="J718">
        <v>10</v>
      </c>
      <c r="K718">
        <v>107.4</v>
      </c>
      <c r="L718">
        <v>0</v>
      </c>
      <c r="M718">
        <v>3.28</v>
      </c>
      <c r="N718" t="s">
        <v>5462</v>
      </c>
      <c r="O718" t="s">
        <v>5469</v>
      </c>
      <c r="P718" t="s">
        <v>5477</v>
      </c>
      <c r="Q718" s="4">
        <v>1074</v>
      </c>
    </row>
    <row r="719" spans="1:17" x14ac:dyDescent="0.3">
      <c r="A719" t="s">
        <v>719</v>
      </c>
      <c r="B719" t="s">
        <v>1548</v>
      </c>
      <c r="C719" s="1">
        <v>45522</v>
      </c>
      <c r="D719" t="s">
        <v>3013</v>
      </c>
      <c r="E719" t="s">
        <v>3908</v>
      </c>
      <c r="F719" t="s">
        <v>4565</v>
      </c>
      <c r="G719" t="s">
        <v>4575</v>
      </c>
      <c r="H719" t="s">
        <v>4583</v>
      </c>
      <c r="I719" t="s">
        <v>4588</v>
      </c>
      <c r="J719">
        <v>4</v>
      </c>
      <c r="K719">
        <v>41.06</v>
      </c>
      <c r="L719">
        <v>0</v>
      </c>
      <c r="M719">
        <v>12.69</v>
      </c>
      <c r="N719" t="s">
        <v>5462</v>
      </c>
      <c r="O719" t="s">
        <v>5474</v>
      </c>
      <c r="P719" t="s">
        <v>5477</v>
      </c>
      <c r="Q719" s="4">
        <v>164.24</v>
      </c>
    </row>
    <row r="720" spans="1:17" x14ac:dyDescent="0.3">
      <c r="A720" t="s">
        <v>720</v>
      </c>
      <c r="B720" t="s">
        <v>2077</v>
      </c>
      <c r="C720" s="1">
        <v>45794</v>
      </c>
      <c r="D720" t="s">
        <v>2690</v>
      </c>
      <c r="E720" t="s">
        <v>3909</v>
      </c>
      <c r="F720" t="s">
        <v>4549</v>
      </c>
      <c r="G720" t="s">
        <v>4574</v>
      </c>
      <c r="H720" t="s">
        <v>4583</v>
      </c>
      <c r="I720" t="s">
        <v>4588</v>
      </c>
      <c r="J720">
        <v>1</v>
      </c>
      <c r="K720">
        <v>41.59</v>
      </c>
      <c r="L720">
        <v>0.1</v>
      </c>
      <c r="M720">
        <v>5.65</v>
      </c>
      <c r="N720" t="s">
        <v>5462</v>
      </c>
      <c r="O720" t="s">
        <v>5470</v>
      </c>
      <c r="P720" t="s">
        <v>5477</v>
      </c>
      <c r="Q720" s="4">
        <v>37.431000000000004</v>
      </c>
    </row>
    <row r="721" spans="1:17" x14ac:dyDescent="0.3">
      <c r="A721" t="s">
        <v>721</v>
      </c>
      <c r="B721" t="s">
        <v>2078</v>
      </c>
      <c r="C721" s="1">
        <v>45949</v>
      </c>
      <c r="D721" t="s">
        <v>2725</v>
      </c>
      <c r="E721" t="s">
        <v>3910</v>
      </c>
      <c r="F721" t="s">
        <v>4566</v>
      </c>
      <c r="G721" t="s">
        <v>4577</v>
      </c>
      <c r="H721" t="s">
        <v>4585</v>
      </c>
      <c r="I721" t="s">
        <v>4598</v>
      </c>
      <c r="J721">
        <v>1</v>
      </c>
      <c r="K721">
        <v>2.96</v>
      </c>
      <c r="L721">
        <v>0.05</v>
      </c>
      <c r="M721">
        <v>12.37</v>
      </c>
      <c r="N721" t="s">
        <v>5468</v>
      </c>
      <c r="O721" t="s">
        <v>5469</v>
      </c>
      <c r="P721" t="s">
        <v>5477</v>
      </c>
      <c r="Q721" s="4">
        <v>2.8119999999999998</v>
      </c>
    </row>
    <row r="722" spans="1:17" x14ac:dyDescent="0.3">
      <c r="A722" t="s">
        <v>722</v>
      </c>
      <c r="B722" t="s">
        <v>2079</v>
      </c>
      <c r="C722" s="1">
        <v>45790</v>
      </c>
      <c r="D722" t="s">
        <v>2687</v>
      </c>
      <c r="E722" t="s">
        <v>3911</v>
      </c>
      <c r="F722" t="s">
        <v>4564</v>
      </c>
      <c r="G722" t="s">
        <v>4573</v>
      </c>
      <c r="H722" t="s">
        <v>4583</v>
      </c>
      <c r="I722" t="s">
        <v>4604</v>
      </c>
      <c r="J722">
        <v>1</v>
      </c>
      <c r="K722">
        <v>23.3</v>
      </c>
      <c r="L722">
        <v>0</v>
      </c>
      <c r="M722">
        <v>8.52</v>
      </c>
      <c r="N722" t="s">
        <v>5468</v>
      </c>
      <c r="O722" t="s">
        <v>5469</v>
      </c>
      <c r="P722" t="s">
        <v>5477</v>
      </c>
      <c r="Q722" s="4">
        <v>23.3</v>
      </c>
    </row>
    <row r="723" spans="1:17" x14ac:dyDescent="0.3">
      <c r="A723" t="s">
        <v>723</v>
      </c>
      <c r="B723" t="s">
        <v>2080</v>
      </c>
      <c r="C723" s="1">
        <v>45936</v>
      </c>
      <c r="D723" t="s">
        <v>2754</v>
      </c>
      <c r="E723" t="s">
        <v>3912</v>
      </c>
      <c r="F723" t="s">
        <v>4566</v>
      </c>
      <c r="G723" t="s">
        <v>4582</v>
      </c>
      <c r="H723" t="s">
        <v>4587</v>
      </c>
      <c r="I723" t="s">
        <v>4606</v>
      </c>
      <c r="J723">
        <v>3</v>
      </c>
      <c r="K723">
        <v>30.22</v>
      </c>
      <c r="L723">
        <v>0.1</v>
      </c>
      <c r="M723">
        <v>12.21</v>
      </c>
      <c r="N723" t="s">
        <v>5466</v>
      </c>
      <c r="O723" t="s">
        <v>5469</v>
      </c>
      <c r="P723" t="s">
        <v>5475</v>
      </c>
      <c r="Q723" s="4">
        <v>81.593999999999994</v>
      </c>
    </row>
    <row r="724" spans="1:17" x14ac:dyDescent="0.3">
      <c r="A724" t="s">
        <v>724</v>
      </c>
      <c r="B724" t="s">
        <v>2081</v>
      </c>
      <c r="C724" s="1">
        <v>45708</v>
      </c>
      <c r="D724" t="s">
        <v>2809</v>
      </c>
      <c r="E724" t="s">
        <v>3913</v>
      </c>
      <c r="F724" t="s">
        <v>4549</v>
      </c>
      <c r="G724" t="s">
        <v>4573</v>
      </c>
      <c r="H724" t="s">
        <v>4587</v>
      </c>
      <c r="I724" t="s">
        <v>4606</v>
      </c>
      <c r="J724">
        <v>3</v>
      </c>
      <c r="K724">
        <v>29.55</v>
      </c>
      <c r="L724">
        <v>0.1</v>
      </c>
      <c r="N724" t="s">
        <v>5481</v>
      </c>
      <c r="O724" t="s">
        <v>5473</v>
      </c>
      <c r="P724" t="s">
        <v>5477</v>
      </c>
      <c r="Q724" s="4">
        <v>79.785000000000011</v>
      </c>
    </row>
    <row r="725" spans="1:17" x14ac:dyDescent="0.3">
      <c r="A725" t="s">
        <v>725</v>
      </c>
      <c r="B725" t="s">
        <v>2082</v>
      </c>
      <c r="C725" s="1">
        <v>45452</v>
      </c>
      <c r="D725" t="s">
        <v>3060</v>
      </c>
      <c r="E725" t="s">
        <v>3914</v>
      </c>
      <c r="F725" t="s">
        <v>4565</v>
      </c>
      <c r="G725" t="s">
        <v>4579</v>
      </c>
      <c r="H725" t="s">
        <v>4587</v>
      </c>
      <c r="I725" t="s">
        <v>4600</v>
      </c>
      <c r="J725">
        <v>5</v>
      </c>
      <c r="K725">
        <v>12.58</v>
      </c>
      <c r="L725">
        <v>0</v>
      </c>
      <c r="M725">
        <v>5.33</v>
      </c>
      <c r="N725" t="s">
        <v>5462</v>
      </c>
      <c r="O725" t="s">
        <v>5474</v>
      </c>
      <c r="P725" t="s">
        <v>5477</v>
      </c>
      <c r="Q725" s="4">
        <v>62.9</v>
      </c>
    </row>
    <row r="726" spans="1:17" x14ac:dyDescent="0.3">
      <c r="A726" t="s">
        <v>726</v>
      </c>
      <c r="B726" t="s">
        <v>2083</v>
      </c>
      <c r="C726" s="1">
        <v>45551</v>
      </c>
      <c r="D726" t="s">
        <v>2927</v>
      </c>
      <c r="E726" t="s">
        <v>3915</v>
      </c>
      <c r="F726" t="s">
        <v>4564</v>
      </c>
      <c r="G726" t="s">
        <v>4578</v>
      </c>
      <c r="H726" t="s">
        <v>4584</v>
      </c>
      <c r="I726" t="s">
        <v>4601</v>
      </c>
      <c r="J726">
        <v>1</v>
      </c>
      <c r="K726">
        <v>193.78</v>
      </c>
      <c r="L726">
        <v>0.15</v>
      </c>
      <c r="M726">
        <v>0</v>
      </c>
      <c r="N726" t="s">
        <v>5466</v>
      </c>
      <c r="O726" t="s">
        <v>5473</v>
      </c>
      <c r="P726" t="s">
        <v>5479</v>
      </c>
      <c r="Q726" s="4">
        <v>164.71299999999999</v>
      </c>
    </row>
    <row r="727" spans="1:17" x14ac:dyDescent="0.3">
      <c r="A727" t="s">
        <v>727</v>
      </c>
      <c r="B727" t="s">
        <v>2084</v>
      </c>
      <c r="C727" s="1">
        <v>45889</v>
      </c>
      <c r="D727" t="s">
        <v>2992</v>
      </c>
      <c r="E727" t="s">
        <v>3916</v>
      </c>
      <c r="F727" t="s">
        <v>4564</v>
      </c>
      <c r="G727" t="s">
        <v>4573</v>
      </c>
      <c r="H727" t="s">
        <v>4584</v>
      </c>
      <c r="I727" t="s">
        <v>4608</v>
      </c>
      <c r="J727">
        <v>3</v>
      </c>
      <c r="K727">
        <v>18.670000000000002</v>
      </c>
      <c r="L727">
        <v>0.15</v>
      </c>
      <c r="M727">
        <v>2.63</v>
      </c>
      <c r="N727" t="s">
        <v>5462</v>
      </c>
      <c r="O727" t="s">
        <v>5469</v>
      </c>
      <c r="P727" t="s">
        <v>5477</v>
      </c>
      <c r="Q727" s="4">
        <v>47.608500000000006</v>
      </c>
    </row>
    <row r="728" spans="1:17" x14ac:dyDescent="0.3">
      <c r="A728" t="s">
        <v>728</v>
      </c>
      <c r="B728" t="s">
        <v>2085</v>
      </c>
      <c r="C728" s="1">
        <v>45437</v>
      </c>
      <c r="D728" t="s">
        <v>2935</v>
      </c>
      <c r="E728" t="s">
        <v>3917</v>
      </c>
      <c r="F728" t="s">
        <v>4549</v>
      </c>
      <c r="G728" t="s">
        <v>4573</v>
      </c>
      <c r="H728" t="s">
        <v>4585</v>
      </c>
      <c r="I728" t="s">
        <v>4592</v>
      </c>
      <c r="J728">
        <v>1</v>
      </c>
      <c r="K728">
        <v>6.63</v>
      </c>
      <c r="L728">
        <v>0</v>
      </c>
      <c r="M728">
        <v>2.79</v>
      </c>
      <c r="N728" t="s">
        <v>5468</v>
      </c>
      <c r="O728" t="s">
        <v>5472</v>
      </c>
      <c r="P728" t="s">
        <v>5477</v>
      </c>
      <c r="Q728" s="4">
        <v>6.63</v>
      </c>
    </row>
    <row r="729" spans="1:17" x14ac:dyDescent="0.3">
      <c r="A729" t="s">
        <v>729</v>
      </c>
      <c r="B729" t="s">
        <v>2086</v>
      </c>
      <c r="C729" s="1">
        <v>45366</v>
      </c>
      <c r="D729" t="s">
        <v>3010</v>
      </c>
      <c r="E729" t="s">
        <v>3918</v>
      </c>
      <c r="F729" t="s">
        <v>4569</v>
      </c>
      <c r="G729" t="s">
        <v>4572</v>
      </c>
      <c r="H729" t="s">
        <v>4586</v>
      </c>
      <c r="I729" t="s">
        <v>4597</v>
      </c>
      <c r="J729">
        <v>2</v>
      </c>
      <c r="K729">
        <v>93.12</v>
      </c>
      <c r="L729">
        <v>0.05</v>
      </c>
      <c r="M729">
        <v>1.76</v>
      </c>
      <c r="N729" t="s">
        <v>5462</v>
      </c>
      <c r="O729" t="s">
        <v>5470</v>
      </c>
      <c r="P729" t="s">
        <v>5479</v>
      </c>
      <c r="Q729" s="4">
        <v>176.928</v>
      </c>
    </row>
    <row r="730" spans="1:17" x14ac:dyDescent="0.3">
      <c r="A730" t="s">
        <v>730</v>
      </c>
      <c r="B730" t="s">
        <v>2087</v>
      </c>
      <c r="C730" s="1">
        <v>45691</v>
      </c>
      <c r="D730" t="s">
        <v>2750</v>
      </c>
      <c r="E730" t="s">
        <v>3919</v>
      </c>
      <c r="F730" t="s">
        <v>4569</v>
      </c>
      <c r="G730" t="s">
        <v>4580</v>
      </c>
      <c r="H730" t="s">
        <v>4585</v>
      </c>
      <c r="I730" t="s">
        <v>4592</v>
      </c>
      <c r="J730">
        <v>10</v>
      </c>
      <c r="K730">
        <v>6.23</v>
      </c>
      <c r="L730">
        <v>0.05</v>
      </c>
      <c r="M730">
        <v>7.49</v>
      </c>
      <c r="N730" t="s">
        <v>5481</v>
      </c>
      <c r="O730" t="s">
        <v>5473</v>
      </c>
      <c r="P730" t="s">
        <v>5479</v>
      </c>
      <c r="Q730" s="4">
        <v>59.185000000000002</v>
      </c>
    </row>
    <row r="731" spans="1:17" x14ac:dyDescent="0.3">
      <c r="A731" t="s">
        <v>731</v>
      </c>
      <c r="B731" t="s">
        <v>2088</v>
      </c>
      <c r="C731" s="1">
        <v>45815</v>
      </c>
      <c r="D731" t="s">
        <v>2710</v>
      </c>
      <c r="E731" t="s">
        <v>3920</v>
      </c>
      <c r="F731" t="s">
        <v>4565</v>
      </c>
      <c r="G731" t="s">
        <v>4576</v>
      </c>
      <c r="H731" t="s">
        <v>4585</v>
      </c>
      <c r="I731" t="s">
        <v>4592</v>
      </c>
      <c r="J731">
        <v>4</v>
      </c>
      <c r="K731">
        <v>6.62</v>
      </c>
      <c r="L731">
        <v>0</v>
      </c>
      <c r="M731">
        <v>1.73</v>
      </c>
      <c r="N731" t="s">
        <v>5462</v>
      </c>
      <c r="O731" t="s">
        <v>5471</v>
      </c>
      <c r="P731" t="s">
        <v>5477</v>
      </c>
      <c r="Q731" s="4">
        <v>26.48</v>
      </c>
    </row>
    <row r="732" spans="1:17" x14ac:dyDescent="0.3">
      <c r="A732" t="s">
        <v>732</v>
      </c>
      <c r="B732" t="s">
        <v>2089</v>
      </c>
      <c r="C732" s="1">
        <v>45366</v>
      </c>
      <c r="D732" t="s">
        <v>2898</v>
      </c>
      <c r="E732" t="s">
        <v>3921</v>
      </c>
      <c r="F732" t="s">
        <v>4549</v>
      </c>
      <c r="G732" t="s">
        <v>4573</v>
      </c>
      <c r="H732" t="s">
        <v>4587</v>
      </c>
      <c r="I732" t="s">
        <v>4600</v>
      </c>
      <c r="J732">
        <v>3</v>
      </c>
      <c r="K732">
        <v>12.62</v>
      </c>
      <c r="L732">
        <v>0.1</v>
      </c>
      <c r="M732">
        <v>10.59</v>
      </c>
      <c r="N732" t="s">
        <v>5464</v>
      </c>
      <c r="O732" t="s">
        <v>5473</v>
      </c>
      <c r="P732" t="s">
        <v>5477</v>
      </c>
      <c r="Q732" s="4">
        <v>34.073999999999998</v>
      </c>
    </row>
    <row r="733" spans="1:17" x14ac:dyDescent="0.3">
      <c r="A733" t="s">
        <v>733</v>
      </c>
      <c r="B733" t="s">
        <v>2090</v>
      </c>
      <c r="C733" s="1">
        <v>45527</v>
      </c>
      <c r="D733" t="s">
        <v>3006</v>
      </c>
      <c r="E733" t="s">
        <v>5481</v>
      </c>
      <c r="F733" t="s">
        <v>4566</v>
      </c>
      <c r="G733" t="s">
        <v>4573</v>
      </c>
      <c r="H733" t="s">
        <v>4585</v>
      </c>
      <c r="I733" t="s">
        <v>4602</v>
      </c>
      <c r="J733">
        <v>2</v>
      </c>
      <c r="K733">
        <v>4.05</v>
      </c>
      <c r="L733">
        <v>0.1</v>
      </c>
      <c r="M733">
        <v>2.68</v>
      </c>
      <c r="N733" t="s">
        <v>5462</v>
      </c>
      <c r="O733" t="s">
        <v>5481</v>
      </c>
      <c r="P733" t="s">
        <v>5477</v>
      </c>
      <c r="Q733" s="4">
        <v>7.29</v>
      </c>
    </row>
    <row r="734" spans="1:17" x14ac:dyDescent="0.3">
      <c r="A734" t="s">
        <v>734</v>
      </c>
      <c r="B734" t="s">
        <v>2091</v>
      </c>
      <c r="C734" s="1">
        <v>45829</v>
      </c>
      <c r="D734" t="s">
        <v>2740</v>
      </c>
      <c r="E734" t="s">
        <v>3922</v>
      </c>
      <c r="F734" t="s">
        <v>4549</v>
      </c>
      <c r="G734" t="s">
        <v>4573</v>
      </c>
      <c r="H734" t="s">
        <v>4585</v>
      </c>
      <c r="I734" t="s">
        <v>4602</v>
      </c>
      <c r="J734">
        <v>3</v>
      </c>
      <c r="K734">
        <v>4.32</v>
      </c>
      <c r="L734">
        <v>0.1</v>
      </c>
      <c r="N734" t="s">
        <v>5467</v>
      </c>
      <c r="O734" t="s">
        <v>5481</v>
      </c>
      <c r="P734" t="s">
        <v>5477</v>
      </c>
      <c r="Q734" s="4">
        <v>11.664000000000001</v>
      </c>
    </row>
    <row r="735" spans="1:17" x14ac:dyDescent="0.3">
      <c r="A735" t="s">
        <v>735</v>
      </c>
      <c r="B735" t="s">
        <v>2092</v>
      </c>
      <c r="C735" s="1">
        <v>45439</v>
      </c>
      <c r="D735" t="s">
        <v>2710</v>
      </c>
      <c r="E735" t="s">
        <v>3923</v>
      </c>
      <c r="F735" t="s">
        <v>4565</v>
      </c>
      <c r="G735" t="s">
        <v>4579</v>
      </c>
      <c r="H735" t="s">
        <v>4586</v>
      </c>
      <c r="I735" t="s">
        <v>4593</v>
      </c>
      <c r="J735">
        <v>1</v>
      </c>
      <c r="K735">
        <v>114.49</v>
      </c>
      <c r="L735">
        <v>0</v>
      </c>
      <c r="M735">
        <v>7.25</v>
      </c>
      <c r="N735" t="s">
        <v>5481</v>
      </c>
      <c r="O735" t="s">
        <v>5471</v>
      </c>
      <c r="P735" t="s">
        <v>5477</v>
      </c>
      <c r="Q735" s="4">
        <v>114.49</v>
      </c>
    </row>
    <row r="736" spans="1:17" x14ac:dyDescent="0.3">
      <c r="A736" t="s">
        <v>736</v>
      </c>
      <c r="B736" t="s">
        <v>2093</v>
      </c>
      <c r="C736" s="1">
        <v>45412</v>
      </c>
      <c r="D736" t="s">
        <v>2849</v>
      </c>
      <c r="E736" t="s">
        <v>3924</v>
      </c>
      <c r="F736" t="s">
        <v>4565</v>
      </c>
      <c r="G736" t="s">
        <v>4576</v>
      </c>
      <c r="H736" t="s">
        <v>4585</v>
      </c>
      <c r="I736" t="s">
        <v>4590</v>
      </c>
      <c r="J736">
        <v>2</v>
      </c>
      <c r="K736">
        <v>14.55</v>
      </c>
      <c r="L736">
        <v>0.05</v>
      </c>
      <c r="M736">
        <v>9.58</v>
      </c>
      <c r="N736" t="s">
        <v>5463</v>
      </c>
      <c r="O736" t="s">
        <v>5470</v>
      </c>
      <c r="P736" t="s">
        <v>5475</v>
      </c>
      <c r="Q736" s="4">
        <v>27.645</v>
      </c>
    </row>
    <row r="737" spans="1:17" x14ac:dyDescent="0.3">
      <c r="A737" t="s">
        <v>737</v>
      </c>
      <c r="B737" t="s">
        <v>2094</v>
      </c>
      <c r="C737" s="1">
        <v>45355</v>
      </c>
      <c r="D737" t="s">
        <v>3063</v>
      </c>
      <c r="E737" t="s">
        <v>3925</v>
      </c>
      <c r="F737" t="s">
        <v>4565</v>
      </c>
      <c r="G737" t="s">
        <v>4575</v>
      </c>
      <c r="H737" t="s">
        <v>4586</v>
      </c>
      <c r="I737" t="s">
        <v>4609</v>
      </c>
      <c r="J737">
        <v>1</v>
      </c>
      <c r="K737">
        <v>130.46</v>
      </c>
      <c r="L737">
        <v>0</v>
      </c>
      <c r="M737">
        <v>4.16</v>
      </c>
      <c r="N737" t="s">
        <v>5463</v>
      </c>
      <c r="O737" t="s">
        <v>5471</v>
      </c>
      <c r="P737" t="s">
        <v>5477</v>
      </c>
      <c r="Q737" s="4">
        <v>130.46</v>
      </c>
    </row>
    <row r="738" spans="1:17" x14ac:dyDescent="0.3">
      <c r="A738" t="s">
        <v>738</v>
      </c>
      <c r="B738" t="s">
        <v>2095</v>
      </c>
      <c r="C738" s="1">
        <v>45775</v>
      </c>
      <c r="D738" t="s">
        <v>3064</v>
      </c>
      <c r="E738" t="s">
        <v>3926</v>
      </c>
      <c r="F738" t="s">
        <v>4569</v>
      </c>
      <c r="G738" t="s">
        <v>4581</v>
      </c>
      <c r="H738" t="s">
        <v>4583</v>
      </c>
      <c r="I738" t="s">
        <v>4610</v>
      </c>
      <c r="J738">
        <v>1</v>
      </c>
      <c r="K738">
        <v>80.5</v>
      </c>
      <c r="L738">
        <v>0.1</v>
      </c>
      <c r="M738">
        <v>13.91</v>
      </c>
      <c r="N738" t="s">
        <v>5464</v>
      </c>
      <c r="O738" t="s">
        <v>5474</v>
      </c>
      <c r="P738" t="s">
        <v>5477</v>
      </c>
      <c r="Q738" s="4">
        <v>72.45</v>
      </c>
    </row>
    <row r="739" spans="1:17" x14ac:dyDescent="0.3">
      <c r="A739" t="s">
        <v>739</v>
      </c>
      <c r="B739" t="s">
        <v>2096</v>
      </c>
      <c r="C739" s="1">
        <v>45729</v>
      </c>
      <c r="D739" t="s">
        <v>2933</v>
      </c>
      <c r="E739" t="s">
        <v>3927</v>
      </c>
      <c r="F739" t="s">
        <v>4564</v>
      </c>
      <c r="G739" t="s">
        <v>4573</v>
      </c>
      <c r="H739" t="s">
        <v>4583</v>
      </c>
      <c r="I739" t="s">
        <v>4588</v>
      </c>
      <c r="J739">
        <v>1</v>
      </c>
      <c r="K739">
        <v>40.08</v>
      </c>
      <c r="L739">
        <v>0</v>
      </c>
      <c r="M739">
        <v>0</v>
      </c>
      <c r="N739" t="s">
        <v>5467</v>
      </c>
      <c r="O739" t="s">
        <v>5471</v>
      </c>
      <c r="P739" t="s">
        <v>5479</v>
      </c>
      <c r="Q739" s="4">
        <v>40.08</v>
      </c>
    </row>
    <row r="740" spans="1:17" x14ac:dyDescent="0.3">
      <c r="A740" t="s">
        <v>740</v>
      </c>
      <c r="B740" t="s">
        <v>2097</v>
      </c>
      <c r="C740" s="1">
        <v>45659</v>
      </c>
      <c r="D740" t="s">
        <v>2675</v>
      </c>
      <c r="E740" t="s">
        <v>3928</v>
      </c>
      <c r="F740" t="s">
        <v>4569</v>
      </c>
      <c r="G740" t="s">
        <v>4580</v>
      </c>
      <c r="H740" t="s">
        <v>4585</v>
      </c>
      <c r="I740" t="s">
        <v>4591</v>
      </c>
      <c r="J740">
        <v>5</v>
      </c>
      <c r="K740">
        <v>7.73</v>
      </c>
      <c r="L740">
        <v>0.1</v>
      </c>
      <c r="M740">
        <v>5.73</v>
      </c>
      <c r="N740" t="s">
        <v>5464</v>
      </c>
      <c r="O740" t="s">
        <v>5469</v>
      </c>
      <c r="P740" t="s">
        <v>5477</v>
      </c>
      <c r="Q740" s="4">
        <v>34.785000000000004</v>
      </c>
    </row>
    <row r="741" spans="1:17" x14ac:dyDescent="0.3">
      <c r="A741" t="s">
        <v>741</v>
      </c>
      <c r="B741" t="s">
        <v>2098</v>
      </c>
      <c r="C741" s="1">
        <v>45863</v>
      </c>
      <c r="D741" t="s">
        <v>3065</v>
      </c>
      <c r="E741" t="s">
        <v>3929</v>
      </c>
      <c r="F741" t="s">
        <v>4569</v>
      </c>
      <c r="G741" t="s">
        <v>4572</v>
      </c>
      <c r="H741" t="s">
        <v>4584</v>
      </c>
      <c r="I741" t="s">
        <v>4589</v>
      </c>
      <c r="J741">
        <v>2</v>
      </c>
      <c r="K741">
        <v>33.869999999999997</v>
      </c>
      <c r="L741">
        <v>0</v>
      </c>
      <c r="M741">
        <v>2.11</v>
      </c>
      <c r="N741" t="s">
        <v>5465</v>
      </c>
      <c r="O741" t="s">
        <v>5481</v>
      </c>
      <c r="P741" t="s">
        <v>5477</v>
      </c>
      <c r="Q741" s="4">
        <v>67.739999999999995</v>
      </c>
    </row>
    <row r="742" spans="1:17" x14ac:dyDescent="0.3">
      <c r="A742" t="s">
        <v>742</v>
      </c>
      <c r="B742" t="s">
        <v>2099</v>
      </c>
      <c r="C742" s="1">
        <v>45485</v>
      </c>
      <c r="D742" t="s">
        <v>2645</v>
      </c>
      <c r="E742" t="s">
        <v>3930</v>
      </c>
      <c r="F742" t="s">
        <v>4566</v>
      </c>
      <c r="G742" t="s">
        <v>4573</v>
      </c>
      <c r="H742" t="s">
        <v>5481</v>
      </c>
      <c r="I742" t="s">
        <v>4609</v>
      </c>
      <c r="J742">
        <v>1</v>
      </c>
      <c r="K742">
        <v>132.29</v>
      </c>
      <c r="L742">
        <v>0.15</v>
      </c>
      <c r="N742" t="s">
        <v>5467</v>
      </c>
      <c r="O742" t="s">
        <v>5469</v>
      </c>
      <c r="P742" t="s">
        <v>5477</v>
      </c>
      <c r="Q742" s="4">
        <v>112.44649999999999</v>
      </c>
    </row>
    <row r="743" spans="1:17" x14ac:dyDescent="0.3">
      <c r="A743" t="s">
        <v>743</v>
      </c>
      <c r="B743" t="s">
        <v>2100</v>
      </c>
      <c r="C743" s="1">
        <v>45365</v>
      </c>
      <c r="D743" t="s">
        <v>2629</v>
      </c>
      <c r="E743" t="s">
        <v>3931</v>
      </c>
      <c r="F743" t="s">
        <v>4564</v>
      </c>
      <c r="G743" t="s">
        <v>4578</v>
      </c>
      <c r="H743" t="s">
        <v>4584</v>
      </c>
      <c r="I743" t="s">
        <v>4595</v>
      </c>
      <c r="J743">
        <v>10</v>
      </c>
      <c r="K743">
        <v>42.4</v>
      </c>
      <c r="L743">
        <v>0</v>
      </c>
      <c r="M743">
        <v>2.94</v>
      </c>
      <c r="N743" t="s">
        <v>5463</v>
      </c>
      <c r="O743" t="s">
        <v>5469</v>
      </c>
      <c r="P743" t="s">
        <v>5477</v>
      </c>
      <c r="Q743" s="4">
        <v>424</v>
      </c>
    </row>
    <row r="744" spans="1:17" x14ac:dyDescent="0.3">
      <c r="A744" t="s">
        <v>370</v>
      </c>
      <c r="B744" t="s">
        <v>1636</v>
      </c>
      <c r="C744" s="1">
        <v>45917</v>
      </c>
      <c r="D744" t="s">
        <v>2897</v>
      </c>
      <c r="E744" t="s">
        <v>3593</v>
      </c>
      <c r="F744" t="s">
        <v>4549</v>
      </c>
      <c r="G744" t="s">
        <v>4573</v>
      </c>
      <c r="H744" t="s">
        <v>4584</v>
      </c>
      <c r="I744" t="s">
        <v>4608</v>
      </c>
      <c r="J744">
        <v>3</v>
      </c>
      <c r="K744">
        <v>19.489999999999998</v>
      </c>
      <c r="L744">
        <v>0.1</v>
      </c>
      <c r="M744">
        <v>7.75</v>
      </c>
      <c r="N744" t="s">
        <v>5468</v>
      </c>
      <c r="O744" t="s">
        <v>5473</v>
      </c>
      <c r="P744" t="s">
        <v>5477</v>
      </c>
      <c r="Q744" s="4">
        <v>52.622999999999998</v>
      </c>
    </row>
    <row r="745" spans="1:17" x14ac:dyDescent="0.3">
      <c r="A745" t="s">
        <v>744</v>
      </c>
      <c r="B745" t="s">
        <v>2101</v>
      </c>
      <c r="C745" s="1">
        <v>45415</v>
      </c>
      <c r="D745" t="s">
        <v>3041</v>
      </c>
      <c r="E745" t="s">
        <v>3932</v>
      </c>
      <c r="F745" t="s">
        <v>4566</v>
      </c>
      <c r="G745" t="s">
        <v>4577</v>
      </c>
      <c r="H745" t="s">
        <v>4586</v>
      </c>
      <c r="I745" t="s">
        <v>4609</v>
      </c>
      <c r="J745">
        <v>2</v>
      </c>
      <c r="K745">
        <v>130.86000000000001</v>
      </c>
      <c r="L745">
        <v>0</v>
      </c>
      <c r="M745">
        <v>0.28000000000000003</v>
      </c>
      <c r="N745" t="s">
        <v>5463</v>
      </c>
      <c r="O745" t="s">
        <v>5474</v>
      </c>
      <c r="P745" t="s">
        <v>5477</v>
      </c>
      <c r="Q745" s="4">
        <v>261.72000000000003</v>
      </c>
    </row>
    <row r="746" spans="1:17" x14ac:dyDescent="0.3">
      <c r="A746" t="s">
        <v>745</v>
      </c>
      <c r="B746" t="s">
        <v>2102</v>
      </c>
      <c r="C746" s="1">
        <v>45303</v>
      </c>
      <c r="D746" t="s">
        <v>2728</v>
      </c>
      <c r="E746" t="s">
        <v>3933</v>
      </c>
      <c r="F746" t="s">
        <v>4569</v>
      </c>
      <c r="G746" t="s">
        <v>4572</v>
      </c>
      <c r="H746" t="s">
        <v>4584</v>
      </c>
      <c r="I746" t="s">
        <v>4607</v>
      </c>
      <c r="J746">
        <v>2</v>
      </c>
      <c r="K746">
        <v>25.97</v>
      </c>
      <c r="L746">
        <v>0.05</v>
      </c>
      <c r="M746">
        <v>7.04</v>
      </c>
      <c r="N746" t="s">
        <v>5465</v>
      </c>
      <c r="O746" t="s">
        <v>5473</v>
      </c>
      <c r="P746" t="s">
        <v>5475</v>
      </c>
      <c r="Q746" s="4">
        <v>49.342999999999996</v>
      </c>
    </row>
    <row r="747" spans="1:17" x14ac:dyDescent="0.3">
      <c r="A747" t="s">
        <v>746</v>
      </c>
      <c r="B747" t="s">
        <v>2103</v>
      </c>
      <c r="C747" s="1">
        <v>45884</v>
      </c>
      <c r="D747" t="s">
        <v>3066</v>
      </c>
      <c r="E747" t="s">
        <v>3934</v>
      </c>
      <c r="F747" t="s">
        <v>4564</v>
      </c>
      <c r="G747" t="s">
        <v>4578</v>
      </c>
      <c r="H747" t="s">
        <v>4585</v>
      </c>
      <c r="I747" t="s">
        <v>4591</v>
      </c>
      <c r="J747">
        <v>4</v>
      </c>
      <c r="K747">
        <v>8.08</v>
      </c>
      <c r="L747">
        <v>0.1</v>
      </c>
      <c r="M747">
        <v>14.69</v>
      </c>
      <c r="N747" t="s">
        <v>5468</v>
      </c>
      <c r="O747" t="s">
        <v>5471</v>
      </c>
      <c r="P747" t="s">
        <v>5477</v>
      </c>
      <c r="Q747" s="4">
        <v>29.088000000000001</v>
      </c>
    </row>
    <row r="748" spans="1:17" x14ac:dyDescent="0.3">
      <c r="A748" t="s">
        <v>747</v>
      </c>
      <c r="B748" t="s">
        <v>2104</v>
      </c>
      <c r="C748" s="1">
        <v>45883</v>
      </c>
      <c r="D748" t="s">
        <v>3067</v>
      </c>
      <c r="E748" t="s">
        <v>3935</v>
      </c>
      <c r="F748" t="s">
        <v>4566</v>
      </c>
      <c r="G748" t="s">
        <v>4573</v>
      </c>
      <c r="H748" t="s">
        <v>4584</v>
      </c>
      <c r="I748" t="s">
        <v>4608</v>
      </c>
      <c r="J748">
        <v>10</v>
      </c>
      <c r="K748">
        <v>19.559999999999999</v>
      </c>
      <c r="L748">
        <v>0.1</v>
      </c>
      <c r="M748">
        <v>0.25</v>
      </c>
      <c r="N748" t="s">
        <v>5465</v>
      </c>
      <c r="O748" t="s">
        <v>5469</v>
      </c>
      <c r="P748" t="s">
        <v>5479</v>
      </c>
      <c r="Q748" s="4">
        <v>176.04</v>
      </c>
    </row>
    <row r="749" spans="1:17" x14ac:dyDescent="0.3">
      <c r="A749" t="s">
        <v>748</v>
      </c>
      <c r="B749" t="s">
        <v>1850</v>
      </c>
      <c r="C749" s="1">
        <v>45423</v>
      </c>
      <c r="D749" t="s">
        <v>2795</v>
      </c>
      <c r="E749" t="s">
        <v>3936</v>
      </c>
      <c r="F749" t="s">
        <v>4566</v>
      </c>
      <c r="G749" t="s">
        <v>4577</v>
      </c>
      <c r="H749" t="s">
        <v>4587</v>
      </c>
      <c r="I749" t="s">
        <v>4600</v>
      </c>
      <c r="J749">
        <v>1</v>
      </c>
      <c r="K749">
        <v>13.25</v>
      </c>
      <c r="L749">
        <v>0</v>
      </c>
      <c r="M749">
        <v>6.95</v>
      </c>
      <c r="N749" t="s">
        <v>5466</v>
      </c>
      <c r="O749" t="s">
        <v>5474</v>
      </c>
      <c r="P749" t="s">
        <v>5475</v>
      </c>
      <c r="Q749" s="4">
        <v>13.25</v>
      </c>
    </row>
    <row r="750" spans="1:17" x14ac:dyDescent="0.3">
      <c r="A750" t="s">
        <v>749</v>
      </c>
      <c r="B750" t="s">
        <v>2105</v>
      </c>
      <c r="C750" s="1">
        <v>45593</v>
      </c>
      <c r="D750" t="s">
        <v>3068</v>
      </c>
      <c r="E750" t="s">
        <v>3937</v>
      </c>
      <c r="F750" t="s">
        <v>4564</v>
      </c>
      <c r="G750" t="s">
        <v>4573</v>
      </c>
      <c r="H750" t="s">
        <v>4583</v>
      </c>
      <c r="I750" t="s">
        <v>4605</v>
      </c>
      <c r="J750">
        <v>1</v>
      </c>
      <c r="K750">
        <v>45.94</v>
      </c>
      <c r="L750">
        <v>0</v>
      </c>
      <c r="M750">
        <v>9.58</v>
      </c>
      <c r="N750" t="s">
        <v>5462</v>
      </c>
      <c r="O750" t="s">
        <v>5481</v>
      </c>
      <c r="P750" t="s">
        <v>5476</v>
      </c>
      <c r="Q750" s="4">
        <v>45.94</v>
      </c>
    </row>
    <row r="751" spans="1:17" x14ac:dyDescent="0.3">
      <c r="A751" t="s">
        <v>750</v>
      </c>
      <c r="B751" t="s">
        <v>2106</v>
      </c>
      <c r="C751" s="1">
        <v>45890</v>
      </c>
      <c r="D751" t="s">
        <v>3003</v>
      </c>
      <c r="E751" t="s">
        <v>3938</v>
      </c>
      <c r="F751" t="s">
        <v>4569</v>
      </c>
      <c r="G751" t="s">
        <v>4581</v>
      </c>
      <c r="H751" t="s">
        <v>4586</v>
      </c>
      <c r="I751" t="s">
        <v>4593</v>
      </c>
      <c r="J751">
        <v>1</v>
      </c>
      <c r="K751">
        <v>115</v>
      </c>
      <c r="L751">
        <v>0.15</v>
      </c>
      <c r="M751">
        <v>14.44</v>
      </c>
      <c r="N751" t="s">
        <v>5462</v>
      </c>
      <c r="O751" t="s">
        <v>5474</v>
      </c>
      <c r="P751" t="s">
        <v>5477</v>
      </c>
      <c r="Q751" s="4">
        <v>97.75</v>
      </c>
    </row>
    <row r="752" spans="1:17" x14ac:dyDescent="0.3">
      <c r="A752" t="s">
        <v>751</v>
      </c>
      <c r="B752" t="s">
        <v>2107</v>
      </c>
      <c r="C752" s="1">
        <v>45580</v>
      </c>
      <c r="D752" t="s">
        <v>2819</v>
      </c>
      <c r="E752" t="s">
        <v>3939</v>
      </c>
      <c r="F752" t="s">
        <v>4569</v>
      </c>
      <c r="G752" t="s">
        <v>4581</v>
      </c>
      <c r="H752" t="s">
        <v>4583</v>
      </c>
      <c r="I752" t="s">
        <v>4605</v>
      </c>
      <c r="J752">
        <v>2</v>
      </c>
      <c r="K752">
        <v>45.38</v>
      </c>
      <c r="L752">
        <v>0.1</v>
      </c>
      <c r="M752">
        <v>2.17</v>
      </c>
      <c r="N752" t="s">
        <v>5462</v>
      </c>
      <c r="O752" t="s">
        <v>5471</v>
      </c>
      <c r="P752" t="s">
        <v>5477</v>
      </c>
      <c r="Q752" s="4">
        <v>81.684000000000012</v>
      </c>
    </row>
    <row r="753" spans="1:17" x14ac:dyDescent="0.3">
      <c r="A753" t="s">
        <v>752</v>
      </c>
      <c r="B753" t="s">
        <v>1482</v>
      </c>
      <c r="C753" s="1">
        <v>46021</v>
      </c>
      <c r="D753" t="s">
        <v>2632</v>
      </c>
      <c r="E753" t="s">
        <v>3940</v>
      </c>
      <c r="F753" t="s">
        <v>4569</v>
      </c>
      <c r="G753" t="s">
        <v>4581</v>
      </c>
      <c r="H753" t="s">
        <v>5481</v>
      </c>
      <c r="I753" t="s">
        <v>4594</v>
      </c>
      <c r="J753">
        <v>2</v>
      </c>
      <c r="K753">
        <v>58.19</v>
      </c>
      <c r="L753">
        <v>0</v>
      </c>
      <c r="M753">
        <v>11.32</v>
      </c>
      <c r="N753" t="s">
        <v>5462</v>
      </c>
      <c r="O753" t="s">
        <v>5472</v>
      </c>
      <c r="P753" t="s">
        <v>5477</v>
      </c>
      <c r="Q753" s="4">
        <v>116.38</v>
      </c>
    </row>
    <row r="754" spans="1:17" x14ac:dyDescent="0.3">
      <c r="A754" t="s">
        <v>753</v>
      </c>
      <c r="B754" t="s">
        <v>1794</v>
      </c>
      <c r="C754" s="1">
        <v>45671</v>
      </c>
      <c r="D754" t="s">
        <v>2826</v>
      </c>
      <c r="E754" t="s">
        <v>3941</v>
      </c>
      <c r="F754" t="s">
        <v>4565</v>
      </c>
      <c r="G754" t="s">
        <v>4579</v>
      </c>
      <c r="H754" t="s">
        <v>4583</v>
      </c>
      <c r="I754" t="s">
        <v>4604</v>
      </c>
      <c r="J754">
        <v>4</v>
      </c>
      <c r="K754">
        <v>22.58</v>
      </c>
      <c r="L754">
        <v>0.1</v>
      </c>
      <c r="M754">
        <v>4.18</v>
      </c>
      <c r="N754" t="s">
        <v>5464</v>
      </c>
      <c r="O754" t="s">
        <v>5474</v>
      </c>
      <c r="P754" t="s">
        <v>5477</v>
      </c>
      <c r="Q754" s="4">
        <v>81.287999999999997</v>
      </c>
    </row>
    <row r="755" spans="1:17" x14ac:dyDescent="0.3">
      <c r="A755" t="s">
        <v>754</v>
      </c>
      <c r="B755" t="s">
        <v>2108</v>
      </c>
      <c r="C755" s="1">
        <v>45317</v>
      </c>
      <c r="D755" t="s">
        <v>2958</v>
      </c>
      <c r="E755" t="s">
        <v>3942</v>
      </c>
      <c r="F755" t="s">
        <v>4549</v>
      </c>
      <c r="G755" t="s">
        <v>4574</v>
      </c>
      <c r="H755" t="s">
        <v>4584</v>
      </c>
      <c r="I755" t="s">
        <v>4595</v>
      </c>
      <c r="J755">
        <v>1</v>
      </c>
      <c r="K755">
        <v>41.43</v>
      </c>
      <c r="L755">
        <v>0.05</v>
      </c>
      <c r="M755">
        <v>8.36</v>
      </c>
      <c r="N755" t="s">
        <v>5463</v>
      </c>
      <c r="O755" t="s">
        <v>5472</v>
      </c>
      <c r="P755" t="s">
        <v>5479</v>
      </c>
      <c r="Q755" s="4">
        <v>39.358499999999999</v>
      </c>
    </row>
    <row r="756" spans="1:17" x14ac:dyDescent="0.3">
      <c r="A756" t="s">
        <v>755</v>
      </c>
      <c r="B756" t="s">
        <v>1974</v>
      </c>
      <c r="C756" s="1">
        <v>45445</v>
      </c>
      <c r="D756" t="s">
        <v>2930</v>
      </c>
      <c r="E756" t="s">
        <v>3943</v>
      </c>
      <c r="F756" t="s">
        <v>4549</v>
      </c>
      <c r="G756" t="s">
        <v>4573</v>
      </c>
      <c r="H756" t="s">
        <v>4583</v>
      </c>
      <c r="I756" t="s">
        <v>4588</v>
      </c>
      <c r="J756">
        <v>1</v>
      </c>
      <c r="K756">
        <v>40.619999999999997</v>
      </c>
      <c r="L756">
        <v>0.15</v>
      </c>
      <c r="M756">
        <v>5.72</v>
      </c>
      <c r="N756" t="s">
        <v>5465</v>
      </c>
      <c r="O756" t="s">
        <v>5481</v>
      </c>
      <c r="P756" t="s">
        <v>5475</v>
      </c>
      <c r="Q756" s="4">
        <v>34.526999999999994</v>
      </c>
    </row>
    <row r="757" spans="1:17" x14ac:dyDescent="0.3">
      <c r="A757" t="s">
        <v>756</v>
      </c>
      <c r="B757" t="s">
        <v>2109</v>
      </c>
      <c r="C757" s="1">
        <v>45443</v>
      </c>
      <c r="D757" t="s">
        <v>2901</v>
      </c>
      <c r="E757" t="s">
        <v>3944</v>
      </c>
      <c r="F757" t="s">
        <v>4565</v>
      </c>
      <c r="G757" t="s">
        <v>4576</v>
      </c>
      <c r="H757" t="s">
        <v>4583</v>
      </c>
      <c r="I757" t="s">
        <v>4610</v>
      </c>
      <c r="J757">
        <v>2</v>
      </c>
      <c r="K757">
        <v>78.42</v>
      </c>
      <c r="L757">
        <v>0.1</v>
      </c>
      <c r="M757">
        <v>11.86</v>
      </c>
      <c r="N757" t="s">
        <v>5463</v>
      </c>
      <c r="O757" t="s">
        <v>5481</v>
      </c>
      <c r="P757" t="s">
        <v>5477</v>
      </c>
      <c r="Q757" s="4">
        <v>141.15600000000001</v>
      </c>
    </row>
    <row r="758" spans="1:17" x14ac:dyDescent="0.3">
      <c r="A758" t="s">
        <v>757</v>
      </c>
      <c r="B758" t="s">
        <v>2110</v>
      </c>
      <c r="C758" s="1">
        <v>45458</v>
      </c>
      <c r="D758" t="s">
        <v>3072</v>
      </c>
      <c r="E758" t="s">
        <v>3945</v>
      </c>
      <c r="F758" t="s">
        <v>4564</v>
      </c>
      <c r="G758" t="s">
        <v>4578</v>
      </c>
      <c r="H758" t="s">
        <v>4583</v>
      </c>
      <c r="I758" t="s">
        <v>4588</v>
      </c>
      <c r="J758">
        <v>1</v>
      </c>
      <c r="K758">
        <v>39.75</v>
      </c>
      <c r="L758">
        <v>0.05</v>
      </c>
      <c r="M758">
        <v>0.37</v>
      </c>
      <c r="N758" t="s">
        <v>5481</v>
      </c>
      <c r="O758" t="s">
        <v>5481</v>
      </c>
      <c r="P758" t="s">
        <v>5477</v>
      </c>
      <c r="Q758" s="4">
        <v>37.762499999999996</v>
      </c>
    </row>
    <row r="759" spans="1:17" x14ac:dyDescent="0.3">
      <c r="A759" t="s">
        <v>758</v>
      </c>
      <c r="B759" t="s">
        <v>2111</v>
      </c>
      <c r="C759" s="1">
        <v>45504</v>
      </c>
      <c r="D759" t="s">
        <v>3073</v>
      </c>
      <c r="E759" t="s">
        <v>5481</v>
      </c>
      <c r="F759" t="s">
        <v>4566</v>
      </c>
      <c r="G759" t="s">
        <v>4577</v>
      </c>
      <c r="H759" t="s">
        <v>4584</v>
      </c>
      <c r="I759" t="s">
        <v>4608</v>
      </c>
      <c r="J759">
        <v>1</v>
      </c>
      <c r="K759">
        <v>18.84</v>
      </c>
      <c r="L759">
        <v>0.05</v>
      </c>
      <c r="M759">
        <v>10.44</v>
      </c>
      <c r="N759" t="s">
        <v>5463</v>
      </c>
      <c r="O759" t="s">
        <v>5481</v>
      </c>
      <c r="P759" t="s">
        <v>5477</v>
      </c>
      <c r="Q759" s="4">
        <v>17.898</v>
      </c>
    </row>
    <row r="760" spans="1:17" x14ac:dyDescent="0.3">
      <c r="A760" t="s">
        <v>759</v>
      </c>
      <c r="B760" t="s">
        <v>2112</v>
      </c>
      <c r="C760" s="1">
        <v>45958</v>
      </c>
      <c r="D760" t="s">
        <v>3010</v>
      </c>
      <c r="E760" t="s">
        <v>3946</v>
      </c>
      <c r="F760" t="s">
        <v>4565</v>
      </c>
      <c r="G760" t="s">
        <v>4579</v>
      </c>
      <c r="H760" t="s">
        <v>4587</v>
      </c>
      <c r="I760" t="s">
        <v>4594</v>
      </c>
      <c r="J760">
        <v>2</v>
      </c>
      <c r="K760">
        <v>57.57</v>
      </c>
      <c r="L760">
        <v>0</v>
      </c>
      <c r="M760">
        <v>0</v>
      </c>
      <c r="N760" t="s">
        <v>5465</v>
      </c>
      <c r="O760" t="s">
        <v>5470</v>
      </c>
      <c r="P760" t="s">
        <v>5477</v>
      </c>
      <c r="Q760" s="4">
        <v>115.14</v>
      </c>
    </row>
    <row r="761" spans="1:17" x14ac:dyDescent="0.3">
      <c r="A761" t="s">
        <v>760</v>
      </c>
      <c r="B761" t="s">
        <v>2113</v>
      </c>
      <c r="C761" s="1">
        <v>45330</v>
      </c>
      <c r="D761" t="s">
        <v>2808</v>
      </c>
      <c r="E761" t="s">
        <v>3947</v>
      </c>
      <c r="F761" t="s">
        <v>4565</v>
      </c>
      <c r="G761" t="s">
        <v>4575</v>
      </c>
      <c r="H761" t="s">
        <v>4585</v>
      </c>
      <c r="I761" t="s">
        <v>4592</v>
      </c>
      <c r="J761">
        <v>1</v>
      </c>
      <c r="K761">
        <v>6.52</v>
      </c>
      <c r="L761">
        <v>0</v>
      </c>
      <c r="M761">
        <v>13.34</v>
      </c>
      <c r="N761" t="s">
        <v>5466</v>
      </c>
      <c r="O761" t="s">
        <v>5472</v>
      </c>
      <c r="P761" t="s">
        <v>5477</v>
      </c>
      <c r="Q761" s="4">
        <v>6.52</v>
      </c>
    </row>
    <row r="762" spans="1:17" x14ac:dyDescent="0.3">
      <c r="A762" t="s">
        <v>761</v>
      </c>
      <c r="B762" t="s">
        <v>1873</v>
      </c>
      <c r="C762" s="1">
        <v>45821</v>
      </c>
      <c r="D762" t="s">
        <v>2980</v>
      </c>
      <c r="E762" t="s">
        <v>3948</v>
      </c>
      <c r="F762" t="s">
        <v>4566</v>
      </c>
      <c r="G762" t="s">
        <v>4573</v>
      </c>
      <c r="H762" t="s">
        <v>4587</v>
      </c>
      <c r="I762" t="s">
        <v>4600</v>
      </c>
      <c r="J762">
        <v>1</v>
      </c>
      <c r="K762">
        <v>13.3</v>
      </c>
      <c r="L762">
        <v>0</v>
      </c>
      <c r="M762">
        <v>12.19</v>
      </c>
      <c r="N762" t="s">
        <v>5468</v>
      </c>
      <c r="O762" t="s">
        <v>5474</v>
      </c>
      <c r="P762" t="s">
        <v>5477</v>
      </c>
      <c r="Q762" s="4">
        <v>13.3</v>
      </c>
    </row>
    <row r="763" spans="1:17" x14ac:dyDescent="0.3">
      <c r="A763" t="s">
        <v>762</v>
      </c>
      <c r="B763" t="s">
        <v>1510</v>
      </c>
      <c r="C763" s="1">
        <v>45324</v>
      </c>
      <c r="D763" t="s">
        <v>3074</v>
      </c>
      <c r="E763" t="s">
        <v>5481</v>
      </c>
      <c r="F763" t="s">
        <v>4569</v>
      </c>
      <c r="G763" t="s">
        <v>4581</v>
      </c>
      <c r="H763" t="s">
        <v>4583</v>
      </c>
      <c r="I763" t="s">
        <v>4610</v>
      </c>
      <c r="J763">
        <v>1</v>
      </c>
      <c r="K763">
        <v>77.459999999999994</v>
      </c>
      <c r="L763">
        <v>0</v>
      </c>
      <c r="M763">
        <v>13.39</v>
      </c>
      <c r="N763" t="s">
        <v>5467</v>
      </c>
      <c r="O763" t="s">
        <v>5472</v>
      </c>
      <c r="P763" t="s">
        <v>5477</v>
      </c>
      <c r="Q763" s="4">
        <v>77.459999999999994</v>
      </c>
    </row>
    <row r="764" spans="1:17" x14ac:dyDescent="0.3">
      <c r="A764" t="s">
        <v>763</v>
      </c>
      <c r="B764" t="s">
        <v>2114</v>
      </c>
      <c r="C764" s="1">
        <v>45411</v>
      </c>
      <c r="D764" t="s">
        <v>3075</v>
      </c>
      <c r="E764" t="s">
        <v>3949</v>
      </c>
      <c r="F764" t="s">
        <v>4569</v>
      </c>
      <c r="G764" t="s">
        <v>4572</v>
      </c>
      <c r="H764" t="s">
        <v>4584</v>
      </c>
      <c r="I764" t="s">
        <v>4589</v>
      </c>
      <c r="J764">
        <v>3</v>
      </c>
      <c r="K764">
        <v>35.82</v>
      </c>
      <c r="L764">
        <v>0.05</v>
      </c>
      <c r="M764">
        <v>12.32</v>
      </c>
      <c r="N764" t="s">
        <v>5467</v>
      </c>
      <c r="O764" t="s">
        <v>5469</v>
      </c>
      <c r="P764" t="s">
        <v>5479</v>
      </c>
      <c r="Q764" s="4">
        <v>102.087</v>
      </c>
    </row>
    <row r="765" spans="1:17" x14ac:dyDescent="0.3">
      <c r="A765" t="s">
        <v>764</v>
      </c>
      <c r="B765" t="s">
        <v>2115</v>
      </c>
      <c r="C765" s="1">
        <v>45425</v>
      </c>
      <c r="D765" t="s">
        <v>2724</v>
      </c>
      <c r="E765" t="s">
        <v>3950</v>
      </c>
      <c r="F765" t="s">
        <v>4566</v>
      </c>
      <c r="G765" t="s">
        <v>4573</v>
      </c>
      <c r="H765" t="s">
        <v>4584</v>
      </c>
      <c r="I765" t="s">
        <v>4608</v>
      </c>
      <c r="J765">
        <v>1</v>
      </c>
      <c r="K765">
        <v>18.09</v>
      </c>
      <c r="L765">
        <v>0</v>
      </c>
      <c r="M765">
        <v>5.37</v>
      </c>
      <c r="N765" t="s">
        <v>5463</v>
      </c>
      <c r="O765" t="s">
        <v>5471</v>
      </c>
      <c r="P765" t="s">
        <v>5477</v>
      </c>
      <c r="Q765" s="4">
        <v>18.09</v>
      </c>
    </row>
    <row r="766" spans="1:17" x14ac:dyDescent="0.3">
      <c r="A766" t="s">
        <v>765</v>
      </c>
      <c r="B766" t="s">
        <v>2116</v>
      </c>
      <c r="C766" s="1">
        <v>45866</v>
      </c>
      <c r="D766" t="s">
        <v>3067</v>
      </c>
      <c r="E766" t="s">
        <v>3951</v>
      </c>
      <c r="F766" t="s">
        <v>4564</v>
      </c>
      <c r="G766" t="s">
        <v>4578</v>
      </c>
      <c r="H766" t="s">
        <v>4586</v>
      </c>
      <c r="I766" t="s">
        <v>4593</v>
      </c>
      <c r="J766">
        <v>2</v>
      </c>
      <c r="K766">
        <v>108.72</v>
      </c>
      <c r="L766">
        <v>0.1</v>
      </c>
      <c r="M766">
        <v>2.4</v>
      </c>
      <c r="N766" t="s">
        <v>5465</v>
      </c>
      <c r="O766" t="s">
        <v>5470</v>
      </c>
      <c r="P766" t="s">
        <v>5477</v>
      </c>
      <c r="Q766" s="4">
        <v>195.696</v>
      </c>
    </row>
    <row r="767" spans="1:17" x14ac:dyDescent="0.3">
      <c r="A767" t="s">
        <v>766</v>
      </c>
      <c r="B767" t="s">
        <v>2117</v>
      </c>
      <c r="C767" s="1">
        <v>45961</v>
      </c>
      <c r="D767" t="s">
        <v>3076</v>
      </c>
      <c r="E767" t="s">
        <v>5481</v>
      </c>
      <c r="F767" t="s">
        <v>4564</v>
      </c>
      <c r="G767" t="s">
        <v>4573</v>
      </c>
      <c r="H767" t="s">
        <v>4586</v>
      </c>
      <c r="I767" t="s">
        <v>4609</v>
      </c>
      <c r="J767">
        <v>1</v>
      </c>
      <c r="K767">
        <v>131.01</v>
      </c>
      <c r="L767">
        <v>0</v>
      </c>
      <c r="M767">
        <v>0.82</v>
      </c>
      <c r="N767" t="s">
        <v>5468</v>
      </c>
      <c r="O767" t="s">
        <v>5472</v>
      </c>
      <c r="P767" t="s">
        <v>5477</v>
      </c>
      <c r="Q767" s="4">
        <v>131.01</v>
      </c>
    </row>
    <row r="768" spans="1:17" x14ac:dyDescent="0.3">
      <c r="A768" t="s">
        <v>767</v>
      </c>
      <c r="B768" t="s">
        <v>1533</v>
      </c>
      <c r="C768" s="1">
        <v>45726</v>
      </c>
      <c r="D768" t="s">
        <v>3077</v>
      </c>
      <c r="E768" t="s">
        <v>3952</v>
      </c>
      <c r="F768" t="s">
        <v>4549</v>
      </c>
      <c r="G768" t="s">
        <v>5481</v>
      </c>
      <c r="H768" t="s">
        <v>4583</v>
      </c>
      <c r="I768" t="s">
        <v>4610</v>
      </c>
      <c r="J768">
        <v>4</v>
      </c>
      <c r="K768">
        <v>78.5</v>
      </c>
      <c r="L768">
        <v>0</v>
      </c>
      <c r="M768">
        <v>5.29</v>
      </c>
      <c r="N768" t="s">
        <v>5463</v>
      </c>
      <c r="O768" t="s">
        <v>5481</v>
      </c>
      <c r="P768" t="s">
        <v>5476</v>
      </c>
      <c r="Q768" s="4">
        <v>314</v>
      </c>
    </row>
    <row r="769" spans="1:17" x14ac:dyDescent="0.3">
      <c r="A769" t="s">
        <v>768</v>
      </c>
      <c r="B769" t="s">
        <v>1416</v>
      </c>
      <c r="C769" s="1">
        <v>45297</v>
      </c>
      <c r="D769" t="s">
        <v>2880</v>
      </c>
      <c r="E769" t="s">
        <v>3953</v>
      </c>
      <c r="F769" t="s">
        <v>4565</v>
      </c>
      <c r="G769" t="s">
        <v>4575</v>
      </c>
      <c r="H769" t="s">
        <v>4585</v>
      </c>
      <c r="I769" t="s">
        <v>4592</v>
      </c>
      <c r="J769">
        <v>1</v>
      </c>
      <c r="K769">
        <v>6.21</v>
      </c>
      <c r="L769">
        <v>0.1</v>
      </c>
      <c r="M769">
        <v>14.43</v>
      </c>
      <c r="N769" t="s">
        <v>5464</v>
      </c>
      <c r="O769" t="s">
        <v>5470</v>
      </c>
      <c r="P769" t="s">
        <v>5477</v>
      </c>
      <c r="Q769" s="4">
        <v>5.5890000000000004</v>
      </c>
    </row>
    <row r="770" spans="1:17" x14ac:dyDescent="0.3">
      <c r="A770" t="s">
        <v>769</v>
      </c>
      <c r="B770" t="s">
        <v>1782</v>
      </c>
      <c r="C770" s="1">
        <v>45603</v>
      </c>
      <c r="D770" t="s">
        <v>2769</v>
      </c>
      <c r="E770" t="s">
        <v>3954</v>
      </c>
      <c r="F770" t="s">
        <v>4569</v>
      </c>
      <c r="G770" t="s">
        <v>4572</v>
      </c>
      <c r="H770" t="s">
        <v>4583</v>
      </c>
      <c r="I770" t="s">
        <v>4604</v>
      </c>
      <c r="J770">
        <v>4</v>
      </c>
      <c r="K770">
        <v>23.58</v>
      </c>
      <c r="L770">
        <v>0</v>
      </c>
      <c r="M770">
        <v>8.2899999999999991</v>
      </c>
      <c r="N770" t="s">
        <v>5467</v>
      </c>
      <c r="O770" t="s">
        <v>5481</v>
      </c>
      <c r="P770" t="s">
        <v>5477</v>
      </c>
      <c r="Q770" s="4">
        <v>94.32</v>
      </c>
    </row>
    <row r="771" spans="1:17" x14ac:dyDescent="0.3">
      <c r="A771" t="s">
        <v>770</v>
      </c>
      <c r="B771" t="s">
        <v>2118</v>
      </c>
      <c r="C771" s="1">
        <v>45748</v>
      </c>
      <c r="D771" t="s">
        <v>2714</v>
      </c>
      <c r="E771" t="s">
        <v>3955</v>
      </c>
      <c r="F771" t="s">
        <v>4566</v>
      </c>
      <c r="G771" t="s">
        <v>4582</v>
      </c>
      <c r="H771" t="s">
        <v>4585</v>
      </c>
      <c r="I771" t="s">
        <v>4591</v>
      </c>
      <c r="J771">
        <v>1</v>
      </c>
      <c r="K771">
        <v>7.93</v>
      </c>
      <c r="L771">
        <v>0.15</v>
      </c>
      <c r="M771">
        <v>6.75</v>
      </c>
      <c r="N771" t="s">
        <v>5463</v>
      </c>
      <c r="O771" t="s">
        <v>5481</v>
      </c>
      <c r="P771" t="s">
        <v>5479</v>
      </c>
      <c r="Q771" s="4">
        <v>6.7404999999999999</v>
      </c>
    </row>
    <row r="772" spans="1:17" x14ac:dyDescent="0.3">
      <c r="A772" t="s">
        <v>771</v>
      </c>
      <c r="B772" t="s">
        <v>2119</v>
      </c>
      <c r="C772" s="1">
        <v>45580</v>
      </c>
      <c r="D772" t="s">
        <v>3075</v>
      </c>
      <c r="E772" t="s">
        <v>3956</v>
      </c>
      <c r="F772" t="s">
        <v>4565</v>
      </c>
      <c r="G772" t="s">
        <v>4576</v>
      </c>
      <c r="H772" t="s">
        <v>4587</v>
      </c>
      <c r="I772" t="s">
        <v>4594</v>
      </c>
      <c r="J772">
        <v>3</v>
      </c>
      <c r="K772">
        <v>60.75</v>
      </c>
      <c r="L772">
        <v>0.05</v>
      </c>
      <c r="M772">
        <v>0</v>
      </c>
      <c r="N772" t="s">
        <v>5481</v>
      </c>
      <c r="O772" t="s">
        <v>5474</v>
      </c>
      <c r="P772" t="s">
        <v>5476</v>
      </c>
      <c r="Q772" s="4">
        <v>173.13749999999999</v>
      </c>
    </row>
    <row r="773" spans="1:17" x14ac:dyDescent="0.3">
      <c r="A773" t="s">
        <v>772</v>
      </c>
      <c r="B773" t="s">
        <v>2120</v>
      </c>
      <c r="C773" s="1">
        <v>45878</v>
      </c>
      <c r="D773" t="s">
        <v>3058</v>
      </c>
      <c r="E773" t="s">
        <v>3957</v>
      </c>
      <c r="F773" t="s">
        <v>4564</v>
      </c>
      <c r="G773" t="s">
        <v>4573</v>
      </c>
      <c r="H773" t="s">
        <v>4585</v>
      </c>
      <c r="I773" t="s">
        <v>4598</v>
      </c>
      <c r="J773">
        <v>10</v>
      </c>
      <c r="K773">
        <v>2.96</v>
      </c>
      <c r="L773">
        <v>0.1</v>
      </c>
      <c r="M773">
        <v>12.35</v>
      </c>
      <c r="N773" t="s">
        <v>5465</v>
      </c>
      <c r="O773" t="s">
        <v>5470</v>
      </c>
      <c r="P773" t="s">
        <v>5477</v>
      </c>
      <c r="Q773" s="4">
        <v>26.64</v>
      </c>
    </row>
    <row r="774" spans="1:17" x14ac:dyDescent="0.3">
      <c r="A774" t="s">
        <v>773</v>
      </c>
      <c r="B774" t="s">
        <v>2121</v>
      </c>
      <c r="C774" s="1">
        <v>45996</v>
      </c>
      <c r="D774" t="s">
        <v>2631</v>
      </c>
      <c r="E774" t="s">
        <v>3958</v>
      </c>
      <c r="F774" t="s">
        <v>4566</v>
      </c>
      <c r="G774" t="s">
        <v>4573</v>
      </c>
      <c r="H774" t="s">
        <v>4583</v>
      </c>
      <c r="I774" t="s">
        <v>4610</v>
      </c>
      <c r="J774">
        <v>1</v>
      </c>
      <c r="K774">
        <v>81.260000000000005</v>
      </c>
      <c r="L774">
        <v>0.05</v>
      </c>
      <c r="M774">
        <v>3.56</v>
      </c>
      <c r="N774" t="s">
        <v>5463</v>
      </c>
      <c r="O774" t="s">
        <v>5474</v>
      </c>
      <c r="P774" t="s">
        <v>5479</v>
      </c>
      <c r="Q774" s="4">
        <v>77.197000000000003</v>
      </c>
    </row>
    <row r="775" spans="1:17" x14ac:dyDescent="0.3">
      <c r="A775" t="s">
        <v>774</v>
      </c>
      <c r="B775" t="s">
        <v>2122</v>
      </c>
      <c r="C775" s="1">
        <v>45767</v>
      </c>
      <c r="D775" t="s">
        <v>3080</v>
      </c>
      <c r="E775" t="s">
        <v>3959</v>
      </c>
      <c r="F775" t="s">
        <v>4566</v>
      </c>
      <c r="G775" t="s">
        <v>4582</v>
      </c>
      <c r="H775" t="s">
        <v>4585</v>
      </c>
      <c r="I775" t="s">
        <v>4592</v>
      </c>
      <c r="J775">
        <v>3</v>
      </c>
      <c r="K775">
        <v>6.78</v>
      </c>
      <c r="L775">
        <v>0</v>
      </c>
      <c r="M775">
        <v>13.49</v>
      </c>
      <c r="N775" t="s">
        <v>5464</v>
      </c>
      <c r="O775" t="s">
        <v>5471</v>
      </c>
      <c r="P775" t="s">
        <v>5477</v>
      </c>
      <c r="Q775" s="4">
        <v>20.34</v>
      </c>
    </row>
    <row r="776" spans="1:17" x14ac:dyDescent="0.3">
      <c r="A776" t="s">
        <v>775</v>
      </c>
      <c r="B776" t="s">
        <v>1953</v>
      </c>
      <c r="C776" s="1">
        <v>45962</v>
      </c>
      <c r="D776" t="s">
        <v>3081</v>
      </c>
      <c r="E776" t="s">
        <v>3960</v>
      </c>
      <c r="F776" t="s">
        <v>4565</v>
      </c>
      <c r="G776" t="s">
        <v>4576</v>
      </c>
      <c r="H776" t="s">
        <v>4585</v>
      </c>
      <c r="I776" t="s">
        <v>4598</v>
      </c>
      <c r="J776">
        <v>1</v>
      </c>
      <c r="K776">
        <v>3.18</v>
      </c>
      <c r="L776">
        <v>0.05</v>
      </c>
      <c r="M776">
        <v>12.07</v>
      </c>
      <c r="N776" t="s">
        <v>5467</v>
      </c>
      <c r="O776" t="s">
        <v>5472</v>
      </c>
      <c r="P776" t="s">
        <v>5477</v>
      </c>
      <c r="Q776" s="4">
        <v>3.0209999999999999</v>
      </c>
    </row>
    <row r="777" spans="1:17" x14ac:dyDescent="0.3">
      <c r="A777" t="s">
        <v>776</v>
      </c>
      <c r="B777" t="s">
        <v>2123</v>
      </c>
      <c r="C777" s="1">
        <v>45906</v>
      </c>
      <c r="D777" t="s">
        <v>3113</v>
      </c>
      <c r="E777" t="s">
        <v>3961</v>
      </c>
      <c r="F777" t="s">
        <v>4566</v>
      </c>
      <c r="G777" t="s">
        <v>4582</v>
      </c>
      <c r="H777" t="s">
        <v>4586</v>
      </c>
      <c r="I777" t="s">
        <v>4597</v>
      </c>
      <c r="J777">
        <v>2</v>
      </c>
      <c r="K777">
        <v>87.29</v>
      </c>
      <c r="L777">
        <v>0</v>
      </c>
      <c r="N777" t="s">
        <v>5468</v>
      </c>
      <c r="O777" t="s">
        <v>5474</v>
      </c>
      <c r="P777" t="s">
        <v>5477</v>
      </c>
      <c r="Q777" s="4">
        <v>174.58</v>
      </c>
    </row>
    <row r="778" spans="1:17" x14ac:dyDescent="0.3">
      <c r="A778" t="s">
        <v>777</v>
      </c>
      <c r="B778" t="s">
        <v>2124</v>
      </c>
      <c r="C778" s="1">
        <v>45976</v>
      </c>
      <c r="D778" t="s">
        <v>3082</v>
      </c>
      <c r="E778" t="s">
        <v>3962</v>
      </c>
      <c r="F778" t="s">
        <v>4564</v>
      </c>
      <c r="G778" t="s">
        <v>4573</v>
      </c>
      <c r="H778" t="s">
        <v>4584</v>
      </c>
      <c r="I778" t="s">
        <v>4595</v>
      </c>
      <c r="J778">
        <v>5</v>
      </c>
      <c r="K778">
        <v>43.95</v>
      </c>
      <c r="L778">
        <v>0.15</v>
      </c>
      <c r="M778">
        <v>5.34</v>
      </c>
      <c r="N778" t="s">
        <v>5466</v>
      </c>
      <c r="O778" t="s">
        <v>5472</v>
      </c>
      <c r="P778" t="s">
        <v>5477</v>
      </c>
      <c r="Q778" s="4">
        <v>186.78749999999999</v>
      </c>
    </row>
    <row r="779" spans="1:17" x14ac:dyDescent="0.3">
      <c r="A779" t="s">
        <v>778</v>
      </c>
      <c r="B779" t="s">
        <v>2125</v>
      </c>
      <c r="C779" s="1">
        <v>45999</v>
      </c>
      <c r="D779" t="s">
        <v>3083</v>
      </c>
      <c r="E779" t="s">
        <v>3963</v>
      </c>
      <c r="F779" t="s">
        <v>4549</v>
      </c>
      <c r="G779" t="s">
        <v>4573</v>
      </c>
      <c r="H779" t="s">
        <v>4584</v>
      </c>
      <c r="I779" t="s">
        <v>4608</v>
      </c>
      <c r="J779">
        <v>1</v>
      </c>
      <c r="K779">
        <v>19.489999999999998</v>
      </c>
      <c r="L779">
        <v>0.05</v>
      </c>
      <c r="M779">
        <v>12.03</v>
      </c>
      <c r="N779" t="s">
        <v>5463</v>
      </c>
      <c r="O779" t="s">
        <v>5469</v>
      </c>
      <c r="P779" t="s">
        <v>5477</v>
      </c>
      <c r="Q779" s="4">
        <v>18.515499999999999</v>
      </c>
    </row>
    <row r="780" spans="1:17" x14ac:dyDescent="0.3">
      <c r="C780" s="1"/>
      <c r="E780" t="s">
        <v>5481</v>
      </c>
      <c r="G780" t="s">
        <v>5481</v>
      </c>
      <c r="H780" t="s">
        <v>5481</v>
      </c>
      <c r="L780">
        <v>0</v>
      </c>
      <c r="N780" t="s">
        <v>5481</v>
      </c>
      <c r="O780" t="s">
        <v>5481</v>
      </c>
    </row>
    <row r="781" spans="1:17" x14ac:dyDescent="0.3">
      <c r="A781" t="s">
        <v>779</v>
      </c>
      <c r="B781" t="s">
        <v>2126</v>
      </c>
      <c r="C781" s="1">
        <v>45603</v>
      </c>
      <c r="D781" t="s">
        <v>3084</v>
      </c>
      <c r="E781" t="s">
        <v>3964</v>
      </c>
      <c r="F781" t="s">
        <v>4566</v>
      </c>
      <c r="G781" t="s">
        <v>4573</v>
      </c>
      <c r="H781" t="s">
        <v>4587</v>
      </c>
      <c r="I781" t="s">
        <v>4594</v>
      </c>
      <c r="J781">
        <v>10</v>
      </c>
      <c r="K781">
        <v>58.87</v>
      </c>
      <c r="L781">
        <v>0.15</v>
      </c>
      <c r="M781">
        <v>3.23</v>
      </c>
      <c r="N781" t="s">
        <v>5465</v>
      </c>
      <c r="O781" t="s">
        <v>5474</v>
      </c>
      <c r="P781" t="s">
        <v>5477</v>
      </c>
      <c r="Q781" s="4">
        <v>500.39499999999992</v>
      </c>
    </row>
    <row r="782" spans="1:17" x14ac:dyDescent="0.3">
      <c r="A782" t="s">
        <v>780</v>
      </c>
      <c r="B782" t="s">
        <v>2127</v>
      </c>
      <c r="C782" s="1">
        <v>45325</v>
      </c>
      <c r="D782" t="s">
        <v>3085</v>
      </c>
      <c r="E782" t="s">
        <v>3965</v>
      </c>
      <c r="F782" t="s">
        <v>4564</v>
      </c>
      <c r="G782" t="s">
        <v>4573</v>
      </c>
      <c r="H782" t="s">
        <v>4587</v>
      </c>
      <c r="I782" t="s">
        <v>4594</v>
      </c>
      <c r="J782">
        <v>10</v>
      </c>
      <c r="K782">
        <v>59.22</v>
      </c>
      <c r="L782">
        <v>0.1</v>
      </c>
      <c r="M782">
        <v>6.67</v>
      </c>
      <c r="N782" t="s">
        <v>5463</v>
      </c>
      <c r="O782" t="s">
        <v>5481</v>
      </c>
      <c r="P782" t="s">
        <v>5475</v>
      </c>
      <c r="Q782" s="4">
        <v>532.98</v>
      </c>
    </row>
    <row r="783" spans="1:17" x14ac:dyDescent="0.3">
      <c r="A783" t="s">
        <v>781</v>
      </c>
      <c r="B783" t="s">
        <v>1960</v>
      </c>
      <c r="C783" s="1">
        <v>45478</v>
      </c>
      <c r="D783" t="s">
        <v>3076</v>
      </c>
      <c r="E783" t="s">
        <v>3966</v>
      </c>
      <c r="F783" t="s">
        <v>4565</v>
      </c>
      <c r="G783" t="s">
        <v>4575</v>
      </c>
      <c r="H783" t="s">
        <v>4583</v>
      </c>
      <c r="I783" t="s">
        <v>4605</v>
      </c>
      <c r="J783">
        <v>1</v>
      </c>
      <c r="K783">
        <v>45.98</v>
      </c>
      <c r="L783">
        <v>0</v>
      </c>
      <c r="M783">
        <v>3.88</v>
      </c>
      <c r="N783" t="s">
        <v>5465</v>
      </c>
      <c r="O783" t="s">
        <v>5473</v>
      </c>
      <c r="P783" t="s">
        <v>5477</v>
      </c>
      <c r="Q783" s="4">
        <v>45.98</v>
      </c>
    </row>
    <row r="784" spans="1:17" x14ac:dyDescent="0.3">
      <c r="A784" t="s">
        <v>782</v>
      </c>
      <c r="B784" t="s">
        <v>2128</v>
      </c>
      <c r="C784" s="1">
        <v>45319</v>
      </c>
      <c r="D784" t="s">
        <v>2838</v>
      </c>
      <c r="E784" t="s">
        <v>3967</v>
      </c>
      <c r="F784" t="s">
        <v>4565</v>
      </c>
      <c r="G784" t="s">
        <v>4579</v>
      </c>
      <c r="H784" t="s">
        <v>4583</v>
      </c>
      <c r="I784" t="s">
        <v>4605</v>
      </c>
      <c r="J784">
        <v>2</v>
      </c>
      <c r="K784">
        <v>46.95</v>
      </c>
      <c r="L784">
        <v>0</v>
      </c>
      <c r="M784">
        <v>10.19</v>
      </c>
      <c r="N784" t="s">
        <v>5467</v>
      </c>
      <c r="O784" t="s">
        <v>5469</v>
      </c>
      <c r="P784" t="s">
        <v>5476</v>
      </c>
      <c r="Q784" s="4">
        <v>93.9</v>
      </c>
    </row>
    <row r="785" spans="1:17" x14ac:dyDescent="0.3">
      <c r="A785" t="s">
        <v>783</v>
      </c>
      <c r="B785" t="s">
        <v>2129</v>
      </c>
      <c r="C785" s="1">
        <v>45674</v>
      </c>
      <c r="D785" t="s">
        <v>2724</v>
      </c>
      <c r="E785" t="s">
        <v>5481</v>
      </c>
      <c r="F785" t="s">
        <v>4549</v>
      </c>
      <c r="G785" t="s">
        <v>4573</v>
      </c>
      <c r="H785" t="s">
        <v>4586</v>
      </c>
      <c r="I785" t="s">
        <v>4609</v>
      </c>
      <c r="J785">
        <v>10</v>
      </c>
      <c r="K785">
        <v>126.93</v>
      </c>
      <c r="L785">
        <v>0.1</v>
      </c>
      <c r="M785">
        <v>0</v>
      </c>
      <c r="N785" t="s">
        <v>5467</v>
      </c>
      <c r="O785" t="s">
        <v>5469</v>
      </c>
      <c r="P785" t="s">
        <v>5475</v>
      </c>
      <c r="Q785" s="4">
        <v>1142.3700000000001</v>
      </c>
    </row>
    <row r="786" spans="1:17" x14ac:dyDescent="0.3">
      <c r="A786" t="s">
        <v>784</v>
      </c>
      <c r="B786" t="s">
        <v>2130</v>
      </c>
      <c r="C786" s="1">
        <v>45354</v>
      </c>
      <c r="D786" t="s">
        <v>2769</v>
      </c>
      <c r="E786" t="s">
        <v>3968</v>
      </c>
      <c r="F786" t="s">
        <v>4566</v>
      </c>
      <c r="G786" t="s">
        <v>4577</v>
      </c>
      <c r="H786" t="s">
        <v>4587</v>
      </c>
      <c r="I786" t="s">
        <v>4600</v>
      </c>
      <c r="J786">
        <v>4</v>
      </c>
      <c r="K786">
        <v>12.68</v>
      </c>
      <c r="L786">
        <v>0</v>
      </c>
      <c r="M786">
        <v>8.67</v>
      </c>
      <c r="N786" t="s">
        <v>5467</v>
      </c>
      <c r="O786" t="s">
        <v>5473</v>
      </c>
      <c r="P786" t="s">
        <v>5477</v>
      </c>
      <c r="Q786" s="4">
        <v>50.72</v>
      </c>
    </row>
    <row r="787" spans="1:17" x14ac:dyDescent="0.3">
      <c r="A787" t="s">
        <v>785</v>
      </c>
      <c r="B787" t="s">
        <v>2131</v>
      </c>
      <c r="C787" s="1">
        <v>45321</v>
      </c>
      <c r="D787" t="s">
        <v>3086</v>
      </c>
      <c r="E787" t="s">
        <v>5481</v>
      </c>
      <c r="F787" t="s">
        <v>4569</v>
      </c>
      <c r="G787" t="s">
        <v>4572</v>
      </c>
      <c r="H787" t="s">
        <v>4586</v>
      </c>
      <c r="I787" t="s">
        <v>4609</v>
      </c>
      <c r="J787">
        <v>1</v>
      </c>
      <c r="K787">
        <v>129.03</v>
      </c>
      <c r="L787">
        <v>0</v>
      </c>
      <c r="M787">
        <v>11.57</v>
      </c>
      <c r="N787" t="s">
        <v>5462</v>
      </c>
      <c r="O787" t="s">
        <v>5471</v>
      </c>
      <c r="P787" t="s">
        <v>5477</v>
      </c>
      <c r="Q787" s="4">
        <v>129.03</v>
      </c>
    </row>
    <row r="788" spans="1:17" x14ac:dyDescent="0.3">
      <c r="A788" t="s">
        <v>786</v>
      </c>
      <c r="B788" t="s">
        <v>2132</v>
      </c>
      <c r="C788" s="1">
        <v>46020</v>
      </c>
      <c r="D788" t="s">
        <v>3087</v>
      </c>
      <c r="E788" t="s">
        <v>3969</v>
      </c>
      <c r="F788" t="s">
        <v>4569</v>
      </c>
      <c r="G788" t="s">
        <v>4572</v>
      </c>
      <c r="H788" t="s">
        <v>4587</v>
      </c>
      <c r="I788" t="s">
        <v>4600</v>
      </c>
      <c r="J788">
        <v>1</v>
      </c>
      <c r="K788">
        <v>13.55</v>
      </c>
      <c r="L788">
        <v>0.15</v>
      </c>
      <c r="M788">
        <v>0</v>
      </c>
      <c r="N788" t="s">
        <v>5463</v>
      </c>
      <c r="O788" t="s">
        <v>5471</v>
      </c>
      <c r="P788" t="s">
        <v>5477</v>
      </c>
      <c r="Q788" s="4">
        <v>11.5175</v>
      </c>
    </row>
    <row r="789" spans="1:17" x14ac:dyDescent="0.3">
      <c r="A789" t="s">
        <v>787</v>
      </c>
      <c r="B789" t="s">
        <v>2133</v>
      </c>
      <c r="C789" s="1">
        <v>45669</v>
      </c>
      <c r="D789" t="s">
        <v>2886</v>
      </c>
      <c r="E789" t="s">
        <v>3970</v>
      </c>
      <c r="F789" t="s">
        <v>4549</v>
      </c>
      <c r="G789" t="s">
        <v>4574</v>
      </c>
      <c r="H789" t="s">
        <v>4583</v>
      </c>
      <c r="I789" t="s">
        <v>4605</v>
      </c>
      <c r="J789">
        <v>1</v>
      </c>
      <c r="K789">
        <v>42.88</v>
      </c>
      <c r="L789">
        <v>0</v>
      </c>
      <c r="M789">
        <v>13.02</v>
      </c>
      <c r="N789" t="s">
        <v>5462</v>
      </c>
      <c r="O789" t="s">
        <v>5481</v>
      </c>
      <c r="P789" t="s">
        <v>5477</v>
      </c>
      <c r="Q789" s="4">
        <v>42.88</v>
      </c>
    </row>
    <row r="790" spans="1:17" x14ac:dyDescent="0.3">
      <c r="A790" t="s">
        <v>788</v>
      </c>
      <c r="B790" t="s">
        <v>2103</v>
      </c>
      <c r="C790" s="1">
        <v>45884</v>
      </c>
      <c r="D790" t="s">
        <v>3088</v>
      </c>
      <c r="E790" t="s">
        <v>3971</v>
      </c>
      <c r="F790" t="s">
        <v>4569</v>
      </c>
      <c r="G790" t="s">
        <v>4580</v>
      </c>
      <c r="H790" t="s">
        <v>4587</v>
      </c>
      <c r="I790" t="s">
        <v>4600</v>
      </c>
      <c r="J790">
        <v>2</v>
      </c>
      <c r="K790">
        <v>13.43</v>
      </c>
      <c r="L790">
        <v>0.1</v>
      </c>
      <c r="M790">
        <v>1.01</v>
      </c>
      <c r="N790" t="s">
        <v>5481</v>
      </c>
      <c r="O790" t="s">
        <v>5473</v>
      </c>
      <c r="P790" t="s">
        <v>5477</v>
      </c>
      <c r="Q790" s="4">
        <v>24.173999999999999</v>
      </c>
    </row>
    <row r="791" spans="1:17" x14ac:dyDescent="0.3">
      <c r="A791" t="s">
        <v>235</v>
      </c>
      <c r="B791" t="s">
        <v>1632</v>
      </c>
      <c r="C791" s="1">
        <v>46006</v>
      </c>
      <c r="D791" t="s">
        <v>2756</v>
      </c>
      <c r="E791" t="s">
        <v>3467</v>
      </c>
      <c r="F791" t="s">
        <v>4566</v>
      </c>
      <c r="G791" t="s">
        <v>4582</v>
      </c>
      <c r="H791" t="s">
        <v>4583</v>
      </c>
      <c r="I791" t="s">
        <v>4604</v>
      </c>
      <c r="J791">
        <v>1</v>
      </c>
      <c r="K791">
        <v>22.92</v>
      </c>
      <c r="L791">
        <v>0.05</v>
      </c>
      <c r="M791">
        <v>5.73</v>
      </c>
      <c r="N791" t="s">
        <v>5468</v>
      </c>
      <c r="O791" t="s">
        <v>5471</v>
      </c>
      <c r="P791" t="s">
        <v>5477</v>
      </c>
      <c r="Q791" s="4">
        <v>21.774000000000001</v>
      </c>
    </row>
    <row r="792" spans="1:17" x14ac:dyDescent="0.3">
      <c r="A792" t="s">
        <v>789</v>
      </c>
      <c r="B792" t="s">
        <v>2134</v>
      </c>
      <c r="C792" s="1">
        <v>45357</v>
      </c>
      <c r="D792" t="s">
        <v>3089</v>
      </c>
      <c r="E792" t="s">
        <v>3972</v>
      </c>
      <c r="F792" t="s">
        <v>4566</v>
      </c>
      <c r="G792" t="s">
        <v>4577</v>
      </c>
      <c r="H792" t="s">
        <v>5481</v>
      </c>
      <c r="I792" t="s">
        <v>4601</v>
      </c>
      <c r="J792">
        <v>3</v>
      </c>
      <c r="K792">
        <v>198.24</v>
      </c>
      <c r="L792">
        <v>0.05</v>
      </c>
      <c r="M792">
        <v>0.56000000000000005</v>
      </c>
      <c r="N792" t="s">
        <v>5466</v>
      </c>
      <c r="O792" t="s">
        <v>5473</v>
      </c>
      <c r="P792" t="s">
        <v>5475</v>
      </c>
      <c r="Q792" s="4">
        <v>564.98400000000004</v>
      </c>
    </row>
    <row r="793" spans="1:17" x14ac:dyDescent="0.3">
      <c r="A793" t="s">
        <v>790</v>
      </c>
      <c r="B793" t="s">
        <v>2135</v>
      </c>
      <c r="C793" s="1">
        <v>45820</v>
      </c>
      <c r="D793" t="s">
        <v>2735</v>
      </c>
      <c r="E793" t="s">
        <v>3973</v>
      </c>
      <c r="F793" t="s">
        <v>4549</v>
      </c>
      <c r="G793" t="s">
        <v>4573</v>
      </c>
      <c r="H793" t="s">
        <v>4586</v>
      </c>
      <c r="I793" t="s">
        <v>4593</v>
      </c>
      <c r="J793">
        <v>2</v>
      </c>
      <c r="K793">
        <v>109</v>
      </c>
      <c r="L793">
        <v>0.1</v>
      </c>
      <c r="M793">
        <v>14.99</v>
      </c>
      <c r="N793" t="s">
        <v>5466</v>
      </c>
      <c r="O793" t="s">
        <v>5472</v>
      </c>
      <c r="P793" t="s">
        <v>5477</v>
      </c>
      <c r="Q793" s="4">
        <v>196.20000000000002</v>
      </c>
    </row>
    <row r="794" spans="1:17" x14ac:dyDescent="0.3">
      <c r="A794" t="s">
        <v>791</v>
      </c>
      <c r="B794" t="s">
        <v>2136</v>
      </c>
      <c r="C794" s="1">
        <v>45488</v>
      </c>
      <c r="D794" t="s">
        <v>2826</v>
      </c>
      <c r="E794" t="s">
        <v>3974</v>
      </c>
      <c r="F794" t="s">
        <v>4549</v>
      </c>
      <c r="G794" t="s">
        <v>4573</v>
      </c>
      <c r="H794" t="s">
        <v>4583</v>
      </c>
      <c r="I794" t="s">
        <v>4605</v>
      </c>
      <c r="J794">
        <v>10</v>
      </c>
      <c r="K794">
        <v>45.66</v>
      </c>
      <c r="L794">
        <v>0.15</v>
      </c>
      <c r="M794">
        <v>4.4400000000000004</v>
      </c>
      <c r="N794" t="s">
        <v>5466</v>
      </c>
      <c r="O794" t="s">
        <v>5470</v>
      </c>
      <c r="P794" t="s">
        <v>5477</v>
      </c>
      <c r="Q794" s="4">
        <v>388.10999999999996</v>
      </c>
    </row>
    <row r="795" spans="1:17" x14ac:dyDescent="0.3">
      <c r="A795" t="s">
        <v>792</v>
      </c>
      <c r="B795" t="s">
        <v>2137</v>
      </c>
      <c r="C795" s="1">
        <v>45578</v>
      </c>
      <c r="D795" t="s">
        <v>2764</v>
      </c>
      <c r="E795" t="s">
        <v>3975</v>
      </c>
      <c r="F795" t="s">
        <v>4566</v>
      </c>
      <c r="G795" t="s">
        <v>4582</v>
      </c>
      <c r="H795" t="s">
        <v>4586</v>
      </c>
      <c r="I795" t="s">
        <v>4609</v>
      </c>
      <c r="J795">
        <v>1</v>
      </c>
      <c r="K795">
        <v>128.47999999999999</v>
      </c>
      <c r="L795">
        <v>0.1</v>
      </c>
      <c r="M795">
        <v>0</v>
      </c>
      <c r="N795" t="s">
        <v>5464</v>
      </c>
      <c r="O795" t="s">
        <v>5474</v>
      </c>
      <c r="P795" t="s">
        <v>5479</v>
      </c>
      <c r="Q795" s="4">
        <v>115.63199999999999</v>
      </c>
    </row>
    <row r="796" spans="1:17" x14ac:dyDescent="0.3">
      <c r="A796" t="s">
        <v>793</v>
      </c>
      <c r="B796" t="s">
        <v>2138</v>
      </c>
      <c r="C796" s="1">
        <v>45877</v>
      </c>
      <c r="D796" t="s">
        <v>3090</v>
      </c>
      <c r="E796" t="s">
        <v>3976</v>
      </c>
      <c r="F796" t="s">
        <v>4549</v>
      </c>
      <c r="G796" t="s">
        <v>4574</v>
      </c>
      <c r="H796" t="s">
        <v>4583</v>
      </c>
      <c r="I796" t="s">
        <v>4605</v>
      </c>
      <c r="J796">
        <v>1</v>
      </c>
      <c r="K796">
        <v>44.45</v>
      </c>
      <c r="L796">
        <v>0</v>
      </c>
      <c r="N796" t="s">
        <v>5467</v>
      </c>
      <c r="O796" t="s">
        <v>5474</v>
      </c>
      <c r="P796" t="s">
        <v>5477</v>
      </c>
      <c r="Q796" s="4">
        <v>44.45</v>
      </c>
    </row>
    <row r="797" spans="1:17" x14ac:dyDescent="0.3">
      <c r="A797" t="s">
        <v>794</v>
      </c>
      <c r="B797" t="s">
        <v>1875</v>
      </c>
      <c r="C797" s="1">
        <v>45422</v>
      </c>
      <c r="D797" t="s">
        <v>2998</v>
      </c>
      <c r="E797" t="s">
        <v>3977</v>
      </c>
      <c r="F797" t="s">
        <v>4566</v>
      </c>
      <c r="G797" t="s">
        <v>4577</v>
      </c>
      <c r="H797" t="s">
        <v>4586</v>
      </c>
      <c r="I797" t="s">
        <v>4599</v>
      </c>
      <c r="J797">
        <v>1</v>
      </c>
      <c r="K797">
        <v>239.51</v>
      </c>
      <c r="L797">
        <v>0.05</v>
      </c>
      <c r="M797">
        <v>0</v>
      </c>
      <c r="N797" t="s">
        <v>5468</v>
      </c>
      <c r="O797" t="s">
        <v>5481</v>
      </c>
      <c r="P797" t="s">
        <v>5477</v>
      </c>
      <c r="Q797" s="4">
        <v>227.53449999999998</v>
      </c>
    </row>
    <row r="798" spans="1:17" x14ac:dyDescent="0.3">
      <c r="A798" t="s">
        <v>795</v>
      </c>
      <c r="B798" t="s">
        <v>1869</v>
      </c>
      <c r="C798" s="1">
        <v>45756</v>
      </c>
      <c r="D798" t="s">
        <v>3091</v>
      </c>
      <c r="E798" t="s">
        <v>3978</v>
      </c>
      <c r="F798" t="s">
        <v>4564</v>
      </c>
      <c r="G798" t="s">
        <v>4573</v>
      </c>
      <c r="H798" t="s">
        <v>4587</v>
      </c>
      <c r="I798" t="s">
        <v>4606</v>
      </c>
      <c r="J798">
        <v>3</v>
      </c>
      <c r="K798">
        <v>29.41</v>
      </c>
      <c r="L798">
        <v>0.05</v>
      </c>
      <c r="M798">
        <v>1.81</v>
      </c>
      <c r="N798" t="s">
        <v>5463</v>
      </c>
      <c r="O798" t="s">
        <v>5472</v>
      </c>
      <c r="P798" t="s">
        <v>5477</v>
      </c>
      <c r="Q798" s="4">
        <v>83.8185</v>
      </c>
    </row>
    <row r="799" spans="1:17" x14ac:dyDescent="0.3">
      <c r="A799" t="s">
        <v>796</v>
      </c>
      <c r="B799" t="s">
        <v>1570</v>
      </c>
      <c r="C799" s="1">
        <v>45542</v>
      </c>
      <c r="D799" t="s">
        <v>3104</v>
      </c>
      <c r="E799" t="s">
        <v>3979</v>
      </c>
      <c r="F799" t="s">
        <v>4566</v>
      </c>
      <c r="G799" t="s">
        <v>4573</v>
      </c>
      <c r="H799" t="s">
        <v>4585</v>
      </c>
      <c r="I799" t="s">
        <v>4590</v>
      </c>
      <c r="J799">
        <v>1</v>
      </c>
      <c r="K799">
        <v>13.5</v>
      </c>
      <c r="L799">
        <v>0.1</v>
      </c>
      <c r="M799">
        <v>3.06</v>
      </c>
      <c r="N799" t="s">
        <v>5481</v>
      </c>
      <c r="O799" t="s">
        <v>5472</v>
      </c>
      <c r="P799" t="s">
        <v>5477</v>
      </c>
      <c r="Q799" s="4">
        <v>12.15</v>
      </c>
    </row>
    <row r="800" spans="1:17" x14ac:dyDescent="0.3">
      <c r="A800" t="s">
        <v>797</v>
      </c>
      <c r="B800" t="s">
        <v>2139</v>
      </c>
      <c r="C800" s="1">
        <v>45365</v>
      </c>
      <c r="D800" t="s">
        <v>2769</v>
      </c>
      <c r="E800" t="s">
        <v>3980</v>
      </c>
      <c r="F800" t="s">
        <v>4566</v>
      </c>
      <c r="G800" t="s">
        <v>4573</v>
      </c>
      <c r="H800" t="s">
        <v>4587</v>
      </c>
      <c r="I800" t="s">
        <v>4594</v>
      </c>
      <c r="J800">
        <v>1</v>
      </c>
      <c r="K800">
        <v>58.78</v>
      </c>
      <c r="L800">
        <v>0</v>
      </c>
      <c r="M800">
        <v>10.45</v>
      </c>
      <c r="N800" t="s">
        <v>5463</v>
      </c>
      <c r="O800" t="s">
        <v>5471</v>
      </c>
      <c r="P800" t="s">
        <v>5477</v>
      </c>
      <c r="Q800" s="4">
        <v>58.78</v>
      </c>
    </row>
    <row r="801" spans="1:17" x14ac:dyDescent="0.3">
      <c r="A801" t="s">
        <v>798</v>
      </c>
      <c r="B801" t="s">
        <v>2140</v>
      </c>
      <c r="C801" s="1">
        <v>45801</v>
      </c>
      <c r="D801" t="s">
        <v>2798</v>
      </c>
      <c r="E801" t="s">
        <v>3981</v>
      </c>
      <c r="F801" t="s">
        <v>4565</v>
      </c>
      <c r="G801" t="s">
        <v>4575</v>
      </c>
      <c r="H801" t="s">
        <v>4586</v>
      </c>
      <c r="I801" t="s">
        <v>4593</v>
      </c>
      <c r="J801">
        <v>2</v>
      </c>
      <c r="K801">
        <v>107.63</v>
      </c>
      <c r="L801">
        <v>0.1</v>
      </c>
      <c r="M801">
        <v>0.54</v>
      </c>
      <c r="N801" t="s">
        <v>5481</v>
      </c>
      <c r="O801" t="s">
        <v>5469</v>
      </c>
      <c r="P801" t="s">
        <v>5477</v>
      </c>
      <c r="Q801" s="4">
        <v>193.73400000000001</v>
      </c>
    </row>
    <row r="802" spans="1:17" x14ac:dyDescent="0.3">
      <c r="A802" t="s">
        <v>799</v>
      </c>
      <c r="B802" t="s">
        <v>2141</v>
      </c>
      <c r="C802" s="1">
        <v>45652</v>
      </c>
      <c r="D802" t="s">
        <v>2944</v>
      </c>
      <c r="E802" t="s">
        <v>3982</v>
      </c>
      <c r="F802" t="s">
        <v>4564</v>
      </c>
      <c r="G802" t="s">
        <v>4578</v>
      </c>
      <c r="H802" t="s">
        <v>4587</v>
      </c>
      <c r="I802" t="s">
        <v>4596</v>
      </c>
      <c r="J802">
        <v>3</v>
      </c>
      <c r="K802">
        <v>14.36</v>
      </c>
      <c r="L802">
        <v>0.05</v>
      </c>
      <c r="M802">
        <v>9.3699999999999992</v>
      </c>
      <c r="N802" t="s">
        <v>5467</v>
      </c>
      <c r="O802" t="s">
        <v>5469</v>
      </c>
      <c r="P802" t="s">
        <v>5476</v>
      </c>
      <c r="Q802" s="4">
        <v>40.925999999999995</v>
      </c>
    </row>
    <row r="803" spans="1:17" x14ac:dyDescent="0.3">
      <c r="A803" t="s">
        <v>800</v>
      </c>
      <c r="B803" t="s">
        <v>2142</v>
      </c>
      <c r="C803" s="1">
        <v>45827</v>
      </c>
      <c r="D803" t="s">
        <v>2930</v>
      </c>
      <c r="E803" t="s">
        <v>3983</v>
      </c>
      <c r="F803" t="s">
        <v>4569</v>
      </c>
      <c r="G803" t="s">
        <v>4581</v>
      </c>
      <c r="H803" t="s">
        <v>5481</v>
      </c>
      <c r="I803" t="s">
        <v>4588</v>
      </c>
      <c r="J803">
        <v>1</v>
      </c>
      <c r="K803">
        <v>41.82</v>
      </c>
      <c r="L803">
        <v>0.15</v>
      </c>
      <c r="M803">
        <v>13.77</v>
      </c>
      <c r="N803" t="s">
        <v>5468</v>
      </c>
      <c r="O803" t="s">
        <v>5473</v>
      </c>
      <c r="P803" t="s">
        <v>5475</v>
      </c>
      <c r="Q803" s="4">
        <v>35.546999999999997</v>
      </c>
    </row>
    <row r="804" spans="1:17" x14ac:dyDescent="0.3">
      <c r="A804" t="s">
        <v>801</v>
      </c>
      <c r="B804" t="s">
        <v>2143</v>
      </c>
      <c r="C804" s="1">
        <v>45543</v>
      </c>
      <c r="D804" t="s">
        <v>2857</v>
      </c>
      <c r="E804" t="s">
        <v>3984</v>
      </c>
      <c r="F804" t="s">
        <v>4565</v>
      </c>
      <c r="G804" t="s">
        <v>4575</v>
      </c>
      <c r="H804" t="s">
        <v>4586</v>
      </c>
      <c r="I804" t="s">
        <v>4599</v>
      </c>
      <c r="J804">
        <v>1</v>
      </c>
      <c r="K804">
        <v>243.81</v>
      </c>
      <c r="L804">
        <v>0.05</v>
      </c>
      <c r="M804">
        <v>0.36</v>
      </c>
      <c r="N804" t="s">
        <v>5465</v>
      </c>
      <c r="O804" t="s">
        <v>5471</v>
      </c>
      <c r="P804" t="s">
        <v>5477</v>
      </c>
      <c r="Q804" s="4">
        <v>231.61949999999999</v>
      </c>
    </row>
    <row r="805" spans="1:17" x14ac:dyDescent="0.3">
      <c r="A805" t="s">
        <v>802</v>
      </c>
      <c r="B805" t="s">
        <v>2072</v>
      </c>
      <c r="C805" s="1">
        <v>46006</v>
      </c>
      <c r="D805" t="s">
        <v>3040</v>
      </c>
      <c r="E805" t="s">
        <v>3985</v>
      </c>
      <c r="F805" t="s">
        <v>4565</v>
      </c>
      <c r="G805" t="s">
        <v>4579</v>
      </c>
      <c r="H805" t="s">
        <v>4585</v>
      </c>
      <c r="I805" t="s">
        <v>4591</v>
      </c>
      <c r="J805">
        <v>3</v>
      </c>
      <c r="K805">
        <v>7.88</v>
      </c>
      <c r="L805">
        <v>0.15</v>
      </c>
      <c r="M805">
        <v>2.8</v>
      </c>
      <c r="N805" t="s">
        <v>5467</v>
      </c>
      <c r="O805" t="s">
        <v>5481</v>
      </c>
      <c r="P805" t="s">
        <v>5476</v>
      </c>
      <c r="Q805" s="4">
        <v>20.094000000000001</v>
      </c>
    </row>
    <row r="806" spans="1:17" x14ac:dyDescent="0.3">
      <c r="A806" t="s">
        <v>488</v>
      </c>
      <c r="B806" t="s">
        <v>1869</v>
      </c>
      <c r="C806" s="1">
        <v>45756</v>
      </c>
      <c r="D806" t="s">
        <v>2958</v>
      </c>
      <c r="E806" t="s">
        <v>3699</v>
      </c>
      <c r="F806" t="s">
        <v>4566</v>
      </c>
      <c r="G806" t="s">
        <v>4577</v>
      </c>
      <c r="H806" t="s">
        <v>4586</v>
      </c>
      <c r="I806" t="s">
        <v>4593</v>
      </c>
      <c r="J806">
        <v>3</v>
      </c>
      <c r="K806">
        <v>112.92</v>
      </c>
      <c r="L806">
        <v>0</v>
      </c>
      <c r="M806">
        <v>0</v>
      </c>
      <c r="N806" t="s">
        <v>5468</v>
      </c>
      <c r="O806" t="s">
        <v>5481</v>
      </c>
      <c r="P806" t="s">
        <v>5477</v>
      </c>
      <c r="Q806" s="4">
        <v>338.76</v>
      </c>
    </row>
    <row r="807" spans="1:17" x14ac:dyDescent="0.3">
      <c r="A807" t="s">
        <v>803</v>
      </c>
      <c r="B807" t="s">
        <v>2144</v>
      </c>
      <c r="C807" s="1">
        <v>46012</v>
      </c>
      <c r="D807" t="s">
        <v>3093</v>
      </c>
      <c r="E807" t="s">
        <v>3986</v>
      </c>
      <c r="F807" t="s">
        <v>4565</v>
      </c>
      <c r="G807" t="s">
        <v>4576</v>
      </c>
      <c r="H807" t="s">
        <v>4586</v>
      </c>
      <c r="I807" t="s">
        <v>4593</v>
      </c>
      <c r="J807">
        <v>2</v>
      </c>
      <c r="K807">
        <v>107.96</v>
      </c>
      <c r="L807">
        <v>0</v>
      </c>
      <c r="M807">
        <v>4.28</v>
      </c>
      <c r="N807" t="s">
        <v>5481</v>
      </c>
      <c r="O807" t="s">
        <v>5474</v>
      </c>
      <c r="P807" t="s">
        <v>5477</v>
      </c>
      <c r="Q807" s="4">
        <v>215.92</v>
      </c>
    </row>
    <row r="808" spans="1:17" x14ac:dyDescent="0.3">
      <c r="A808" t="s">
        <v>804</v>
      </c>
      <c r="B808" t="s">
        <v>2145</v>
      </c>
      <c r="C808" s="1">
        <v>45994</v>
      </c>
      <c r="D808" t="s">
        <v>2631</v>
      </c>
      <c r="E808" t="s">
        <v>3987</v>
      </c>
      <c r="F808" t="s">
        <v>4565</v>
      </c>
      <c r="G808" t="s">
        <v>4576</v>
      </c>
      <c r="H808" t="s">
        <v>4587</v>
      </c>
      <c r="I808" t="s">
        <v>4596</v>
      </c>
      <c r="J808">
        <v>3</v>
      </c>
      <c r="K808">
        <v>14.8</v>
      </c>
      <c r="L808">
        <v>0.1</v>
      </c>
      <c r="M808">
        <v>2.2200000000000002</v>
      </c>
      <c r="N808" t="s">
        <v>5468</v>
      </c>
      <c r="O808" t="s">
        <v>5481</v>
      </c>
      <c r="P808" t="s">
        <v>5477</v>
      </c>
      <c r="Q808" s="4">
        <v>39.960000000000008</v>
      </c>
    </row>
    <row r="809" spans="1:17" x14ac:dyDescent="0.3">
      <c r="A809" t="s">
        <v>805</v>
      </c>
      <c r="B809" t="s">
        <v>2146</v>
      </c>
      <c r="C809" s="1">
        <v>45440</v>
      </c>
      <c r="D809" t="s">
        <v>2718</v>
      </c>
      <c r="E809" t="s">
        <v>3988</v>
      </c>
      <c r="F809" t="s">
        <v>4565</v>
      </c>
      <c r="G809" t="s">
        <v>4579</v>
      </c>
      <c r="H809" t="s">
        <v>4583</v>
      </c>
      <c r="I809" t="s">
        <v>4588</v>
      </c>
      <c r="J809">
        <v>3</v>
      </c>
      <c r="K809">
        <v>38.700000000000003</v>
      </c>
      <c r="L809">
        <v>0.15</v>
      </c>
      <c r="M809">
        <v>11.13</v>
      </c>
      <c r="N809" t="s">
        <v>5465</v>
      </c>
      <c r="O809" t="s">
        <v>5470</v>
      </c>
      <c r="P809" t="s">
        <v>5477</v>
      </c>
      <c r="Q809" s="4">
        <v>98.685000000000002</v>
      </c>
    </row>
    <row r="810" spans="1:17" x14ac:dyDescent="0.3">
      <c r="A810" t="s">
        <v>330</v>
      </c>
      <c r="B810" t="s">
        <v>1723</v>
      </c>
      <c r="C810" s="1">
        <v>45691</v>
      </c>
      <c r="D810" t="s">
        <v>2744</v>
      </c>
      <c r="E810" t="s">
        <v>3556</v>
      </c>
      <c r="F810" t="s">
        <v>4566</v>
      </c>
      <c r="G810" t="s">
        <v>4573</v>
      </c>
      <c r="H810" t="s">
        <v>4587</v>
      </c>
      <c r="I810" t="s">
        <v>4606</v>
      </c>
      <c r="J810">
        <v>10</v>
      </c>
      <c r="K810">
        <v>29.59</v>
      </c>
      <c r="L810">
        <v>0.1</v>
      </c>
      <c r="M810">
        <v>5.32</v>
      </c>
      <c r="N810" t="s">
        <v>5465</v>
      </c>
      <c r="O810" t="s">
        <v>5481</v>
      </c>
      <c r="P810" t="s">
        <v>5479</v>
      </c>
      <c r="Q810" s="4">
        <v>266.31</v>
      </c>
    </row>
    <row r="811" spans="1:17" x14ac:dyDescent="0.3">
      <c r="A811" t="s">
        <v>806</v>
      </c>
      <c r="B811" t="s">
        <v>2147</v>
      </c>
      <c r="C811" s="1">
        <v>45773</v>
      </c>
      <c r="D811" t="s">
        <v>2766</v>
      </c>
      <c r="E811" t="s">
        <v>3989</v>
      </c>
      <c r="F811" t="s">
        <v>4564</v>
      </c>
      <c r="G811" t="s">
        <v>4578</v>
      </c>
      <c r="H811" t="s">
        <v>4585</v>
      </c>
      <c r="I811" t="s">
        <v>4590</v>
      </c>
      <c r="J811">
        <v>1</v>
      </c>
      <c r="K811">
        <v>14.23</v>
      </c>
      <c r="L811">
        <v>0</v>
      </c>
      <c r="M811">
        <v>11</v>
      </c>
      <c r="N811" t="s">
        <v>5462</v>
      </c>
      <c r="O811" t="s">
        <v>5474</v>
      </c>
      <c r="P811" t="s">
        <v>5477</v>
      </c>
      <c r="Q811" s="4">
        <v>14.23</v>
      </c>
    </row>
    <row r="812" spans="1:17" x14ac:dyDescent="0.3">
      <c r="A812" t="s">
        <v>807</v>
      </c>
      <c r="B812" t="s">
        <v>2148</v>
      </c>
      <c r="C812" s="1">
        <v>45609</v>
      </c>
      <c r="D812" t="s">
        <v>3039</v>
      </c>
      <c r="E812" t="s">
        <v>3990</v>
      </c>
      <c r="F812" t="s">
        <v>4565</v>
      </c>
      <c r="G812" t="s">
        <v>4576</v>
      </c>
      <c r="H812" t="s">
        <v>4586</v>
      </c>
      <c r="I812" t="s">
        <v>4609</v>
      </c>
      <c r="J812">
        <v>4</v>
      </c>
      <c r="K812">
        <v>126.8</v>
      </c>
      <c r="L812">
        <v>0.1</v>
      </c>
      <c r="M812">
        <v>1.93</v>
      </c>
      <c r="N812" t="s">
        <v>5466</v>
      </c>
      <c r="O812" t="s">
        <v>5472</v>
      </c>
      <c r="P812" t="s">
        <v>5477</v>
      </c>
      <c r="Q812" s="4">
        <v>456.48</v>
      </c>
    </row>
    <row r="813" spans="1:17" x14ac:dyDescent="0.3">
      <c r="A813" t="s">
        <v>808</v>
      </c>
      <c r="B813" t="s">
        <v>2149</v>
      </c>
      <c r="C813" s="1">
        <v>45449</v>
      </c>
      <c r="D813" t="s">
        <v>2796</v>
      </c>
      <c r="E813" t="s">
        <v>3991</v>
      </c>
      <c r="F813" t="s">
        <v>4569</v>
      </c>
      <c r="G813" t="s">
        <v>4572</v>
      </c>
      <c r="H813" t="s">
        <v>4585</v>
      </c>
      <c r="I813" t="s">
        <v>4598</v>
      </c>
      <c r="J813">
        <v>1</v>
      </c>
      <c r="K813">
        <v>3.15</v>
      </c>
      <c r="L813">
        <v>0.1</v>
      </c>
      <c r="M813">
        <v>6.91</v>
      </c>
      <c r="N813" t="s">
        <v>5465</v>
      </c>
      <c r="O813" t="s">
        <v>5470</v>
      </c>
      <c r="P813" t="s">
        <v>5477</v>
      </c>
      <c r="Q813" s="4">
        <v>2.835</v>
      </c>
    </row>
    <row r="814" spans="1:17" x14ac:dyDescent="0.3">
      <c r="A814" t="s">
        <v>809</v>
      </c>
      <c r="B814" t="s">
        <v>2150</v>
      </c>
      <c r="C814" s="1">
        <v>45618</v>
      </c>
      <c r="D814" t="s">
        <v>2840</v>
      </c>
      <c r="E814" t="s">
        <v>3992</v>
      </c>
      <c r="F814" t="s">
        <v>4564</v>
      </c>
      <c r="G814" t="s">
        <v>4578</v>
      </c>
      <c r="H814" t="s">
        <v>4587</v>
      </c>
      <c r="I814" t="s">
        <v>4600</v>
      </c>
      <c r="J814">
        <v>2</v>
      </c>
      <c r="K814">
        <v>12.36</v>
      </c>
      <c r="L814">
        <v>0.05</v>
      </c>
      <c r="M814">
        <v>1.28</v>
      </c>
      <c r="N814" t="s">
        <v>5467</v>
      </c>
      <c r="O814" t="s">
        <v>5481</v>
      </c>
      <c r="P814" t="s">
        <v>5477</v>
      </c>
      <c r="Q814" s="4">
        <v>23.483999999999998</v>
      </c>
    </row>
    <row r="815" spans="1:17" x14ac:dyDescent="0.3">
      <c r="A815" t="s">
        <v>810</v>
      </c>
      <c r="B815" t="s">
        <v>2151</v>
      </c>
      <c r="C815" s="1">
        <v>45795</v>
      </c>
      <c r="D815" t="s">
        <v>3075</v>
      </c>
      <c r="E815" t="s">
        <v>3993</v>
      </c>
      <c r="F815" t="s">
        <v>4565</v>
      </c>
      <c r="G815" t="s">
        <v>4575</v>
      </c>
      <c r="H815" t="s">
        <v>4584</v>
      </c>
      <c r="I815" t="s">
        <v>4589</v>
      </c>
      <c r="J815">
        <v>1</v>
      </c>
      <c r="K815">
        <v>34.5</v>
      </c>
      <c r="L815">
        <v>0</v>
      </c>
      <c r="M815">
        <v>0.75</v>
      </c>
      <c r="N815" t="s">
        <v>5463</v>
      </c>
      <c r="O815" t="s">
        <v>5471</v>
      </c>
      <c r="P815" t="s">
        <v>5477</v>
      </c>
      <c r="Q815" s="4">
        <v>34.5</v>
      </c>
    </row>
    <row r="816" spans="1:17" x14ac:dyDescent="0.3">
      <c r="A816" t="s">
        <v>811</v>
      </c>
      <c r="B816" t="s">
        <v>2152</v>
      </c>
      <c r="C816" s="1">
        <v>45315</v>
      </c>
      <c r="D816" t="s">
        <v>2887</v>
      </c>
      <c r="E816" t="s">
        <v>3994</v>
      </c>
      <c r="F816" t="s">
        <v>4564</v>
      </c>
      <c r="G816" t="s">
        <v>4578</v>
      </c>
      <c r="H816" t="s">
        <v>4585</v>
      </c>
      <c r="I816" t="s">
        <v>4598</v>
      </c>
      <c r="J816">
        <v>1</v>
      </c>
      <c r="K816">
        <v>3.24</v>
      </c>
      <c r="L816">
        <v>0</v>
      </c>
      <c r="M816">
        <v>8.1199999999999992</v>
      </c>
      <c r="N816" t="s">
        <v>5464</v>
      </c>
      <c r="O816" t="s">
        <v>5473</v>
      </c>
      <c r="P816" t="s">
        <v>5475</v>
      </c>
      <c r="Q816" s="4">
        <v>3.24</v>
      </c>
    </row>
    <row r="817" spans="1:17" x14ac:dyDescent="0.3">
      <c r="A817" t="s">
        <v>812</v>
      </c>
      <c r="B817" t="s">
        <v>2153</v>
      </c>
      <c r="C817" s="1">
        <v>45557</v>
      </c>
      <c r="D817" t="s">
        <v>2651</v>
      </c>
      <c r="E817" t="s">
        <v>3995</v>
      </c>
      <c r="F817" t="s">
        <v>4566</v>
      </c>
      <c r="G817" t="s">
        <v>4577</v>
      </c>
      <c r="H817" t="s">
        <v>4586</v>
      </c>
      <c r="I817" t="s">
        <v>4597</v>
      </c>
      <c r="J817">
        <v>2</v>
      </c>
      <c r="K817">
        <v>92.61</v>
      </c>
      <c r="L817">
        <v>0</v>
      </c>
      <c r="M817">
        <v>0.35</v>
      </c>
      <c r="N817" t="s">
        <v>5466</v>
      </c>
      <c r="O817" t="s">
        <v>5471</v>
      </c>
      <c r="P817" t="s">
        <v>5476</v>
      </c>
      <c r="Q817" s="4">
        <v>185.22</v>
      </c>
    </row>
    <row r="818" spans="1:17" x14ac:dyDescent="0.3">
      <c r="A818" t="s">
        <v>813</v>
      </c>
      <c r="B818" t="s">
        <v>2154</v>
      </c>
      <c r="C818" s="1">
        <v>45542</v>
      </c>
      <c r="D818" t="s">
        <v>3082</v>
      </c>
      <c r="E818" t="s">
        <v>3996</v>
      </c>
      <c r="F818" t="s">
        <v>4566</v>
      </c>
      <c r="G818" t="s">
        <v>4582</v>
      </c>
      <c r="H818" t="s">
        <v>5481</v>
      </c>
      <c r="I818" t="s">
        <v>4592</v>
      </c>
      <c r="J818">
        <v>1</v>
      </c>
      <c r="K818">
        <v>6.24</v>
      </c>
      <c r="L818">
        <v>0</v>
      </c>
      <c r="M818">
        <v>7.33</v>
      </c>
      <c r="N818" t="s">
        <v>5464</v>
      </c>
      <c r="O818" t="s">
        <v>5471</v>
      </c>
      <c r="P818" t="s">
        <v>5476</v>
      </c>
      <c r="Q818" s="4">
        <v>6.24</v>
      </c>
    </row>
    <row r="819" spans="1:17" x14ac:dyDescent="0.3">
      <c r="A819" t="s">
        <v>814</v>
      </c>
      <c r="B819" t="s">
        <v>2097</v>
      </c>
      <c r="C819" s="1">
        <v>45659</v>
      </c>
      <c r="D819" t="s">
        <v>2910</v>
      </c>
      <c r="E819" t="s">
        <v>3997</v>
      </c>
      <c r="F819" t="s">
        <v>4565</v>
      </c>
      <c r="G819" t="s">
        <v>4579</v>
      </c>
      <c r="H819" t="s">
        <v>4584</v>
      </c>
      <c r="I819" t="s">
        <v>4595</v>
      </c>
      <c r="J819">
        <v>1</v>
      </c>
      <c r="K819">
        <v>43.93</v>
      </c>
      <c r="L819">
        <v>0</v>
      </c>
      <c r="M819">
        <v>9.91</v>
      </c>
      <c r="N819" t="s">
        <v>5466</v>
      </c>
      <c r="O819" t="s">
        <v>5481</v>
      </c>
      <c r="P819" t="s">
        <v>5477</v>
      </c>
      <c r="Q819" s="4">
        <v>43.93</v>
      </c>
    </row>
    <row r="820" spans="1:17" x14ac:dyDescent="0.3">
      <c r="A820" t="s">
        <v>815</v>
      </c>
      <c r="B820" t="s">
        <v>2155</v>
      </c>
      <c r="C820" s="1">
        <v>45425</v>
      </c>
      <c r="D820" t="s">
        <v>2997</v>
      </c>
      <c r="E820" t="s">
        <v>3998</v>
      </c>
      <c r="F820" t="s">
        <v>4566</v>
      </c>
      <c r="G820" t="s">
        <v>4582</v>
      </c>
      <c r="H820" t="s">
        <v>4586</v>
      </c>
      <c r="I820" t="s">
        <v>4609</v>
      </c>
      <c r="J820">
        <v>5</v>
      </c>
      <c r="K820">
        <v>128.11000000000001</v>
      </c>
      <c r="L820">
        <v>0.15</v>
      </c>
      <c r="M820">
        <v>5.42</v>
      </c>
      <c r="N820" t="s">
        <v>5465</v>
      </c>
      <c r="O820" t="s">
        <v>5474</v>
      </c>
      <c r="P820" t="s">
        <v>5479</v>
      </c>
      <c r="Q820" s="4">
        <v>544.46750000000009</v>
      </c>
    </row>
    <row r="821" spans="1:17" x14ac:dyDescent="0.3">
      <c r="A821" t="s">
        <v>816</v>
      </c>
      <c r="B821" t="s">
        <v>2156</v>
      </c>
      <c r="C821" s="1">
        <v>45582</v>
      </c>
      <c r="D821" t="s">
        <v>2944</v>
      </c>
      <c r="E821" t="s">
        <v>3999</v>
      </c>
      <c r="F821" t="s">
        <v>4549</v>
      </c>
      <c r="G821" t="s">
        <v>4574</v>
      </c>
      <c r="H821" t="s">
        <v>4585</v>
      </c>
      <c r="I821" t="s">
        <v>4602</v>
      </c>
      <c r="J821">
        <v>1</v>
      </c>
      <c r="K821">
        <v>4.1500000000000004</v>
      </c>
      <c r="L821">
        <v>0</v>
      </c>
      <c r="M821">
        <v>4.67</v>
      </c>
      <c r="N821" t="s">
        <v>5465</v>
      </c>
      <c r="O821" t="s">
        <v>5470</v>
      </c>
      <c r="P821" t="s">
        <v>5477</v>
      </c>
      <c r="Q821" s="4">
        <v>4.1500000000000004</v>
      </c>
    </row>
    <row r="822" spans="1:17" x14ac:dyDescent="0.3">
      <c r="A822" t="s">
        <v>817</v>
      </c>
      <c r="B822" t="s">
        <v>2157</v>
      </c>
      <c r="C822" s="1">
        <v>45375</v>
      </c>
      <c r="D822" t="s">
        <v>2980</v>
      </c>
      <c r="E822" t="s">
        <v>4000</v>
      </c>
      <c r="F822" t="s">
        <v>4566</v>
      </c>
      <c r="G822" t="s">
        <v>4582</v>
      </c>
      <c r="H822" t="s">
        <v>4586</v>
      </c>
      <c r="I822" t="s">
        <v>4599</v>
      </c>
      <c r="J822">
        <v>10</v>
      </c>
      <c r="K822">
        <v>259.95999999999998</v>
      </c>
      <c r="L822">
        <v>0</v>
      </c>
      <c r="M822">
        <v>9.66</v>
      </c>
      <c r="N822" t="s">
        <v>5462</v>
      </c>
      <c r="O822" t="s">
        <v>5473</v>
      </c>
      <c r="P822" t="s">
        <v>5477</v>
      </c>
      <c r="Q822" s="4">
        <v>2599.6</v>
      </c>
    </row>
    <row r="823" spans="1:17" x14ac:dyDescent="0.3">
      <c r="A823" t="s">
        <v>818</v>
      </c>
      <c r="B823" t="s">
        <v>2158</v>
      </c>
      <c r="C823" s="1">
        <v>45856</v>
      </c>
      <c r="D823" t="s">
        <v>2763</v>
      </c>
      <c r="E823" t="s">
        <v>4001</v>
      </c>
      <c r="F823" t="s">
        <v>4569</v>
      </c>
      <c r="G823" t="s">
        <v>4572</v>
      </c>
      <c r="H823" t="s">
        <v>4584</v>
      </c>
      <c r="I823" t="s">
        <v>4595</v>
      </c>
      <c r="J823">
        <v>1</v>
      </c>
      <c r="K823">
        <v>43.52</v>
      </c>
      <c r="L823">
        <v>0</v>
      </c>
      <c r="M823">
        <v>9.3699999999999992</v>
      </c>
      <c r="N823" t="s">
        <v>5467</v>
      </c>
      <c r="O823" t="s">
        <v>5481</v>
      </c>
      <c r="P823" t="s">
        <v>5475</v>
      </c>
      <c r="Q823" s="4">
        <v>43.52</v>
      </c>
    </row>
    <row r="824" spans="1:17" x14ac:dyDescent="0.3">
      <c r="A824" t="s">
        <v>819</v>
      </c>
      <c r="B824" t="s">
        <v>2159</v>
      </c>
      <c r="C824" s="1">
        <v>45409</v>
      </c>
      <c r="D824" t="s">
        <v>3016</v>
      </c>
      <c r="E824" t="s">
        <v>4002</v>
      </c>
      <c r="F824" t="s">
        <v>4549</v>
      </c>
      <c r="G824" t="s">
        <v>4574</v>
      </c>
      <c r="H824" t="s">
        <v>4585</v>
      </c>
      <c r="I824" t="s">
        <v>4592</v>
      </c>
      <c r="J824">
        <v>2</v>
      </c>
      <c r="K824">
        <v>6.34</v>
      </c>
      <c r="L824">
        <v>0.15</v>
      </c>
      <c r="M824">
        <v>11.4</v>
      </c>
      <c r="N824" t="s">
        <v>5467</v>
      </c>
      <c r="O824" t="s">
        <v>5473</v>
      </c>
      <c r="P824" t="s">
        <v>5477</v>
      </c>
      <c r="Q824" s="4">
        <v>10.777999999999999</v>
      </c>
    </row>
    <row r="825" spans="1:17" x14ac:dyDescent="0.3">
      <c r="A825" t="s">
        <v>820</v>
      </c>
      <c r="B825" t="s">
        <v>2160</v>
      </c>
      <c r="C825" s="1">
        <v>45740</v>
      </c>
      <c r="D825" t="s">
        <v>2978</v>
      </c>
      <c r="E825" t="s">
        <v>4003</v>
      </c>
      <c r="F825" t="s">
        <v>4569</v>
      </c>
      <c r="G825" t="s">
        <v>4581</v>
      </c>
      <c r="H825" t="s">
        <v>4586</v>
      </c>
      <c r="I825" t="s">
        <v>4599</v>
      </c>
      <c r="J825">
        <v>4</v>
      </c>
      <c r="K825">
        <v>240.95</v>
      </c>
      <c r="L825">
        <v>0.05</v>
      </c>
      <c r="M825">
        <v>2.9</v>
      </c>
      <c r="N825" t="s">
        <v>5463</v>
      </c>
      <c r="O825" t="s">
        <v>5473</v>
      </c>
      <c r="P825" t="s">
        <v>5476</v>
      </c>
      <c r="Q825" s="4">
        <v>915.6099999999999</v>
      </c>
    </row>
    <row r="826" spans="1:17" x14ac:dyDescent="0.3">
      <c r="A826" t="s">
        <v>821</v>
      </c>
      <c r="B826" t="s">
        <v>1420</v>
      </c>
      <c r="C826" s="1">
        <v>46016</v>
      </c>
      <c r="D826" t="s">
        <v>2626</v>
      </c>
      <c r="E826" t="s">
        <v>4004</v>
      </c>
      <c r="F826" t="s">
        <v>4564</v>
      </c>
      <c r="G826" t="s">
        <v>4573</v>
      </c>
      <c r="H826" t="s">
        <v>4586</v>
      </c>
      <c r="I826" t="s">
        <v>4599</v>
      </c>
      <c r="J826">
        <v>5</v>
      </c>
      <c r="K826">
        <v>245.66</v>
      </c>
      <c r="L826">
        <v>0.05</v>
      </c>
      <c r="M826">
        <v>1.36</v>
      </c>
      <c r="N826" t="s">
        <v>5465</v>
      </c>
      <c r="O826" t="s">
        <v>5470</v>
      </c>
      <c r="P826" t="s">
        <v>5477</v>
      </c>
      <c r="Q826" s="4">
        <v>1166.885</v>
      </c>
    </row>
    <row r="827" spans="1:17" x14ac:dyDescent="0.3">
      <c r="A827" t="s">
        <v>822</v>
      </c>
      <c r="B827" t="s">
        <v>1842</v>
      </c>
      <c r="C827" s="1">
        <v>45732</v>
      </c>
      <c r="D827" t="s">
        <v>2967</v>
      </c>
      <c r="E827" t="s">
        <v>4005</v>
      </c>
      <c r="F827" t="s">
        <v>4549</v>
      </c>
      <c r="G827" t="s">
        <v>4574</v>
      </c>
      <c r="H827" t="s">
        <v>4587</v>
      </c>
      <c r="I827" t="s">
        <v>4600</v>
      </c>
      <c r="J827">
        <v>4</v>
      </c>
      <c r="K827">
        <v>13.5</v>
      </c>
      <c r="L827">
        <v>0.05</v>
      </c>
      <c r="M827">
        <v>12.68</v>
      </c>
      <c r="N827" t="s">
        <v>5466</v>
      </c>
      <c r="O827" t="s">
        <v>5471</v>
      </c>
      <c r="P827" t="s">
        <v>5477</v>
      </c>
      <c r="Q827" s="4">
        <v>51.3</v>
      </c>
    </row>
    <row r="828" spans="1:17" x14ac:dyDescent="0.3">
      <c r="A828" t="s">
        <v>823</v>
      </c>
      <c r="B828" t="s">
        <v>2161</v>
      </c>
      <c r="C828" s="1">
        <v>46004</v>
      </c>
      <c r="D828" t="s">
        <v>2896</v>
      </c>
      <c r="E828" t="s">
        <v>4006</v>
      </c>
      <c r="F828" t="s">
        <v>4566</v>
      </c>
      <c r="G828" t="s">
        <v>4573</v>
      </c>
      <c r="H828" t="s">
        <v>4587</v>
      </c>
      <c r="I828" t="s">
        <v>4600</v>
      </c>
      <c r="J828">
        <v>1</v>
      </c>
      <c r="K828">
        <v>12.82</v>
      </c>
      <c r="L828">
        <v>0</v>
      </c>
      <c r="M828">
        <v>0.17</v>
      </c>
      <c r="N828" t="s">
        <v>5462</v>
      </c>
      <c r="O828" t="s">
        <v>5472</v>
      </c>
      <c r="P828" t="s">
        <v>5477</v>
      </c>
      <c r="Q828" s="4">
        <v>12.82</v>
      </c>
    </row>
    <row r="829" spans="1:17" x14ac:dyDescent="0.3">
      <c r="A829" t="s">
        <v>599</v>
      </c>
      <c r="B829" t="s">
        <v>1968</v>
      </c>
      <c r="C829" s="1">
        <v>46008</v>
      </c>
      <c r="D829" t="s">
        <v>2949</v>
      </c>
      <c r="E829" t="s">
        <v>3798</v>
      </c>
      <c r="F829" t="s">
        <v>4549</v>
      </c>
      <c r="G829" t="s">
        <v>4573</v>
      </c>
      <c r="H829" t="s">
        <v>4586</v>
      </c>
      <c r="I829" t="s">
        <v>4599</v>
      </c>
      <c r="J829">
        <v>2</v>
      </c>
      <c r="K829">
        <v>245.9</v>
      </c>
      <c r="L829">
        <v>0</v>
      </c>
      <c r="M829">
        <v>5.51</v>
      </c>
      <c r="N829" t="s">
        <v>5462</v>
      </c>
      <c r="O829" t="s">
        <v>5471</v>
      </c>
      <c r="P829" t="s">
        <v>5477</v>
      </c>
      <c r="Q829" s="4">
        <v>491.8</v>
      </c>
    </row>
    <row r="830" spans="1:17" x14ac:dyDescent="0.3">
      <c r="A830" t="s">
        <v>824</v>
      </c>
      <c r="B830" t="s">
        <v>2118</v>
      </c>
      <c r="C830" s="1">
        <v>45748</v>
      </c>
      <c r="D830" t="s">
        <v>2919</v>
      </c>
      <c r="E830" t="s">
        <v>4007</v>
      </c>
      <c r="F830" t="s">
        <v>4566</v>
      </c>
      <c r="G830" t="s">
        <v>4577</v>
      </c>
      <c r="H830" t="s">
        <v>4586</v>
      </c>
      <c r="I830" t="s">
        <v>4597</v>
      </c>
      <c r="J830">
        <v>1</v>
      </c>
      <c r="K830">
        <v>87.76</v>
      </c>
      <c r="L830">
        <v>0</v>
      </c>
      <c r="M830">
        <v>9.32</v>
      </c>
      <c r="N830" t="s">
        <v>5467</v>
      </c>
      <c r="O830" t="s">
        <v>5471</v>
      </c>
      <c r="P830" t="s">
        <v>5475</v>
      </c>
      <c r="Q830" s="4">
        <v>87.76</v>
      </c>
    </row>
    <row r="831" spans="1:17" x14ac:dyDescent="0.3">
      <c r="A831" t="s">
        <v>825</v>
      </c>
      <c r="B831" t="s">
        <v>2162</v>
      </c>
      <c r="C831" s="1">
        <v>45389</v>
      </c>
      <c r="D831" t="s">
        <v>2730</v>
      </c>
      <c r="E831" t="s">
        <v>4008</v>
      </c>
      <c r="F831" t="s">
        <v>4564</v>
      </c>
      <c r="G831" t="s">
        <v>4578</v>
      </c>
      <c r="H831" t="s">
        <v>4584</v>
      </c>
      <c r="I831" t="s">
        <v>4607</v>
      </c>
      <c r="J831">
        <v>3</v>
      </c>
      <c r="K831">
        <v>24.47</v>
      </c>
      <c r="L831">
        <v>0.05</v>
      </c>
      <c r="M831">
        <v>8.34</v>
      </c>
      <c r="N831" t="s">
        <v>5481</v>
      </c>
      <c r="O831" t="s">
        <v>5472</v>
      </c>
      <c r="P831" t="s">
        <v>5477</v>
      </c>
      <c r="Q831" s="4">
        <v>69.739499999999992</v>
      </c>
    </row>
    <row r="832" spans="1:17" x14ac:dyDescent="0.3">
      <c r="A832" t="s">
        <v>826</v>
      </c>
      <c r="B832" t="s">
        <v>2163</v>
      </c>
      <c r="C832" s="1">
        <v>45535</v>
      </c>
      <c r="D832" t="s">
        <v>2639</v>
      </c>
      <c r="E832" t="s">
        <v>4009</v>
      </c>
      <c r="F832" t="s">
        <v>4569</v>
      </c>
      <c r="G832" t="s">
        <v>4581</v>
      </c>
      <c r="H832" t="s">
        <v>4585</v>
      </c>
      <c r="I832" t="s">
        <v>4592</v>
      </c>
      <c r="J832">
        <v>1</v>
      </c>
      <c r="K832">
        <v>6.76</v>
      </c>
      <c r="L832">
        <v>0.1</v>
      </c>
      <c r="M832">
        <v>6.81</v>
      </c>
      <c r="N832" t="s">
        <v>5481</v>
      </c>
      <c r="O832" t="s">
        <v>5469</v>
      </c>
      <c r="P832" t="s">
        <v>5477</v>
      </c>
      <c r="Q832" s="4">
        <v>6.0839999999999996</v>
      </c>
    </row>
    <row r="833" spans="1:17" x14ac:dyDescent="0.3">
      <c r="A833" t="s">
        <v>827</v>
      </c>
      <c r="B833" t="s">
        <v>1876</v>
      </c>
      <c r="C833" s="1">
        <v>45744</v>
      </c>
      <c r="D833" t="s">
        <v>2788</v>
      </c>
      <c r="E833" t="s">
        <v>4010</v>
      </c>
      <c r="F833" t="s">
        <v>4569</v>
      </c>
      <c r="G833" t="s">
        <v>4580</v>
      </c>
      <c r="H833" t="s">
        <v>4585</v>
      </c>
      <c r="I833" t="s">
        <v>4602</v>
      </c>
      <c r="J833">
        <v>5</v>
      </c>
      <c r="K833">
        <v>4.29</v>
      </c>
      <c r="L833">
        <v>0.05</v>
      </c>
      <c r="M833">
        <v>8.14</v>
      </c>
      <c r="N833" t="s">
        <v>5463</v>
      </c>
      <c r="O833" t="s">
        <v>5470</v>
      </c>
      <c r="P833" t="s">
        <v>5477</v>
      </c>
      <c r="Q833" s="4">
        <v>20.377499999999998</v>
      </c>
    </row>
    <row r="834" spans="1:17" x14ac:dyDescent="0.3">
      <c r="A834" t="s">
        <v>828</v>
      </c>
      <c r="B834" t="s">
        <v>2164</v>
      </c>
      <c r="C834" s="1">
        <v>45962</v>
      </c>
      <c r="D834" t="s">
        <v>3068</v>
      </c>
      <c r="E834" t="s">
        <v>4011</v>
      </c>
      <c r="F834" t="s">
        <v>4564</v>
      </c>
      <c r="G834" t="s">
        <v>4573</v>
      </c>
      <c r="H834" t="s">
        <v>4587</v>
      </c>
      <c r="I834" t="s">
        <v>4606</v>
      </c>
      <c r="J834">
        <v>2</v>
      </c>
      <c r="K834">
        <v>28.97</v>
      </c>
      <c r="L834">
        <v>0</v>
      </c>
      <c r="M834">
        <v>1.8</v>
      </c>
      <c r="N834" t="s">
        <v>5462</v>
      </c>
      <c r="O834" t="s">
        <v>5472</v>
      </c>
      <c r="P834" t="s">
        <v>5479</v>
      </c>
      <c r="Q834" s="4">
        <v>57.94</v>
      </c>
    </row>
    <row r="835" spans="1:17" x14ac:dyDescent="0.3">
      <c r="A835" t="s">
        <v>829</v>
      </c>
      <c r="B835" t="s">
        <v>2165</v>
      </c>
      <c r="C835" s="1">
        <v>45310</v>
      </c>
      <c r="D835" t="s">
        <v>2916</v>
      </c>
      <c r="E835" t="s">
        <v>4012</v>
      </c>
      <c r="F835" t="s">
        <v>4549</v>
      </c>
      <c r="G835" t="s">
        <v>4573</v>
      </c>
      <c r="H835" t="s">
        <v>4587</v>
      </c>
      <c r="I835" t="s">
        <v>4594</v>
      </c>
      <c r="J835">
        <v>2</v>
      </c>
      <c r="K835">
        <v>57.26</v>
      </c>
      <c r="L835">
        <v>0</v>
      </c>
      <c r="M835">
        <v>12.1</v>
      </c>
      <c r="N835" t="s">
        <v>5481</v>
      </c>
      <c r="O835" t="s">
        <v>5471</v>
      </c>
      <c r="P835" t="s">
        <v>5477</v>
      </c>
      <c r="Q835" s="4">
        <v>114.52</v>
      </c>
    </row>
    <row r="836" spans="1:17" x14ac:dyDescent="0.3">
      <c r="A836" t="s">
        <v>830</v>
      </c>
      <c r="B836" t="s">
        <v>2166</v>
      </c>
      <c r="C836" s="1">
        <v>45314</v>
      </c>
      <c r="D836" t="s">
        <v>2644</v>
      </c>
      <c r="E836" t="s">
        <v>4013</v>
      </c>
      <c r="F836" t="s">
        <v>4549</v>
      </c>
      <c r="G836" t="s">
        <v>4574</v>
      </c>
      <c r="H836" t="s">
        <v>4583</v>
      </c>
      <c r="I836" t="s">
        <v>4588</v>
      </c>
      <c r="J836">
        <v>10</v>
      </c>
      <c r="K836">
        <v>41.02</v>
      </c>
      <c r="L836">
        <v>0</v>
      </c>
      <c r="M836">
        <v>6.59</v>
      </c>
      <c r="N836" t="s">
        <v>5468</v>
      </c>
      <c r="O836" t="s">
        <v>5470</v>
      </c>
      <c r="P836" t="s">
        <v>5475</v>
      </c>
      <c r="Q836" s="4">
        <v>410.20000000000005</v>
      </c>
    </row>
    <row r="837" spans="1:17" x14ac:dyDescent="0.3">
      <c r="A837" t="s">
        <v>831</v>
      </c>
      <c r="B837" t="s">
        <v>2167</v>
      </c>
      <c r="C837" s="1">
        <v>45789</v>
      </c>
      <c r="D837" t="s">
        <v>3014</v>
      </c>
      <c r="E837" t="s">
        <v>4014</v>
      </c>
      <c r="F837" t="s">
        <v>4549</v>
      </c>
      <c r="G837" t="s">
        <v>4574</v>
      </c>
      <c r="H837" t="s">
        <v>4583</v>
      </c>
      <c r="I837" t="s">
        <v>4610</v>
      </c>
      <c r="J837">
        <v>10</v>
      </c>
      <c r="K837">
        <v>82.94</v>
      </c>
      <c r="L837">
        <v>0.1</v>
      </c>
      <c r="M837">
        <v>2.06</v>
      </c>
      <c r="N837" t="s">
        <v>5463</v>
      </c>
      <c r="O837" t="s">
        <v>5472</v>
      </c>
      <c r="P837" t="s">
        <v>5477</v>
      </c>
      <c r="Q837" s="4">
        <v>746.46</v>
      </c>
    </row>
    <row r="838" spans="1:17" x14ac:dyDescent="0.3">
      <c r="A838" t="s">
        <v>832</v>
      </c>
      <c r="B838" t="s">
        <v>2168</v>
      </c>
      <c r="C838" s="1">
        <v>45343</v>
      </c>
      <c r="D838" t="s">
        <v>3007</v>
      </c>
      <c r="E838" t="s">
        <v>4015</v>
      </c>
      <c r="F838" t="s">
        <v>4566</v>
      </c>
      <c r="G838" t="s">
        <v>4573</v>
      </c>
      <c r="H838" t="s">
        <v>4587</v>
      </c>
      <c r="I838" t="s">
        <v>4596</v>
      </c>
      <c r="J838">
        <v>10</v>
      </c>
      <c r="K838">
        <v>14.86</v>
      </c>
      <c r="L838">
        <v>0</v>
      </c>
      <c r="M838">
        <v>5.03</v>
      </c>
      <c r="N838" t="s">
        <v>5466</v>
      </c>
      <c r="O838" t="s">
        <v>5472</v>
      </c>
      <c r="P838" t="s">
        <v>5476</v>
      </c>
      <c r="Q838" s="4">
        <v>148.6</v>
      </c>
    </row>
    <row r="839" spans="1:17" x14ac:dyDescent="0.3">
      <c r="A839" t="s">
        <v>833</v>
      </c>
      <c r="B839" t="s">
        <v>2169</v>
      </c>
      <c r="C839" s="1">
        <v>45421</v>
      </c>
      <c r="D839" t="s">
        <v>2855</v>
      </c>
      <c r="E839" t="s">
        <v>4016</v>
      </c>
      <c r="F839" t="s">
        <v>4569</v>
      </c>
      <c r="G839" t="s">
        <v>4581</v>
      </c>
      <c r="H839" t="s">
        <v>4585</v>
      </c>
      <c r="I839" t="s">
        <v>4591</v>
      </c>
      <c r="J839">
        <v>2</v>
      </c>
      <c r="K839">
        <v>7.7</v>
      </c>
      <c r="L839">
        <v>0.1</v>
      </c>
      <c r="N839" t="s">
        <v>5467</v>
      </c>
      <c r="O839" t="s">
        <v>5470</v>
      </c>
      <c r="P839" t="s">
        <v>5475</v>
      </c>
      <c r="Q839" s="4">
        <v>13.860000000000001</v>
      </c>
    </row>
    <row r="840" spans="1:17" x14ac:dyDescent="0.3">
      <c r="A840" t="s">
        <v>834</v>
      </c>
      <c r="B840" t="s">
        <v>1798</v>
      </c>
      <c r="C840" s="1">
        <v>45762</v>
      </c>
      <c r="D840" t="s">
        <v>3098</v>
      </c>
      <c r="E840" t="s">
        <v>4017</v>
      </c>
      <c r="F840" t="s">
        <v>4565</v>
      </c>
      <c r="G840" t="s">
        <v>4575</v>
      </c>
      <c r="H840" t="s">
        <v>4584</v>
      </c>
      <c r="I840" t="s">
        <v>4608</v>
      </c>
      <c r="J840">
        <v>2</v>
      </c>
      <c r="K840">
        <v>18.350000000000001</v>
      </c>
      <c r="L840">
        <v>0.05</v>
      </c>
      <c r="M840">
        <v>5.58</v>
      </c>
      <c r="N840" t="s">
        <v>5481</v>
      </c>
      <c r="O840" t="s">
        <v>5472</v>
      </c>
      <c r="P840" t="s">
        <v>5477</v>
      </c>
      <c r="Q840" s="4">
        <v>34.865000000000002</v>
      </c>
    </row>
    <row r="841" spans="1:17" x14ac:dyDescent="0.3">
      <c r="A841" t="s">
        <v>835</v>
      </c>
      <c r="B841" t="s">
        <v>1942</v>
      </c>
      <c r="C841" s="1">
        <v>45823</v>
      </c>
      <c r="D841" t="s">
        <v>2628</v>
      </c>
      <c r="E841" t="s">
        <v>4018</v>
      </c>
      <c r="F841" t="s">
        <v>4565</v>
      </c>
      <c r="G841" t="s">
        <v>4575</v>
      </c>
      <c r="H841" t="s">
        <v>4587</v>
      </c>
      <c r="I841" t="s">
        <v>4596</v>
      </c>
      <c r="J841">
        <v>4</v>
      </c>
      <c r="K841">
        <v>14.8</v>
      </c>
      <c r="L841">
        <v>0.1</v>
      </c>
      <c r="M841">
        <v>9.6999999999999993</v>
      </c>
      <c r="N841" t="s">
        <v>5466</v>
      </c>
      <c r="O841" t="s">
        <v>5474</v>
      </c>
      <c r="P841" t="s">
        <v>5477</v>
      </c>
      <c r="Q841" s="4">
        <v>53.28</v>
      </c>
    </row>
    <row r="842" spans="1:17" x14ac:dyDescent="0.3">
      <c r="A842" t="s">
        <v>836</v>
      </c>
      <c r="B842" t="s">
        <v>2170</v>
      </c>
      <c r="C842" s="1">
        <v>45804</v>
      </c>
      <c r="D842" t="s">
        <v>2761</v>
      </c>
      <c r="E842" t="s">
        <v>4019</v>
      </c>
      <c r="F842" t="s">
        <v>4549</v>
      </c>
      <c r="G842" t="s">
        <v>4573</v>
      </c>
      <c r="H842" t="s">
        <v>4586</v>
      </c>
      <c r="I842" t="s">
        <v>4599</v>
      </c>
      <c r="J842">
        <v>10</v>
      </c>
      <c r="K842">
        <v>242.51</v>
      </c>
      <c r="L842">
        <v>0</v>
      </c>
      <c r="M842">
        <v>9.51</v>
      </c>
      <c r="N842" t="s">
        <v>5468</v>
      </c>
      <c r="O842" t="s">
        <v>5469</v>
      </c>
      <c r="P842" t="s">
        <v>5477</v>
      </c>
      <c r="Q842" s="4">
        <v>2425.1</v>
      </c>
    </row>
    <row r="843" spans="1:17" x14ac:dyDescent="0.3">
      <c r="A843" t="s">
        <v>837</v>
      </c>
      <c r="B843" t="s">
        <v>2171</v>
      </c>
      <c r="C843" s="1">
        <v>45732</v>
      </c>
      <c r="D843" t="s">
        <v>2664</v>
      </c>
      <c r="E843" t="s">
        <v>4020</v>
      </c>
      <c r="F843" t="s">
        <v>4564</v>
      </c>
      <c r="G843" t="s">
        <v>4578</v>
      </c>
      <c r="H843" t="s">
        <v>4586</v>
      </c>
      <c r="I843" t="s">
        <v>4609</v>
      </c>
      <c r="J843">
        <v>5</v>
      </c>
      <c r="K843">
        <v>131.26</v>
      </c>
      <c r="L843">
        <v>0.15</v>
      </c>
      <c r="M843">
        <v>3.68</v>
      </c>
      <c r="N843" t="s">
        <v>5468</v>
      </c>
      <c r="O843" t="s">
        <v>5474</v>
      </c>
      <c r="P843" t="s">
        <v>5477</v>
      </c>
      <c r="Q843" s="4">
        <v>557.8549999999999</v>
      </c>
    </row>
    <row r="844" spans="1:17" x14ac:dyDescent="0.3">
      <c r="A844" t="s">
        <v>838</v>
      </c>
      <c r="B844" t="s">
        <v>2172</v>
      </c>
      <c r="C844" s="1">
        <v>45533</v>
      </c>
      <c r="D844" t="s">
        <v>3085</v>
      </c>
      <c r="E844" t="s">
        <v>4021</v>
      </c>
      <c r="F844" t="s">
        <v>4569</v>
      </c>
      <c r="G844" t="s">
        <v>4572</v>
      </c>
      <c r="H844" t="s">
        <v>4586</v>
      </c>
      <c r="I844" t="s">
        <v>4597</v>
      </c>
      <c r="J844">
        <v>1</v>
      </c>
      <c r="K844">
        <v>92.18</v>
      </c>
      <c r="L844">
        <v>0</v>
      </c>
      <c r="M844">
        <v>12.93</v>
      </c>
      <c r="N844" t="s">
        <v>5465</v>
      </c>
      <c r="O844" t="s">
        <v>5469</v>
      </c>
      <c r="P844" t="s">
        <v>5477</v>
      </c>
      <c r="Q844" s="4">
        <v>92.18</v>
      </c>
    </row>
    <row r="845" spans="1:17" x14ac:dyDescent="0.3">
      <c r="A845" t="s">
        <v>839</v>
      </c>
      <c r="B845" t="s">
        <v>2173</v>
      </c>
      <c r="C845" s="1">
        <v>45586</v>
      </c>
      <c r="D845" t="s">
        <v>2763</v>
      </c>
      <c r="E845" t="s">
        <v>4022</v>
      </c>
      <c r="F845" t="s">
        <v>4549</v>
      </c>
      <c r="G845" t="s">
        <v>4573</v>
      </c>
      <c r="H845" t="s">
        <v>4586</v>
      </c>
      <c r="I845" t="s">
        <v>4593</v>
      </c>
      <c r="J845">
        <v>1</v>
      </c>
      <c r="K845">
        <v>109.45</v>
      </c>
      <c r="L845">
        <v>0.05</v>
      </c>
      <c r="M845">
        <v>0</v>
      </c>
      <c r="N845" t="s">
        <v>5467</v>
      </c>
      <c r="O845" t="s">
        <v>5473</v>
      </c>
      <c r="P845" t="s">
        <v>5477</v>
      </c>
      <c r="Q845" s="4">
        <v>103.97749999999999</v>
      </c>
    </row>
    <row r="846" spans="1:17" x14ac:dyDescent="0.3">
      <c r="A846" t="s">
        <v>840</v>
      </c>
      <c r="B846" t="s">
        <v>1520</v>
      </c>
      <c r="C846" s="1">
        <v>45725</v>
      </c>
      <c r="D846" t="s">
        <v>2825</v>
      </c>
      <c r="E846" t="s">
        <v>4023</v>
      </c>
      <c r="F846" t="s">
        <v>4565</v>
      </c>
      <c r="G846" t="s">
        <v>4576</v>
      </c>
      <c r="H846" t="s">
        <v>4587</v>
      </c>
      <c r="I846" t="s">
        <v>4596</v>
      </c>
      <c r="J846">
        <v>1</v>
      </c>
      <c r="K846">
        <v>15.27</v>
      </c>
      <c r="L846">
        <v>0</v>
      </c>
      <c r="M846">
        <v>2.13</v>
      </c>
      <c r="N846" t="s">
        <v>5468</v>
      </c>
      <c r="O846" t="s">
        <v>5470</v>
      </c>
      <c r="P846" t="s">
        <v>5475</v>
      </c>
      <c r="Q846" s="4">
        <v>15.27</v>
      </c>
    </row>
    <row r="847" spans="1:17" x14ac:dyDescent="0.3">
      <c r="A847" t="s">
        <v>841</v>
      </c>
      <c r="B847" t="s">
        <v>2174</v>
      </c>
      <c r="C847" s="1">
        <v>45814</v>
      </c>
      <c r="D847" t="s">
        <v>3100</v>
      </c>
      <c r="E847" t="s">
        <v>4024</v>
      </c>
      <c r="F847" t="s">
        <v>4564</v>
      </c>
      <c r="G847" t="s">
        <v>4573</v>
      </c>
      <c r="H847" t="s">
        <v>4586</v>
      </c>
      <c r="I847" t="s">
        <v>4599</v>
      </c>
      <c r="J847">
        <v>2</v>
      </c>
      <c r="K847">
        <v>255.2</v>
      </c>
      <c r="L847">
        <v>0.1</v>
      </c>
      <c r="M847">
        <v>7.67</v>
      </c>
      <c r="N847" t="s">
        <v>5467</v>
      </c>
      <c r="O847" t="s">
        <v>5472</v>
      </c>
      <c r="P847" t="s">
        <v>5477</v>
      </c>
      <c r="Q847" s="4">
        <v>459.36</v>
      </c>
    </row>
    <row r="848" spans="1:17" x14ac:dyDescent="0.3">
      <c r="A848" t="s">
        <v>842</v>
      </c>
      <c r="B848" t="s">
        <v>2175</v>
      </c>
      <c r="C848" s="1">
        <v>45574</v>
      </c>
      <c r="D848" t="s">
        <v>2732</v>
      </c>
      <c r="E848" t="s">
        <v>4025</v>
      </c>
      <c r="F848" t="s">
        <v>4564</v>
      </c>
      <c r="G848" t="s">
        <v>4578</v>
      </c>
      <c r="H848" t="s">
        <v>4586</v>
      </c>
      <c r="I848" t="s">
        <v>4597</v>
      </c>
      <c r="J848">
        <v>2</v>
      </c>
      <c r="K848">
        <v>85.16</v>
      </c>
      <c r="L848">
        <v>0.1</v>
      </c>
      <c r="M848">
        <v>11.39</v>
      </c>
      <c r="N848" t="s">
        <v>5463</v>
      </c>
      <c r="O848" t="s">
        <v>5470</v>
      </c>
      <c r="P848" t="s">
        <v>5475</v>
      </c>
      <c r="Q848" s="4">
        <v>153.28800000000001</v>
      </c>
    </row>
    <row r="849" spans="1:17" x14ac:dyDescent="0.3">
      <c r="A849" t="s">
        <v>843</v>
      </c>
      <c r="B849" t="s">
        <v>2176</v>
      </c>
      <c r="C849" s="1">
        <v>45633</v>
      </c>
      <c r="D849" t="s">
        <v>2764</v>
      </c>
      <c r="E849" t="s">
        <v>4026</v>
      </c>
      <c r="F849" t="s">
        <v>4549</v>
      </c>
      <c r="G849" t="s">
        <v>4573</v>
      </c>
      <c r="H849" t="s">
        <v>4586</v>
      </c>
      <c r="I849" t="s">
        <v>4597</v>
      </c>
      <c r="J849">
        <v>4</v>
      </c>
      <c r="K849">
        <v>86.56</v>
      </c>
      <c r="L849">
        <v>0</v>
      </c>
      <c r="M849">
        <v>13.8</v>
      </c>
      <c r="N849" t="s">
        <v>5467</v>
      </c>
      <c r="O849" t="s">
        <v>5470</v>
      </c>
      <c r="P849" t="s">
        <v>5477</v>
      </c>
      <c r="Q849" s="4">
        <v>346.24</v>
      </c>
    </row>
    <row r="850" spans="1:17" x14ac:dyDescent="0.3">
      <c r="A850" t="s">
        <v>844</v>
      </c>
      <c r="B850" t="s">
        <v>2177</v>
      </c>
      <c r="C850" s="1">
        <v>45701</v>
      </c>
      <c r="D850" t="s">
        <v>2815</v>
      </c>
      <c r="E850" t="s">
        <v>4027</v>
      </c>
      <c r="F850" t="s">
        <v>4565</v>
      </c>
      <c r="G850" t="s">
        <v>4576</v>
      </c>
      <c r="H850" t="s">
        <v>4587</v>
      </c>
      <c r="I850" t="s">
        <v>4606</v>
      </c>
      <c r="J850">
        <v>3</v>
      </c>
      <c r="K850">
        <v>28.5</v>
      </c>
      <c r="L850">
        <v>0</v>
      </c>
      <c r="M850">
        <v>5.23</v>
      </c>
      <c r="N850" t="s">
        <v>5481</v>
      </c>
      <c r="O850" t="s">
        <v>5471</v>
      </c>
      <c r="P850" t="s">
        <v>5477</v>
      </c>
      <c r="Q850" s="4">
        <v>85.5</v>
      </c>
    </row>
    <row r="851" spans="1:17" x14ac:dyDescent="0.3">
      <c r="A851" t="s">
        <v>845</v>
      </c>
      <c r="B851" t="s">
        <v>2178</v>
      </c>
      <c r="C851" s="1">
        <v>45512</v>
      </c>
      <c r="D851" t="s">
        <v>3035</v>
      </c>
      <c r="E851" t="s">
        <v>4028</v>
      </c>
      <c r="F851" t="s">
        <v>4565</v>
      </c>
      <c r="G851" t="s">
        <v>4576</v>
      </c>
      <c r="H851" t="s">
        <v>4585</v>
      </c>
      <c r="I851" t="s">
        <v>4592</v>
      </c>
      <c r="J851">
        <v>5</v>
      </c>
      <c r="K851">
        <v>6.56</v>
      </c>
      <c r="L851">
        <v>0</v>
      </c>
      <c r="M851">
        <v>10.78</v>
      </c>
      <c r="N851" t="s">
        <v>5465</v>
      </c>
      <c r="O851" t="s">
        <v>5473</v>
      </c>
      <c r="P851" t="s">
        <v>5477</v>
      </c>
      <c r="Q851" s="4">
        <v>32.799999999999997</v>
      </c>
    </row>
    <row r="852" spans="1:17" x14ac:dyDescent="0.3">
      <c r="A852" t="s">
        <v>846</v>
      </c>
      <c r="B852" t="s">
        <v>2179</v>
      </c>
      <c r="C852" s="1">
        <v>45432</v>
      </c>
      <c r="D852" t="s">
        <v>3054</v>
      </c>
      <c r="E852" t="s">
        <v>4029</v>
      </c>
      <c r="F852" t="s">
        <v>4564</v>
      </c>
      <c r="G852" t="s">
        <v>4573</v>
      </c>
      <c r="H852" t="s">
        <v>4583</v>
      </c>
      <c r="I852" t="s">
        <v>4605</v>
      </c>
      <c r="J852">
        <v>1</v>
      </c>
      <c r="K852">
        <v>45.42</v>
      </c>
      <c r="L852">
        <v>0</v>
      </c>
      <c r="M852">
        <v>8.77</v>
      </c>
      <c r="N852" t="s">
        <v>5465</v>
      </c>
      <c r="O852" t="s">
        <v>5472</v>
      </c>
      <c r="P852" t="s">
        <v>5477</v>
      </c>
      <c r="Q852" s="4">
        <v>45.42</v>
      </c>
    </row>
    <row r="853" spans="1:17" x14ac:dyDescent="0.3">
      <c r="A853" t="s">
        <v>847</v>
      </c>
      <c r="B853" t="s">
        <v>2180</v>
      </c>
      <c r="C853" s="1">
        <v>45338</v>
      </c>
      <c r="D853" t="s">
        <v>2846</v>
      </c>
      <c r="E853" t="s">
        <v>4030</v>
      </c>
      <c r="F853" t="s">
        <v>4569</v>
      </c>
      <c r="G853" t="s">
        <v>5481</v>
      </c>
      <c r="H853" t="s">
        <v>4587</v>
      </c>
      <c r="I853" t="s">
        <v>4596</v>
      </c>
      <c r="J853">
        <v>3</v>
      </c>
      <c r="K853">
        <v>14.28</v>
      </c>
      <c r="L853">
        <v>0</v>
      </c>
      <c r="M853">
        <v>13.52</v>
      </c>
      <c r="N853" t="s">
        <v>5464</v>
      </c>
      <c r="O853" t="s">
        <v>5481</v>
      </c>
      <c r="P853" t="s">
        <v>5477</v>
      </c>
      <c r="Q853" s="4">
        <v>42.839999999999996</v>
      </c>
    </row>
    <row r="854" spans="1:17" x14ac:dyDescent="0.3">
      <c r="A854" t="s">
        <v>848</v>
      </c>
      <c r="B854" t="s">
        <v>2181</v>
      </c>
      <c r="C854" s="1">
        <v>45401</v>
      </c>
      <c r="D854" t="s">
        <v>2946</v>
      </c>
      <c r="E854" t="s">
        <v>5481</v>
      </c>
      <c r="F854" t="s">
        <v>4566</v>
      </c>
      <c r="G854" t="s">
        <v>4577</v>
      </c>
      <c r="H854" t="s">
        <v>4587</v>
      </c>
      <c r="I854" t="s">
        <v>4596</v>
      </c>
      <c r="J854">
        <v>1</v>
      </c>
      <c r="K854">
        <v>14.94</v>
      </c>
      <c r="L854">
        <v>0</v>
      </c>
      <c r="M854">
        <v>0</v>
      </c>
      <c r="N854" t="s">
        <v>5467</v>
      </c>
      <c r="O854" t="s">
        <v>5481</v>
      </c>
      <c r="P854" t="s">
        <v>5477</v>
      </c>
      <c r="Q854" s="4">
        <v>14.94</v>
      </c>
    </row>
    <row r="855" spans="1:17" x14ac:dyDescent="0.3">
      <c r="A855" t="s">
        <v>849</v>
      </c>
      <c r="B855" t="s">
        <v>2096</v>
      </c>
      <c r="C855" s="1">
        <v>45729</v>
      </c>
      <c r="D855" t="s">
        <v>3145</v>
      </c>
      <c r="E855" t="s">
        <v>4031</v>
      </c>
      <c r="F855" t="s">
        <v>4566</v>
      </c>
      <c r="G855" t="s">
        <v>4582</v>
      </c>
      <c r="H855" t="s">
        <v>4586</v>
      </c>
      <c r="I855" t="s">
        <v>4593</v>
      </c>
      <c r="J855">
        <v>1</v>
      </c>
      <c r="K855">
        <v>106.88</v>
      </c>
      <c r="L855">
        <v>0.15</v>
      </c>
      <c r="M855">
        <v>9.4600000000000009</v>
      </c>
      <c r="N855" t="s">
        <v>5466</v>
      </c>
      <c r="O855" t="s">
        <v>5473</v>
      </c>
      <c r="P855" t="s">
        <v>5475</v>
      </c>
      <c r="Q855" s="4">
        <v>90.847999999999999</v>
      </c>
    </row>
    <row r="856" spans="1:17" x14ac:dyDescent="0.3">
      <c r="A856" t="s">
        <v>850</v>
      </c>
      <c r="B856" t="s">
        <v>2182</v>
      </c>
      <c r="C856" s="1">
        <v>45739</v>
      </c>
      <c r="D856" t="s">
        <v>3068</v>
      </c>
      <c r="E856" t="s">
        <v>4032</v>
      </c>
      <c r="F856" t="s">
        <v>4566</v>
      </c>
      <c r="G856" t="s">
        <v>4577</v>
      </c>
      <c r="H856" t="s">
        <v>4585</v>
      </c>
      <c r="I856" t="s">
        <v>4592</v>
      </c>
      <c r="J856">
        <v>1</v>
      </c>
      <c r="K856">
        <v>6.73</v>
      </c>
      <c r="L856">
        <v>0.15</v>
      </c>
      <c r="M856">
        <v>2.61</v>
      </c>
      <c r="N856" t="s">
        <v>5465</v>
      </c>
      <c r="O856" t="s">
        <v>5474</v>
      </c>
      <c r="P856" t="s">
        <v>5477</v>
      </c>
      <c r="Q856" s="4">
        <v>5.7205000000000004</v>
      </c>
    </row>
    <row r="857" spans="1:17" x14ac:dyDescent="0.3">
      <c r="A857" t="s">
        <v>851</v>
      </c>
      <c r="B857" t="s">
        <v>1790</v>
      </c>
      <c r="C857" s="1">
        <v>45338</v>
      </c>
      <c r="D857" t="s">
        <v>3138</v>
      </c>
      <c r="E857" t="s">
        <v>4033</v>
      </c>
      <c r="F857" t="s">
        <v>4565</v>
      </c>
      <c r="G857" t="s">
        <v>4579</v>
      </c>
      <c r="H857" t="s">
        <v>4584</v>
      </c>
      <c r="I857" t="s">
        <v>4603</v>
      </c>
      <c r="J857">
        <v>1</v>
      </c>
      <c r="K857">
        <v>9.68</v>
      </c>
      <c r="L857">
        <v>0</v>
      </c>
      <c r="M857">
        <v>11.4</v>
      </c>
      <c r="N857" t="s">
        <v>5466</v>
      </c>
      <c r="O857" t="s">
        <v>5469</v>
      </c>
      <c r="P857" t="s">
        <v>5477</v>
      </c>
      <c r="Q857" s="4">
        <v>9.68</v>
      </c>
    </row>
    <row r="858" spans="1:17" x14ac:dyDescent="0.3">
      <c r="A858" t="s">
        <v>852</v>
      </c>
      <c r="B858" t="s">
        <v>2183</v>
      </c>
      <c r="C858" s="1">
        <v>46009</v>
      </c>
      <c r="D858" t="s">
        <v>2910</v>
      </c>
      <c r="E858" t="s">
        <v>4034</v>
      </c>
      <c r="F858" t="s">
        <v>4565</v>
      </c>
      <c r="G858" t="s">
        <v>5481</v>
      </c>
      <c r="H858" t="s">
        <v>4583</v>
      </c>
      <c r="I858" t="s">
        <v>4610</v>
      </c>
      <c r="J858">
        <v>2</v>
      </c>
      <c r="K858">
        <v>79.400000000000006</v>
      </c>
      <c r="L858">
        <v>0</v>
      </c>
      <c r="M858">
        <v>5.22</v>
      </c>
      <c r="N858" t="s">
        <v>5468</v>
      </c>
      <c r="O858" t="s">
        <v>5474</v>
      </c>
      <c r="P858" t="s">
        <v>5475</v>
      </c>
      <c r="Q858" s="4">
        <v>158.80000000000001</v>
      </c>
    </row>
    <row r="859" spans="1:17" x14ac:dyDescent="0.3">
      <c r="A859" t="s">
        <v>853</v>
      </c>
      <c r="B859" t="s">
        <v>2184</v>
      </c>
      <c r="C859" s="1">
        <v>45757</v>
      </c>
      <c r="D859" t="s">
        <v>2863</v>
      </c>
      <c r="E859" t="s">
        <v>5481</v>
      </c>
      <c r="F859" t="s">
        <v>4564</v>
      </c>
      <c r="G859" t="s">
        <v>4578</v>
      </c>
      <c r="H859" t="s">
        <v>4585</v>
      </c>
      <c r="I859" t="s">
        <v>4591</v>
      </c>
      <c r="J859">
        <v>1</v>
      </c>
      <c r="K859">
        <v>7.5</v>
      </c>
      <c r="L859">
        <v>0.1</v>
      </c>
      <c r="M859">
        <v>6.74</v>
      </c>
      <c r="N859" t="s">
        <v>5462</v>
      </c>
      <c r="O859" t="s">
        <v>5481</v>
      </c>
      <c r="P859" t="s">
        <v>5477</v>
      </c>
      <c r="Q859" s="4">
        <v>6.75</v>
      </c>
    </row>
    <row r="860" spans="1:17" x14ac:dyDescent="0.3">
      <c r="A860" t="s">
        <v>854</v>
      </c>
      <c r="B860" t="s">
        <v>2185</v>
      </c>
      <c r="C860" s="1">
        <v>45315</v>
      </c>
      <c r="D860" t="s">
        <v>2857</v>
      </c>
      <c r="E860" t="s">
        <v>4035</v>
      </c>
      <c r="F860" t="s">
        <v>4569</v>
      </c>
      <c r="G860" t="s">
        <v>4581</v>
      </c>
      <c r="H860" t="s">
        <v>4586</v>
      </c>
      <c r="I860" t="s">
        <v>4597</v>
      </c>
      <c r="J860">
        <v>4</v>
      </c>
      <c r="K860">
        <v>90.87</v>
      </c>
      <c r="L860">
        <v>0.1</v>
      </c>
      <c r="M860">
        <v>3.77</v>
      </c>
      <c r="N860" t="s">
        <v>5466</v>
      </c>
      <c r="O860" t="s">
        <v>5474</v>
      </c>
      <c r="P860" t="s">
        <v>5477</v>
      </c>
      <c r="Q860" s="4">
        <v>327.13200000000001</v>
      </c>
    </row>
    <row r="861" spans="1:17" x14ac:dyDescent="0.3">
      <c r="A861" t="s">
        <v>855</v>
      </c>
      <c r="B861" t="s">
        <v>2186</v>
      </c>
      <c r="C861" s="1">
        <v>45337</v>
      </c>
      <c r="D861" t="s">
        <v>3035</v>
      </c>
      <c r="E861" t="s">
        <v>4036</v>
      </c>
      <c r="F861" t="s">
        <v>4564</v>
      </c>
      <c r="G861" t="s">
        <v>4578</v>
      </c>
      <c r="H861" t="s">
        <v>4586</v>
      </c>
      <c r="I861" t="s">
        <v>4597</v>
      </c>
      <c r="J861">
        <v>1</v>
      </c>
      <c r="K861">
        <v>86.25</v>
      </c>
      <c r="L861">
        <v>0</v>
      </c>
      <c r="M861">
        <v>2.34</v>
      </c>
      <c r="N861" t="s">
        <v>5466</v>
      </c>
      <c r="O861" t="s">
        <v>5469</v>
      </c>
      <c r="P861" t="s">
        <v>5477</v>
      </c>
      <c r="Q861" s="4">
        <v>86.25</v>
      </c>
    </row>
    <row r="862" spans="1:17" x14ac:dyDescent="0.3">
      <c r="A862" t="s">
        <v>856</v>
      </c>
      <c r="B862" t="s">
        <v>2187</v>
      </c>
      <c r="C862" s="1">
        <v>45494</v>
      </c>
      <c r="D862" t="s">
        <v>3103</v>
      </c>
      <c r="E862" t="s">
        <v>4037</v>
      </c>
      <c r="F862" t="s">
        <v>4549</v>
      </c>
      <c r="G862" t="s">
        <v>4573</v>
      </c>
      <c r="H862" t="s">
        <v>4585</v>
      </c>
      <c r="I862" t="s">
        <v>4598</v>
      </c>
      <c r="J862">
        <v>3</v>
      </c>
      <c r="K862">
        <v>3.22</v>
      </c>
      <c r="L862">
        <v>0.05</v>
      </c>
      <c r="M862">
        <v>3.99</v>
      </c>
      <c r="N862" t="s">
        <v>5467</v>
      </c>
      <c r="O862" t="s">
        <v>5469</v>
      </c>
      <c r="P862" t="s">
        <v>5475</v>
      </c>
      <c r="Q862" s="4">
        <v>9.1769999999999996</v>
      </c>
    </row>
    <row r="863" spans="1:17" x14ac:dyDescent="0.3">
      <c r="A863" t="s">
        <v>857</v>
      </c>
      <c r="B863" t="s">
        <v>2188</v>
      </c>
      <c r="C863" s="1">
        <v>45368</v>
      </c>
      <c r="D863" t="s">
        <v>2835</v>
      </c>
      <c r="E863" t="s">
        <v>4038</v>
      </c>
      <c r="F863" t="s">
        <v>4566</v>
      </c>
      <c r="G863" t="s">
        <v>4577</v>
      </c>
      <c r="H863" t="s">
        <v>4587</v>
      </c>
      <c r="I863" t="s">
        <v>4596</v>
      </c>
      <c r="J863">
        <v>1</v>
      </c>
      <c r="K863">
        <v>14.31</v>
      </c>
      <c r="L863">
        <v>0.1</v>
      </c>
      <c r="M863">
        <v>0</v>
      </c>
      <c r="N863" t="s">
        <v>5462</v>
      </c>
      <c r="O863" t="s">
        <v>5471</v>
      </c>
      <c r="P863" t="s">
        <v>5479</v>
      </c>
      <c r="Q863" s="4">
        <v>12.879000000000001</v>
      </c>
    </row>
    <row r="864" spans="1:17" x14ac:dyDescent="0.3">
      <c r="A864" t="s">
        <v>858</v>
      </c>
      <c r="B864" t="s">
        <v>2189</v>
      </c>
      <c r="C864" s="1">
        <v>45858</v>
      </c>
      <c r="D864" t="s">
        <v>2737</v>
      </c>
      <c r="E864" t="s">
        <v>4039</v>
      </c>
      <c r="F864" t="s">
        <v>4549</v>
      </c>
      <c r="G864" t="s">
        <v>4573</v>
      </c>
      <c r="H864" t="s">
        <v>4587</v>
      </c>
      <c r="I864" t="s">
        <v>4606</v>
      </c>
      <c r="J864">
        <v>4</v>
      </c>
      <c r="K864">
        <v>30.09</v>
      </c>
      <c r="L864">
        <v>0</v>
      </c>
      <c r="M864">
        <v>0.08</v>
      </c>
      <c r="N864" t="s">
        <v>5468</v>
      </c>
      <c r="O864" t="s">
        <v>5470</v>
      </c>
      <c r="P864" t="s">
        <v>5477</v>
      </c>
      <c r="Q864" s="4">
        <v>120.36</v>
      </c>
    </row>
    <row r="865" spans="1:17" x14ac:dyDescent="0.3">
      <c r="A865" t="s">
        <v>859</v>
      </c>
      <c r="B865" t="s">
        <v>2190</v>
      </c>
      <c r="C865" s="1">
        <v>45892</v>
      </c>
      <c r="D865" t="s">
        <v>3023</v>
      </c>
      <c r="E865" t="s">
        <v>4040</v>
      </c>
      <c r="F865" t="s">
        <v>4566</v>
      </c>
      <c r="G865" t="s">
        <v>4577</v>
      </c>
      <c r="H865" t="s">
        <v>5481</v>
      </c>
      <c r="I865" t="s">
        <v>4608</v>
      </c>
      <c r="J865">
        <v>3</v>
      </c>
      <c r="K865">
        <v>19.579999999999998</v>
      </c>
      <c r="L865">
        <v>0</v>
      </c>
      <c r="M865">
        <v>0</v>
      </c>
      <c r="N865" t="s">
        <v>5463</v>
      </c>
      <c r="O865" t="s">
        <v>5474</v>
      </c>
      <c r="P865" t="s">
        <v>5477</v>
      </c>
      <c r="Q865" s="4">
        <v>58.739999999999995</v>
      </c>
    </row>
    <row r="866" spans="1:17" x14ac:dyDescent="0.3">
      <c r="A866" t="s">
        <v>860</v>
      </c>
      <c r="B866" t="s">
        <v>2022</v>
      </c>
      <c r="C866" s="1">
        <v>45400</v>
      </c>
      <c r="D866" t="s">
        <v>3104</v>
      </c>
      <c r="E866" t="s">
        <v>4041</v>
      </c>
      <c r="F866" t="s">
        <v>4549</v>
      </c>
      <c r="G866" t="s">
        <v>4574</v>
      </c>
      <c r="H866" t="s">
        <v>4586</v>
      </c>
      <c r="I866" t="s">
        <v>4609</v>
      </c>
      <c r="J866">
        <v>10</v>
      </c>
      <c r="K866">
        <v>127.57</v>
      </c>
      <c r="L866">
        <v>0</v>
      </c>
      <c r="M866">
        <v>9.1</v>
      </c>
      <c r="N866" t="s">
        <v>5462</v>
      </c>
      <c r="O866" t="s">
        <v>5481</v>
      </c>
      <c r="P866" t="s">
        <v>5477</v>
      </c>
      <c r="Q866" s="4">
        <v>1275.6999999999998</v>
      </c>
    </row>
    <row r="867" spans="1:17" x14ac:dyDescent="0.3">
      <c r="A867" t="s">
        <v>861</v>
      </c>
      <c r="B867" t="s">
        <v>2191</v>
      </c>
      <c r="C867" s="1">
        <v>45316</v>
      </c>
      <c r="D867" t="s">
        <v>2921</v>
      </c>
      <c r="E867" t="s">
        <v>4042</v>
      </c>
      <c r="F867" t="s">
        <v>4569</v>
      </c>
      <c r="G867" t="s">
        <v>4580</v>
      </c>
      <c r="H867" t="s">
        <v>4585</v>
      </c>
      <c r="I867" t="s">
        <v>4602</v>
      </c>
      <c r="J867">
        <v>3</v>
      </c>
      <c r="K867">
        <v>4.17</v>
      </c>
      <c r="L867">
        <v>0</v>
      </c>
      <c r="M867">
        <v>11.92</v>
      </c>
      <c r="N867" t="s">
        <v>5481</v>
      </c>
      <c r="O867" t="s">
        <v>5471</v>
      </c>
      <c r="P867" t="s">
        <v>5479</v>
      </c>
      <c r="Q867" s="4">
        <v>12.51</v>
      </c>
    </row>
    <row r="868" spans="1:17" x14ac:dyDescent="0.3">
      <c r="A868" t="s">
        <v>862</v>
      </c>
      <c r="B868" t="s">
        <v>2192</v>
      </c>
      <c r="C868" s="1">
        <v>45986</v>
      </c>
      <c r="D868" t="s">
        <v>3077</v>
      </c>
      <c r="E868" t="s">
        <v>4043</v>
      </c>
      <c r="F868" t="s">
        <v>4566</v>
      </c>
      <c r="G868" t="s">
        <v>4582</v>
      </c>
      <c r="H868" t="s">
        <v>4584</v>
      </c>
      <c r="I868" t="s">
        <v>4608</v>
      </c>
      <c r="J868">
        <v>1</v>
      </c>
      <c r="K868">
        <v>18.07</v>
      </c>
      <c r="L868">
        <v>0.1</v>
      </c>
      <c r="M868">
        <v>10.59</v>
      </c>
      <c r="N868" t="s">
        <v>5481</v>
      </c>
      <c r="O868" t="s">
        <v>5471</v>
      </c>
      <c r="P868" t="s">
        <v>5476</v>
      </c>
      <c r="Q868" s="4">
        <v>16.263000000000002</v>
      </c>
    </row>
    <row r="869" spans="1:17" x14ac:dyDescent="0.3">
      <c r="A869" t="s">
        <v>863</v>
      </c>
      <c r="B869" t="s">
        <v>2193</v>
      </c>
      <c r="C869" s="1">
        <v>45338</v>
      </c>
      <c r="D869" t="s">
        <v>2703</v>
      </c>
      <c r="E869" t="s">
        <v>4044</v>
      </c>
      <c r="F869" t="s">
        <v>4566</v>
      </c>
      <c r="G869" t="s">
        <v>4577</v>
      </c>
      <c r="H869" t="s">
        <v>4584</v>
      </c>
      <c r="I869" t="s">
        <v>4607</v>
      </c>
      <c r="J869">
        <v>4</v>
      </c>
      <c r="K869">
        <v>25.71</v>
      </c>
      <c r="L869">
        <v>0.05</v>
      </c>
      <c r="M869">
        <v>1.0900000000000001</v>
      </c>
      <c r="N869" t="s">
        <v>5464</v>
      </c>
      <c r="O869" t="s">
        <v>5471</v>
      </c>
      <c r="P869" t="s">
        <v>5477</v>
      </c>
      <c r="Q869" s="4">
        <v>97.697999999999993</v>
      </c>
    </row>
    <row r="870" spans="1:17" x14ac:dyDescent="0.3">
      <c r="A870" t="s">
        <v>864</v>
      </c>
      <c r="B870" t="s">
        <v>2194</v>
      </c>
      <c r="C870" s="1">
        <v>45793</v>
      </c>
      <c r="D870" t="s">
        <v>3105</v>
      </c>
      <c r="E870" t="s">
        <v>4045</v>
      </c>
      <c r="F870" t="s">
        <v>4566</v>
      </c>
      <c r="G870" t="s">
        <v>4582</v>
      </c>
      <c r="H870" t="s">
        <v>4584</v>
      </c>
      <c r="I870" t="s">
        <v>4595</v>
      </c>
      <c r="J870">
        <v>1</v>
      </c>
      <c r="K870">
        <v>42.43</v>
      </c>
      <c r="L870">
        <v>0.1</v>
      </c>
      <c r="M870">
        <v>0</v>
      </c>
      <c r="N870" t="s">
        <v>5463</v>
      </c>
      <c r="O870" t="s">
        <v>5471</v>
      </c>
      <c r="P870" t="s">
        <v>5479</v>
      </c>
      <c r="Q870" s="4">
        <v>38.186999999999998</v>
      </c>
    </row>
    <row r="871" spans="1:17" x14ac:dyDescent="0.3">
      <c r="A871" t="s">
        <v>865</v>
      </c>
      <c r="B871" t="s">
        <v>1509</v>
      </c>
      <c r="C871" s="1">
        <v>45333</v>
      </c>
      <c r="D871" t="s">
        <v>3057</v>
      </c>
      <c r="E871" t="s">
        <v>4046</v>
      </c>
      <c r="F871" t="s">
        <v>4565</v>
      </c>
      <c r="G871" t="s">
        <v>4576</v>
      </c>
      <c r="H871" t="s">
        <v>4585</v>
      </c>
      <c r="I871" t="s">
        <v>4591</v>
      </c>
      <c r="J871">
        <v>1</v>
      </c>
      <c r="K871">
        <v>7.78</v>
      </c>
      <c r="L871">
        <v>0</v>
      </c>
      <c r="M871">
        <v>4.57</v>
      </c>
      <c r="N871" t="s">
        <v>5465</v>
      </c>
      <c r="O871" t="s">
        <v>5472</v>
      </c>
      <c r="P871" t="s">
        <v>5479</v>
      </c>
      <c r="Q871" s="4">
        <v>7.78</v>
      </c>
    </row>
    <row r="872" spans="1:17" x14ac:dyDescent="0.3">
      <c r="A872" t="s">
        <v>866</v>
      </c>
      <c r="B872" t="s">
        <v>2195</v>
      </c>
      <c r="C872" s="1">
        <v>45799</v>
      </c>
      <c r="D872" t="s">
        <v>3106</v>
      </c>
      <c r="E872" t="s">
        <v>4047</v>
      </c>
      <c r="F872" t="s">
        <v>4566</v>
      </c>
      <c r="G872" t="s">
        <v>4573</v>
      </c>
      <c r="H872" t="s">
        <v>4585</v>
      </c>
      <c r="I872" t="s">
        <v>4592</v>
      </c>
      <c r="J872">
        <v>4</v>
      </c>
      <c r="K872">
        <v>6.76</v>
      </c>
      <c r="L872">
        <v>0</v>
      </c>
      <c r="N872" t="s">
        <v>5466</v>
      </c>
      <c r="O872" t="s">
        <v>5473</v>
      </c>
      <c r="P872" t="s">
        <v>5477</v>
      </c>
      <c r="Q872" s="4">
        <v>27.04</v>
      </c>
    </row>
    <row r="873" spans="1:17" x14ac:dyDescent="0.3">
      <c r="A873" t="s">
        <v>867</v>
      </c>
      <c r="B873" t="s">
        <v>2196</v>
      </c>
      <c r="C873" s="1">
        <v>45524</v>
      </c>
      <c r="D873" t="s">
        <v>2735</v>
      </c>
      <c r="E873" t="s">
        <v>4048</v>
      </c>
      <c r="F873" t="s">
        <v>4566</v>
      </c>
      <c r="G873" t="s">
        <v>4577</v>
      </c>
      <c r="H873" t="s">
        <v>4583</v>
      </c>
      <c r="I873" t="s">
        <v>4605</v>
      </c>
      <c r="J873">
        <v>1</v>
      </c>
      <c r="K873">
        <v>45.43</v>
      </c>
      <c r="L873">
        <v>0.1</v>
      </c>
      <c r="M873">
        <v>13.93</v>
      </c>
      <c r="N873" t="s">
        <v>5468</v>
      </c>
      <c r="O873" t="s">
        <v>5469</v>
      </c>
      <c r="P873" t="s">
        <v>5479</v>
      </c>
      <c r="Q873" s="4">
        <v>40.887</v>
      </c>
    </row>
    <row r="874" spans="1:17" x14ac:dyDescent="0.3">
      <c r="A874" t="s">
        <v>868</v>
      </c>
      <c r="B874" t="s">
        <v>2197</v>
      </c>
      <c r="C874" s="1">
        <v>45632</v>
      </c>
      <c r="D874" t="s">
        <v>2931</v>
      </c>
      <c r="E874" t="s">
        <v>5481</v>
      </c>
      <c r="F874" t="s">
        <v>4569</v>
      </c>
      <c r="G874" t="s">
        <v>4572</v>
      </c>
      <c r="H874" t="s">
        <v>4585</v>
      </c>
      <c r="I874" t="s">
        <v>4592</v>
      </c>
      <c r="J874">
        <v>4</v>
      </c>
      <c r="K874">
        <v>6.4</v>
      </c>
      <c r="L874">
        <v>0</v>
      </c>
      <c r="M874">
        <v>11.03</v>
      </c>
      <c r="N874" t="s">
        <v>5463</v>
      </c>
      <c r="O874" t="s">
        <v>5472</v>
      </c>
      <c r="P874" t="s">
        <v>5477</v>
      </c>
      <c r="Q874" s="4">
        <v>25.6</v>
      </c>
    </row>
    <row r="875" spans="1:17" x14ac:dyDescent="0.3">
      <c r="A875" t="s">
        <v>869</v>
      </c>
      <c r="B875" t="s">
        <v>2198</v>
      </c>
      <c r="C875" s="1">
        <v>45379</v>
      </c>
      <c r="D875" t="s">
        <v>2674</v>
      </c>
      <c r="E875" t="s">
        <v>4049</v>
      </c>
      <c r="F875" t="s">
        <v>4569</v>
      </c>
      <c r="G875" t="s">
        <v>4581</v>
      </c>
      <c r="H875" t="s">
        <v>4585</v>
      </c>
      <c r="I875" t="s">
        <v>4591</v>
      </c>
      <c r="J875">
        <v>2</v>
      </c>
      <c r="K875">
        <v>8.0299999999999994</v>
      </c>
      <c r="L875">
        <v>0.1</v>
      </c>
      <c r="M875">
        <v>4.8499999999999996</v>
      </c>
      <c r="N875" t="s">
        <v>5468</v>
      </c>
      <c r="O875" t="s">
        <v>5471</v>
      </c>
      <c r="P875" t="s">
        <v>5477</v>
      </c>
      <c r="Q875" s="4">
        <v>14.453999999999999</v>
      </c>
    </row>
    <row r="876" spans="1:17" x14ac:dyDescent="0.3">
      <c r="A876" t="s">
        <v>870</v>
      </c>
      <c r="B876" t="s">
        <v>2199</v>
      </c>
      <c r="C876" s="1">
        <v>45538</v>
      </c>
      <c r="D876" t="s">
        <v>3034</v>
      </c>
      <c r="E876" t="s">
        <v>4050</v>
      </c>
      <c r="F876" t="s">
        <v>4565</v>
      </c>
      <c r="G876" t="s">
        <v>4576</v>
      </c>
      <c r="H876" t="s">
        <v>4584</v>
      </c>
      <c r="I876" t="s">
        <v>4589</v>
      </c>
      <c r="J876">
        <v>10</v>
      </c>
      <c r="K876">
        <v>34.28</v>
      </c>
      <c r="L876">
        <v>0</v>
      </c>
      <c r="M876">
        <v>5.57</v>
      </c>
      <c r="N876" t="s">
        <v>5467</v>
      </c>
      <c r="O876" t="s">
        <v>5469</v>
      </c>
      <c r="P876" t="s">
        <v>5476</v>
      </c>
      <c r="Q876" s="4">
        <v>342.8</v>
      </c>
    </row>
    <row r="877" spans="1:17" x14ac:dyDescent="0.3">
      <c r="A877" t="s">
        <v>871</v>
      </c>
      <c r="B877" t="s">
        <v>2200</v>
      </c>
      <c r="C877" s="1">
        <v>45915</v>
      </c>
      <c r="D877" t="s">
        <v>2638</v>
      </c>
      <c r="E877" t="s">
        <v>5481</v>
      </c>
      <c r="F877" t="s">
        <v>4564</v>
      </c>
      <c r="G877" t="s">
        <v>4573</v>
      </c>
      <c r="H877" t="s">
        <v>4584</v>
      </c>
      <c r="I877" t="s">
        <v>4601</v>
      </c>
      <c r="J877">
        <v>2</v>
      </c>
      <c r="K877">
        <v>191.26</v>
      </c>
      <c r="L877">
        <v>0.1</v>
      </c>
      <c r="M877">
        <v>11.15</v>
      </c>
      <c r="N877" t="s">
        <v>5466</v>
      </c>
      <c r="O877" t="s">
        <v>5474</v>
      </c>
      <c r="P877" t="s">
        <v>5477</v>
      </c>
      <c r="Q877" s="4">
        <v>344.26799999999997</v>
      </c>
    </row>
    <row r="878" spans="1:17" x14ac:dyDescent="0.3">
      <c r="A878" t="s">
        <v>872</v>
      </c>
      <c r="B878" t="s">
        <v>2201</v>
      </c>
      <c r="C878" s="1">
        <v>45367</v>
      </c>
      <c r="D878" t="s">
        <v>2794</v>
      </c>
      <c r="E878" t="s">
        <v>5481</v>
      </c>
      <c r="F878" t="s">
        <v>4566</v>
      </c>
      <c r="G878" t="s">
        <v>4577</v>
      </c>
      <c r="H878" t="s">
        <v>4583</v>
      </c>
      <c r="I878" t="s">
        <v>4604</v>
      </c>
      <c r="J878">
        <v>2</v>
      </c>
      <c r="K878">
        <v>21.81</v>
      </c>
      <c r="L878">
        <v>0.05</v>
      </c>
      <c r="M878">
        <v>0</v>
      </c>
      <c r="N878" t="s">
        <v>5464</v>
      </c>
      <c r="O878" t="s">
        <v>5473</v>
      </c>
      <c r="P878" t="s">
        <v>5476</v>
      </c>
      <c r="Q878" s="4">
        <v>41.438999999999993</v>
      </c>
    </row>
    <row r="879" spans="1:17" x14ac:dyDescent="0.3">
      <c r="A879" t="s">
        <v>873</v>
      </c>
      <c r="B879" t="s">
        <v>2150</v>
      </c>
      <c r="C879" s="1">
        <v>45618</v>
      </c>
      <c r="D879" t="s">
        <v>2758</v>
      </c>
      <c r="E879" t="s">
        <v>4051</v>
      </c>
      <c r="F879" t="s">
        <v>4549</v>
      </c>
      <c r="G879" t="s">
        <v>4574</v>
      </c>
      <c r="H879" t="s">
        <v>4585</v>
      </c>
      <c r="I879" t="s">
        <v>4592</v>
      </c>
      <c r="J879">
        <v>4</v>
      </c>
      <c r="K879">
        <v>6.66</v>
      </c>
      <c r="L879">
        <v>0.05</v>
      </c>
      <c r="M879">
        <v>0</v>
      </c>
      <c r="N879" t="s">
        <v>5468</v>
      </c>
      <c r="O879" t="s">
        <v>5474</v>
      </c>
      <c r="P879" t="s">
        <v>5477</v>
      </c>
      <c r="Q879" s="4">
        <v>25.308</v>
      </c>
    </row>
    <row r="880" spans="1:17" x14ac:dyDescent="0.3">
      <c r="A880" t="s">
        <v>874</v>
      </c>
      <c r="B880" t="s">
        <v>2202</v>
      </c>
      <c r="C880" s="1">
        <v>45662</v>
      </c>
      <c r="D880" t="s">
        <v>2827</v>
      </c>
      <c r="E880" t="s">
        <v>4052</v>
      </c>
      <c r="F880" t="s">
        <v>4564</v>
      </c>
      <c r="G880" t="s">
        <v>4578</v>
      </c>
      <c r="H880" t="s">
        <v>4585</v>
      </c>
      <c r="I880" t="s">
        <v>4598</v>
      </c>
      <c r="J880">
        <v>1</v>
      </c>
      <c r="K880">
        <v>3.25</v>
      </c>
      <c r="L880">
        <v>0.1</v>
      </c>
      <c r="M880">
        <v>0</v>
      </c>
      <c r="N880" t="s">
        <v>5468</v>
      </c>
      <c r="O880" t="s">
        <v>5472</v>
      </c>
      <c r="P880" t="s">
        <v>5479</v>
      </c>
      <c r="Q880" s="4">
        <v>2.9250000000000003</v>
      </c>
    </row>
    <row r="881" spans="1:17" x14ac:dyDescent="0.3">
      <c r="A881" t="s">
        <v>875</v>
      </c>
      <c r="B881" t="s">
        <v>2203</v>
      </c>
      <c r="C881" s="1">
        <v>45866</v>
      </c>
      <c r="D881" t="s">
        <v>2929</v>
      </c>
      <c r="E881" t="s">
        <v>4053</v>
      </c>
      <c r="F881" t="s">
        <v>4565</v>
      </c>
      <c r="G881" t="s">
        <v>4576</v>
      </c>
      <c r="H881" t="s">
        <v>4585</v>
      </c>
      <c r="I881" t="s">
        <v>4598</v>
      </c>
      <c r="J881">
        <v>2</v>
      </c>
      <c r="K881">
        <v>3.04</v>
      </c>
      <c r="L881">
        <v>0.1</v>
      </c>
      <c r="M881">
        <v>7.46</v>
      </c>
      <c r="N881" t="s">
        <v>5462</v>
      </c>
      <c r="O881" t="s">
        <v>5481</v>
      </c>
      <c r="P881" t="s">
        <v>5477</v>
      </c>
      <c r="Q881" s="4">
        <v>5.4720000000000004</v>
      </c>
    </row>
    <row r="882" spans="1:17" x14ac:dyDescent="0.3">
      <c r="A882" t="s">
        <v>876</v>
      </c>
      <c r="B882" t="s">
        <v>2204</v>
      </c>
      <c r="C882" s="1">
        <v>45444</v>
      </c>
      <c r="D882" t="s">
        <v>3109</v>
      </c>
      <c r="E882" t="s">
        <v>4054</v>
      </c>
      <c r="F882" t="s">
        <v>4566</v>
      </c>
      <c r="G882" t="s">
        <v>4577</v>
      </c>
      <c r="H882" t="s">
        <v>4585</v>
      </c>
      <c r="I882" t="s">
        <v>4598</v>
      </c>
      <c r="J882">
        <v>1</v>
      </c>
      <c r="K882">
        <v>2.97</v>
      </c>
      <c r="L882">
        <v>0</v>
      </c>
      <c r="M882">
        <v>12.47</v>
      </c>
      <c r="N882" t="s">
        <v>5463</v>
      </c>
      <c r="O882" t="s">
        <v>5481</v>
      </c>
      <c r="P882" t="s">
        <v>5477</v>
      </c>
      <c r="Q882" s="4">
        <v>2.97</v>
      </c>
    </row>
    <row r="883" spans="1:17" x14ac:dyDescent="0.3">
      <c r="A883" t="s">
        <v>877</v>
      </c>
      <c r="B883" t="s">
        <v>2205</v>
      </c>
      <c r="C883" s="1">
        <v>45941</v>
      </c>
      <c r="D883" t="s">
        <v>2766</v>
      </c>
      <c r="E883" t="s">
        <v>4055</v>
      </c>
      <c r="F883" t="s">
        <v>4569</v>
      </c>
      <c r="G883" t="s">
        <v>4572</v>
      </c>
      <c r="H883" t="s">
        <v>4587</v>
      </c>
      <c r="I883" t="s">
        <v>4600</v>
      </c>
      <c r="J883">
        <v>5</v>
      </c>
      <c r="K883">
        <v>13.02</v>
      </c>
      <c r="L883">
        <v>0</v>
      </c>
      <c r="M883">
        <v>12.36</v>
      </c>
      <c r="N883" t="s">
        <v>5464</v>
      </c>
      <c r="O883" t="s">
        <v>5472</v>
      </c>
      <c r="P883" t="s">
        <v>5477</v>
      </c>
      <c r="Q883" s="4">
        <v>65.099999999999994</v>
      </c>
    </row>
    <row r="884" spans="1:17" x14ac:dyDescent="0.3">
      <c r="A884" t="s">
        <v>878</v>
      </c>
      <c r="B884" t="s">
        <v>2206</v>
      </c>
      <c r="C884" s="1">
        <v>45678</v>
      </c>
      <c r="D884" t="s">
        <v>2685</v>
      </c>
      <c r="E884" t="s">
        <v>4056</v>
      </c>
      <c r="F884" t="s">
        <v>4565</v>
      </c>
      <c r="G884" t="s">
        <v>4575</v>
      </c>
      <c r="H884" t="s">
        <v>4586</v>
      </c>
      <c r="I884" t="s">
        <v>4593</v>
      </c>
      <c r="J884">
        <v>2</v>
      </c>
      <c r="K884">
        <v>104.98</v>
      </c>
      <c r="L884">
        <v>0</v>
      </c>
      <c r="M884">
        <v>6.9</v>
      </c>
      <c r="N884" t="s">
        <v>5468</v>
      </c>
      <c r="O884" t="s">
        <v>5474</v>
      </c>
      <c r="P884" t="s">
        <v>5479</v>
      </c>
      <c r="Q884" s="4">
        <v>209.96</v>
      </c>
    </row>
    <row r="885" spans="1:17" x14ac:dyDescent="0.3">
      <c r="A885" t="s">
        <v>879</v>
      </c>
      <c r="B885" t="s">
        <v>2207</v>
      </c>
      <c r="C885" s="1">
        <v>45662</v>
      </c>
      <c r="D885" t="s">
        <v>2735</v>
      </c>
      <c r="E885" t="s">
        <v>4057</v>
      </c>
      <c r="F885" t="s">
        <v>4549</v>
      </c>
      <c r="G885" t="s">
        <v>4573</v>
      </c>
      <c r="H885" t="s">
        <v>4584</v>
      </c>
      <c r="I885" t="s">
        <v>4608</v>
      </c>
      <c r="J885">
        <v>1</v>
      </c>
      <c r="K885">
        <v>18.53</v>
      </c>
      <c r="L885">
        <v>0</v>
      </c>
      <c r="N885" t="s">
        <v>5468</v>
      </c>
      <c r="O885" t="s">
        <v>5481</v>
      </c>
      <c r="P885" t="s">
        <v>5475</v>
      </c>
      <c r="Q885" s="4">
        <v>18.53</v>
      </c>
    </row>
    <row r="886" spans="1:17" x14ac:dyDescent="0.3">
      <c r="A886" t="s">
        <v>880</v>
      </c>
      <c r="B886" t="s">
        <v>2208</v>
      </c>
      <c r="C886" s="1">
        <v>45520</v>
      </c>
      <c r="D886" t="s">
        <v>3110</v>
      </c>
      <c r="E886" t="s">
        <v>4058</v>
      </c>
      <c r="F886" t="s">
        <v>4549</v>
      </c>
      <c r="G886" t="s">
        <v>4574</v>
      </c>
      <c r="H886" t="s">
        <v>4587</v>
      </c>
      <c r="I886" t="s">
        <v>4594</v>
      </c>
      <c r="J886">
        <v>5</v>
      </c>
      <c r="K886">
        <v>58.66</v>
      </c>
      <c r="L886">
        <v>0.1</v>
      </c>
      <c r="M886">
        <v>2.38</v>
      </c>
      <c r="N886" t="s">
        <v>5481</v>
      </c>
      <c r="O886" t="s">
        <v>5469</v>
      </c>
      <c r="P886" t="s">
        <v>5477</v>
      </c>
      <c r="Q886" s="4">
        <v>263.96999999999997</v>
      </c>
    </row>
    <row r="887" spans="1:17" x14ac:dyDescent="0.3">
      <c r="A887" t="s">
        <v>881</v>
      </c>
      <c r="B887" t="s">
        <v>2209</v>
      </c>
      <c r="C887" s="1">
        <v>45600</v>
      </c>
      <c r="D887" t="s">
        <v>2791</v>
      </c>
      <c r="E887" t="s">
        <v>4059</v>
      </c>
      <c r="F887" t="s">
        <v>4549</v>
      </c>
      <c r="G887" t="s">
        <v>4574</v>
      </c>
      <c r="H887" t="s">
        <v>4584</v>
      </c>
      <c r="I887" t="s">
        <v>4607</v>
      </c>
      <c r="J887">
        <v>5</v>
      </c>
      <c r="K887">
        <v>24.17</v>
      </c>
      <c r="L887">
        <v>0</v>
      </c>
      <c r="M887">
        <v>13.54</v>
      </c>
      <c r="N887" t="s">
        <v>5464</v>
      </c>
      <c r="O887" t="s">
        <v>5472</v>
      </c>
      <c r="P887" t="s">
        <v>5477</v>
      </c>
      <c r="Q887" s="4">
        <v>120.85000000000001</v>
      </c>
    </row>
    <row r="888" spans="1:17" x14ac:dyDescent="0.3">
      <c r="A888" t="s">
        <v>882</v>
      </c>
      <c r="B888" t="s">
        <v>2210</v>
      </c>
      <c r="C888" s="1">
        <v>45619</v>
      </c>
      <c r="D888" t="s">
        <v>2854</v>
      </c>
      <c r="E888" t="s">
        <v>5481</v>
      </c>
      <c r="F888" t="s">
        <v>4564</v>
      </c>
      <c r="G888" t="s">
        <v>4573</v>
      </c>
      <c r="H888" t="s">
        <v>4585</v>
      </c>
      <c r="I888" t="s">
        <v>4598</v>
      </c>
      <c r="J888">
        <v>2</v>
      </c>
      <c r="K888">
        <v>3.17</v>
      </c>
      <c r="L888">
        <v>0</v>
      </c>
      <c r="M888">
        <v>0.28999999999999998</v>
      </c>
      <c r="N888" t="s">
        <v>5468</v>
      </c>
      <c r="O888" t="s">
        <v>5473</v>
      </c>
      <c r="P888" t="s">
        <v>5477</v>
      </c>
      <c r="Q888" s="4">
        <v>6.34</v>
      </c>
    </row>
    <row r="889" spans="1:17" x14ac:dyDescent="0.3">
      <c r="A889" t="s">
        <v>883</v>
      </c>
      <c r="B889" t="s">
        <v>2211</v>
      </c>
      <c r="C889" s="1">
        <v>45649</v>
      </c>
      <c r="D889" t="s">
        <v>2854</v>
      </c>
      <c r="E889" t="s">
        <v>4060</v>
      </c>
      <c r="F889" t="s">
        <v>4564</v>
      </c>
      <c r="G889" t="s">
        <v>4578</v>
      </c>
      <c r="H889" t="s">
        <v>4585</v>
      </c>
      <c r="I889" t="s">
        <v>4591</v>
      </c>
      <c r="J889">
        <v>1</v>
      </c>
      <c r="K889">
        <v>7.81</v>
      </c>
      <c r="L889">
        <v>0.15</v>
      </c>
      <c r="M889">
        <v>14.88</v>
      </c>
      <c r="N889" t="s">
        <v>5465</v>
      </c>
      <c r="O889" t="s">
        <v>5469</v>
      </c>
      <c r="P889" t="s">
        <v>5475</v>
      </c>
      <c r="Q889" s="4">
        <v>6.6384999999999996</v>
      </c>
    </row>
    <row r="890" spans="1:17" x14ac:dyDescent="0.3">
      <c r="A890" t="s">
        <v>884</v>
      </c>
      <c r="B890" t="s">
        <v>2212</v>
      </c>
      <c r="C890" s="1">
        <v>45521</v>
      </c>
      <c r="D890" t="s">
        <v>2880</v>
      </c>
      <c r="E890" t="s">
        <v>4061</v>
      </c>
      <c r="F890" t="s">
        <v>4566</v>
      </c>
      <c r="G890" t="s">
        <v>4577</v>
      </c>
      <c r="H890" t="s">
        <v>4585</v>
      </c>
      <c r="I890" t="s">
        <v>4602</v>
      </c>
      <c r="J890">
        <v>2</v>
      </c>
      <c r="K890">
        <v>4.37</v>
      </c>
      <c r="L890">
        <v>0</v>
      </c>
      <c r="M890">
        <v>4.1100000000000003</v>
      </c>
      <c r="N890" t="s">
        <v>5464</v>
      </c>
      <c r="O890" t="s">
        <v>5474</v>
      </c>
      <c r="P890" t="s">
        <v>5477</v>
      </c>
      <c r="Q890" s="4">
        <v>8.74</v>
      </c>
    </row>
    <row r="891" spans="1:17" x14ac:dyDescent="0.3">
      <c r="A891" t="s">
        <v>885</v>
      </c>
      <c r="B891" t="s">
        <v>2213</v>
      </c>
      <c r="C891" s="1">
        <v>45484</v>
      </c>
      <c r="D891" t="s">
        <v>2788</v>
      </c>
      <c r="E891" t="s">
        <v>4062</v>
      </c>
      <c r="F891" t="s">
        <v>4566</v>
      </c>
      <c r="G891" t="s">
        <v>4573</v>
      </c>
      <c r="H891" t="s">
        <v>4586</v>
      </c>
      <c r="I891" t="s">
        <v>4609</v>
      </c>
      <c r="J891">
        <v>5</v>
      </c>
      <c r="K891">
        <v>131.65</v>
      </c>
      <c r="L891">
        <v>0</v>
      </c>
      <c r="M891">
        <v>5.87</v>
      </c>
      <c r="N891" t="s">
        <v>5467</v>
      </c>
      <c r="O891" t="s">
        <v>5473</v>
      </c>
      <c r="P891" t="s">
        <v>5479</v>
      </c>
      <c r="Q891" s="4">
        <v>658.25</v>
      </c>
    </row>
    <row r="892" spans="1:17" x14ac:dyDescent="0.3">
      <c r="A892" t="s">
        <v>886</v>
      </c>
      <c r="B892" t="s">
        <v>2214</v>
      </c>
      <c r="C892" s="1">
        <v>45720</v>
      </c>
      <c r="D892" t="s">
        <v>3113</v>
      </c>
      <c r="E892" t="s">
        <v>4063</v>
      </c>
      <c r="F892" t="s">
        <v>4565</v>
      </c>
      <c r="G892" t="s">
        <v>4576</v>
      </c>
      <c r="H892" t="s">
        <v>4585</v>
      </c>
      <c r="I892" t="s">
        <v>4602</v>
      </c>
      <c r="J892">
        <v>1</v>
      </c>
      <c r="K892">
        <v>4.18</v>
      </c>
      <c r="L892">
        <v>0</v>
      </c>
      <c r="M892">
        <v>2.73</v>
      </c>
      <c r="N892" t="s">
        <v>5467</v>
      </c>
      <c r="O892" t="s">
        <v>5469</v>
      </c>
      <c r="P892" t="s">
        <v>5475</v>
      </c>
      <c r="Q892" s="4">
        <v>4.18</v>
      </c>
    </row>
    <row r="893" spans="1:17" x14ac:dyDescent="0.3">
      <c r="A893" t="s">
        <v>887</v>
      </c>
      <c r="B893" t="s">
        <v>2215</v>
      </c>
      <c r="C893" s="1">
        <v>45337</v>
      </c>
      <c r="D893" t="s">
        <v>2980</v>
      </c>
      <c r="E893" t="s">
        <v>4064</v>
      </c>
      <c r="F893" t="s">
        <v>4564</v>
      </c>
      <c r="G893" t="s">
        <v>4573</v>
      </c>
      <c r="H893" t="s">
        <v>4586</v>
      </c>
      <c r="I893" t="s">
        <v>4597</v>
      </c>
      <c r="J893">
        <v>10</v>
      </c>
      <c r="K893">
        <v>87.6</v>
      </c>
      <c r="L893">
        <v>0.05</v>
      </c>
      <c r="M893">
        <v>0</v>
      </c>
      <c r="N893" t="s">
        <v>5465</v>
      </c>
      <c r="O893" t="s">
        <v>5471</v>
      </c>
      <c r="P893" t="s">
        <v>5477</v>
      </c>
      <c r="Q893" s="4">
        <v>832.19999999999993</v>
      </c>
    </row>
    <row r="894" spans="1:17" x14ac:dyDescent="0.3">
      <c r="A894" t="s">
        <v>888</v>
      </c>
      <c r="B894" t="s">
        <v>2216</v>
      </c>
      <c r="C894" s="1">
        <v>45855</v>
      </c>
      <c r="D894" t="s">
        <v>2678</v>
      </c>
      <c r="E894" t="s">
        <v>4065</v>
      </c>
      <c r="F894" t="s">
        <v>4549</v>
      </c>
      <c r="G894" t="s">
        <v>4573</v>
      </c>
      <c r="H894" t="s">
        <v>4583</v>
      </c>
      <c r="I894" t="s">
        <v>4605</v>
      </c>
      <c r="J894">
        <v>1</v>
      </c>
      <c r="K894">
        <v>45.18</v>
      </c>
      <c r="L894">
        <v>0.1</v>
      </c>
      <c r="M894">
        <v>3.28</v>
      </c>
      <c r="N894" t="s">
        <v>5463</v>
      </c>
      <c r="O894" t="s">
        <v>5474</v>
      </c>
      <c r="P894" t="s">
        <v>5477</v>
      </c>
      <c r="Q894" s="4">
        <v>40.661999999999999</v>
      </c>
    </row>
    <row r="895" spans="1:17" x14ac:dyDescent="0.3">
      <c r="A895" t="s">
        <v>889</v>
      </c>
      <c r="B895" t="s">
        <v>2217</v>
      </c>
      <c r="C895" s="1">
        <v>45305</v>
      </c>
      <c r="D895" t="s">
        <v>3039</v>
      </c>
      <c r="E895" t="s">
        <v>4066</v>
      </c>
      <c r="F895" t="s">
        <v>4549</v>
      </c>
      <c r="G895" t="s">
        <v>4573</v>
      </c>
      <c r="H895" t="s">
        <v>4586</v>
      </c>
      <c r="I895" t="s">
        <v>4597</v>
      </c>
      <c r="J895">
        <v>1</v>
      </c>
      <c r="K895">
        <v>89.4</v>
      </c>
      <c r="L895">
        <v>0.05</v>
      </c>
      <c r="M895">
        <v>0</v>
      </c>
      <c r="N895" t="s">
        <v>5466</v>
      </c>
      <c r="O895" t="s">
        <v>5473</v>
      </c>
      <c r="P895" t="s">
        <v>5477</v>
      </c>
      <c r="Q895" s="4">
        <v>84.93</v>
      </c>
    </row>
    <row r="896" spans="1:17" x14ac:dyDescent="0.3">
      <c r="A896" t="s">
        <v>890</v>
      </c>
      <c r="B896" t="s">
        <v>2218</v>
      </c>
      <c r="C896" s="1">
        <v>45630</v>
      </c>
      <c r="D896" t="s">
        <v>2637</v>
      </c>
      <c r="E896" t="s">
        <v>4067</v>
      </c>
      <c r="F896" t="s">
        <v>4549</v>
      </c>
      <c r="G896" t="s">
        <v>4573</v>
      </c>
      <c r="H896" t="s">
        <v>4583</v>
      </c>
      <c r="I896" t="s">
        <v>4588</v>
      </c>
      <c r="J896">
        <v>2</v>
      </c>
      <c r="K896">
        <v>41.02</v>
      </c>
      <c r="L896">
        <v>0.15</v>
      </c>
      <c r="M896">
        <v>11.64</v>
      </c>
      <c r="N896" t="s">
        <v>5468</v>
      </c>
      <c r="O896" t="s">
        <v>5469</v>
      </c>
      <c r="P896" t="s">
        <v>5475</v>
      </c>
      <c r="Q896" s="4">
        <v>69.734000000000009</v>
      </c>
    </row>
    <row r="897" spans="1:17" x14ac:dyDescent="0.3">
      <c r="A897" t="s">
        <v>891</v>
      </c>
      <c r="B897" t="s">
        <v>2219</v>
      </c>
      <c r="C897" s="1">
        <v>45641</v>
      </c>
      <c r="D897" t="s">
        <v>3116</v>
      </c>
      <c r="E897" t="s">
        <v>5481</v>
      </c>
      <c r="F897" t="s">
        <v>4549</v>
      </c>
      <c r="G897" t="s">
        <v>4574</v>
      </c>
      <c r="H897" t="s">
        <v>4587</v>
      </c>
      <c r="I897" t="s">
        <v>4596</v>
      </c>
      <c r="J897">
        <v>1</v>
      </c>
      <c r="K897">
        <v>15.09</v>
      </c>
      <c r="L897">
        <v>0.1</v>
      </c>
      <c r="M897">
        <v>10.29</v>
      </c>
      <c r="N897" t="s">
        <v>5464</v>
      </c>
      <c r="O897" t="s">
        <v>5473</v>
      </c>
      <c r="P897" t="s">
        <v>5477</v>
      </c>
      <c r="Q897" s="4">
        <v>13.581</v>
      </c>
    </row>
    <row r="898" spans="1:17" x14ac:dyDescent="0.3">
      <c r="A898" t="s">
        <v>892</v>
      </c>
      <c r="B898" t="s">
        <v>2220</v>
      </c>
      <c r="C898" s="1">
        <v>45778</v>
      </c>
      <c r="D898" t="s">
        <v>3063</v>
      </c>
      <c r="E898" t="s">
        <v>4068</v>
      </c>
      <c r="F898" t="s">
        <v>4566</v>
      </c>
      <c r="G898" t="s">
        <v>4582</v>
      </c>
      <c r="H898" t="s">
        <v>4585</v>
      </c>
      <c r="I898" t="s">
        <v>4591</v>
      </c>
      <c r="J898">
        <v>4</v>
      </c>
      <c r="K898">
        <v>8.1300000000000008</v>
      </c>
      <c r="L898">
        <v>0.1</v>
      </c>
      <c r="M898">
        <v>0</v>
      </c>
      <c r="N898" t="s">
        <v>5462</v>
      </c>
      <c r="O898" t="s">
        <v>5473</v>
      </c>
      <c r="P898" t="s">
        <v>5476</v>
      </c>
      <c r="Q898" s="4">
        <v>29.268000000000004</v>
      </c>
    </row>
    <row r="899" spans="1:17" x14ac:dyDescent="0.3">
      <c r="A899" t="s">
        <v>893</v>
      </c>
      <c r="B899" t="s">
        <v>2221</v>
      </c>
      <c r="C899" s="1">
        <v>45506</v>
      </c>
      <c r="D899" t="s">
        <v>2841</v>
      </c>
      <c r="E899" t="s">
        <v>4069</v>
      </c>
      <c r="F899" t="s">
        <v>4565</v>
      </c>
      <c r="G899" t="s">
        <v>4576</v>
      </c>
      <c r="H899" t="s">
        <v>4584</v>
      </c>
      <c r="I899" t="s">
        <v>4608</v>
      </c>
      <c r="J899">
        <v>1</v>
      </c>
      <c r="K899">
        <v>19.3</v>
      </c>
      <c r="L899">
        <v>0.05</v>
      </c>
      <c r="M899">
        <v>10.25</v>
      </c>
      <c r="N899" t="s">
        <v>5466</v>
      </c>
      <c r="O899" t="s">
        <v>5470</v>
      </c>
      <c r="P899" t="s">
        <v>5477</v>
      </c>
      <c r="Q899" s="4">
        <v>18.335000000000001</v>
      </c>
    </row>
    <row r="900" spans="1:17" x14ac:dyDescent="0.3">
      <c r="A900" t="s">
        <v>894</v>
      </c>
      <c r="B900" t="s">
        <v>2222</v>
      </c>
      <c r="C900" s="1">
        <v>45966</v>
      </c>
      <c r="D900" t="s">
        <v>2724</v>
      </c>
      <c r="E900" t="s">
        <v>4070</v>
      </c>
      <c r="F900" t="s">
        <v>4569</v>
      </c>
      <c r="G900" t="s">
        <v>4581</v>
      </c>
      <c r="H900" t="s">
        <v>4587</v>
      </c>
      <c r="I900" t="s">
        <v>4600</v>
      </c>
      <c r="J900">
        <v>4</v>
      </c>
      <c r="K900">
        <v>13.35</v>
      </c>
      <c r="L900">
        <v>0</v>
      </c>
      <c r="M900">
        <v>7.86</v>
      </c>
      <c r="N900" t="s">
        <v>5481</v>
      </c>
      <c r="O900" t="s">
        <v>5481</v>
      </c>
      <c r="P900" t="s">
        <v>5477</v>
      </c>
      <c r="Q900" s="4">
        <v>53.4</v>
      </c>
    </row>
    <row r="901" spans="1:17" x14ac:dyDescent="0.3">
      <c r="A901" t="s">
        <v>895</v>
      </c>
      <c r="B901" t="s">
        <v>2223</v>
      </c>
      <c r="C901" s="1">
        <v>45569</v>
      </c>
      <c r="D901" t="s">
        <v>3117</v>
      </c>
      <c r="E901" t="s">
        <v>4071</v>
      </c>
      <c r="F901" t="s">
        <v>4566</v>
      </c>
      <c r="G901" t="s">
        <v>4573</v>
      </c>
      <c r="H901" t="s">
        <v>5481</v>
      </c>
      <c r="I901" t="s">
        <v>4604</v>
      </c>
      <c r="J901">
        <v>2</v>
      </c>
      <c r="K901">
        <v>22.31</v>
      </c>
      <c r="L901">
        <v>0.05</v>
      </c>
      <c r="M901">
        <v>10</v>
      </c>
      <c r="N901" t="s">
        <v>5465</v>
      </c>
      <c r="O901" t="s">
        <v>5474</v>
      </c>
      <c r="P901" t="s">
        <v>5477</v>
      </c>
      <c r="Q901" s="4">
        <v>42.388999999999996</v>
      </c>
    </row>
    <row r="902" spans="1:17" x14ac:dyDescent="0.3">
      <c r="A902" t="s">
        <v>896</v>
      </c>
      <c r="B902" t="s">
        <v>2224</v>
      </c>
      <c r="C902" s="1">
        <v>45538</v>
      </c>
      <c r="D902" t="s">
        <v>2640</v>
      </c>
      <c r="E902" t="s">
        <v>4072</v>
      </c>
      <c r="F902" t="s">
        <v>4565</v>
      </c>
      <c r="G902" t="s">
        <v>4576</v>
      </c>
      <c r="H902" t="s">
        <v>4583</v>
      </c>
      <c r="I902" t="s">
        <v>4588</v>
      </c>
      <c r="J902">
        <v>1</v>
      </c>
      <c r="K902">
        <v>40.619999999999997</v>
      </c>
      <c r="L902">
        <v>0</v>
      </c>
      <c r="M902">
        <v>12.69</v>
      </c>
      <c r="N902" t="s">
        <v>5465</v>
      </c>
      <c r="O902" t="s">
        <v>5481</v>
      </c>
      <c r="P902" t="s">
        <v>5477</v>
      </c>
      <c r="Q902" s="4">
        <v>40.619999999999997</v>
      </c>
    </row>
    <row r="903" spans="1:17" x14ac:dyDescent="0.3">
      <c r="A903" t="s">
        <v>897</v>
      </c>
      <c r="B903" t="s">
        <v>1841</v>
      </c>
      <c r="C903" s="1">
        <v>45325</v>
      </c>
      <c r="D903" t="s">
        <v>2690</v>
      </c>
      <c r="E903" t="s">
        <v>4073</v>
      </c>
      <c r="F903" t="s">
        <v>4564</v>
      </c>
      <c r="G903" t="s">
        <v>4578</v>
      </c>
      <c r="H903" t="s">
        <v>4583</v>
      </c>
      <c r="I903" t="s">
        <v>4588</v>
      </c>
      <c r="J903">
        <v>1</v>
      </c>
      <c r="K903">
        <v>41.8</v>
      </c>
      <c r="L903">
        <v>0.05</v>
      </c>
      <c r="M903">
        <v>14.23</v>
      </c>
      <c r="N903" t="s">
        <v>5465</v>
      </c>
      <c r="O903" t="s">
        <v>5473</v>
      </c>
      <c r="P903" t="s">
        <v>5477</v>
      </c>
      <c r="Q903" s="4">
        <v>39.709999999999994</v>
      </c>
    </row>
    <row r="904" spans="1:17" x14ac:dyDescent="0.3">
      <c r="A904" t="s">
        <v>793</v>
      </c>
      <c r="B904" t="s">
        <v>2138</v>
      </c>
      <c r="C904" s="1">
        <v>45877</v>
      </c>
      <c r="D904" t="s">
        <v>3090</v>
      </c>
      <c r="E904" t="s">
        <v>3976</v>
      </c>
      <c r="F904" t="s">
        <v>4549</v>
      </c>
      <c r="G904" t="s">
        <v>4574</v>
      </c>
      <c r="H904" t="s">
        <v>4583</v>
      </c>
      <c r="I904" t="s">
        <v>4605</v>
      </c>
      <c r="J904">
        <v>1</v>
      </c>
      <c r="K904">
        <v>44.45</v>
      </c>
      <c r="L904">
        <v>0</v>
      </c>
      <c r="M904">
        <v>11.48</v>
      </c>
      <c r="N904" t="s">
        <v>5467</v>
      </c>
      <c r="O904" t="s">
        <v>5474</v>
      </c>
      <c r="P904" t="s">
        <v>5477</v>
      </c>
      <c r="Q904" s="4">
        <v>44.45</v>
      </c>
    </row>
    <row r="905" spans="1:17" x14ac:dyDescent="0.3">
      <c r="A905" t="s">
        <v>898</v>
      </c>
      <c r="B905" t="s">
        <v>1520</v>
      </c>
      <c r="C905" s="1">
        <v>45725</v>
      </c>
      <c r="D905" t="s">
        <v>2728</v>
      </c>
      <c r="E905" t="s">
        <v>4074</v>
      </c>
      <c r="F905" t="s">
        <v>4549</v>
      </c>
      <c r="G905" t="s">
        <v>4574</v>
      </c>
      <c r="H905" t="s">
        <v>4585</v>
      </c>
      <c r="I905" t="s">
        <v>4592</v>
      </c>
      <c r="J905">
        <v>5</v>
      </c>
      <c r="K905">
        <v>6.79</v>
      </c>
      <c r="L905">
        <v>0</v>
      </c>
      <c r="M905">
        <v>6.81</v>
      </c>
      <c r="N905" t="s">
        <v>5467</v>
      </c>
      <c r="O905" t="s">
        <v>5473</v>
      </c>
      <c r="P905" t="s">
        <v>5477</v>
      </c>
      <c r="Q905" s="4">
        <v>33.950000000000003</v>
      </c>
    </row>
    <row r="906" spans="1:17" x14ac:dyDescent="0.3">
      <c r="A906" t="s">
        <v>899</v>
      </c>
      <c r="B906" t="s">
        <v>2225</v>
      </c>
      <c r="C906" s="1">
        <v>45509</v>
      </c>
      <c r="D906" t="s">
        <v>2947</v>
      </c>
      <c r="E906" t="s">
        <v>4075</v>
      </c>
      <c r="F906" t="s">
        <v>4569</v>
      </c>
      <c r="G906" t="s">
        <v>4581</v>
      </c>
      <c r="H906" t="s">
        <v>4587</v>
      </c>
      <c r="I906" t="s">
        <v>4594</v>
      </c>
      <c r="J906">
        <v>3</v>
      </c>
      <c r="K906">
        <v>62.15</v>
      </c>
      <c r="L906">
        <v>0</v>
      </c>
      <c r="M906">
        <v>0</v>
      </c>
      <c r="N906" t="s">
        <v>5467</v>
      </c>
      <c r="O906" t="s">
        <v>5472</v>
      </c>
      <c r="P906" t="s">
        <v>5477</v>
      </c>
      <c r="Q906" s="4">
        <v>186.45</v>
      </c>
    </row>
    <row r="907" spans="1:17" x14ac:dyDescent="0.3">
      <c r="A907" t="s">
        <v>900</v>
      </c>
      <c r="B907" t="s">
        <v>2226</v>
      </c>
      <c r="C907" s="1">
        <v>45315</v>
      </c>
      <c r="D907" t="s">
        <v>3015</v>
      </c>
      <c r="E907" t="s">
        <v>4076</v>
      </c>
      <c r="F907" t="s">
        <v>4566</v>
      </c>
      <c r="G907" t="s">
        <v>4577</v>
      </c>
      <c r="H907" t="s">
        <v>4583</v>
      </c>
      <c r="I907" t="s">
        <v>4588</v>
      </c>
      <c r="J907">
        <v>1</v>
      </c>
      <c r="K907">
        <v>38.25</v>
      </c>
      <c r="L907">
        <v>0</v>
      </c>
      <c r="M907">
        <v>3.79</v>
      </c>
      <c r="N907" t="s">
        <v>5481</v>
      </c>
      <c r="O907" t="s">
        <v>5469</v>
      </c>
      <c r="P907" t="s">
        <v>5476</v>
      </c>
      <c r="Q907" s="4">
        <v>38.25</v>
      </c>
    </row>
    <row r="908" spans="1:17" x14ac:dyDescent="0.3">
      <c r="A908" t="s">
        <v>901</v>
      </c>
      <c r="B908" t="s">
        <v>2227</v>
      </c>
      <c r="C908" s="1">
        <v>45638</v>
      </c>
      <c r="D908" t="s">
        <v>3039</v>
      </c>
      <c r="E908" t="s">
        <v>4077</v>
      </c>
      <c r="F908" t="s">
        <v>4569</v>
      </c>
      <c r="G908" t="s">
        <v>4580</v>
      </c>
      <c r="H908" t="s">
        <v>4585</v>
      </c>
      <c r="I908" t="s">
        <v>4591</v>
      </c>
      <c r="J908">
        <v>4</v>
      </c>
      <c r="K908">
        <v>7.52</v>
      </c>
      <c r="L908">
        <v>0</v>
      </c>
      <c r="M908">
        <v>13.9</v>
      </c>
      <c r="N908" t="s">
        <v>5466</v>
      </c>
      <c r="O908" t="s">
        <v>5481</v>
      </c>
      <c r="P908" t="s">
        <v>5477</v>
      </c>
      <c r="Q908" s="4">
        <v>30.08</v>
      </c>
    </row>
    <row r="909" spans="1:17" x14ac:dyDescent="0.3">
      <c r="A909" t="s">
        <v>902</v>
      </c>
      <c r="B909" t="s">
        <v>2228</v>
      </c>
      <c r="C909" s="1">
        <v>45442</v>
      </c>
      <c r="D909" t="s">
        <v>2775</v>
      </c>
      <c r="E909" t="s">
        <v>4078</v>
      </c>
      <c r="F909" t="s">
        <v>4549</v>
      </c>
      <c r="G909" t="s">
        <v>4573</v>
      </c>
      <c r="H909" t="s">
        <v>4583</v>
      </c>
      <c r="I909" t="s">
        <v>4610</v>
      </c>
      <c r="J909">
        <v>3</v>
      </c>
      <c r="K909">
        <v>76.069999999999993</v>
      </c>
      <c r="L909">
        <v>0.05</v>
      </c>
      <c r="M909">
        <v>14.75</v>
      </c>
      <c r="N909" t="s">
        <v>5463</v>
      </c>
      <c r="O909" t="s">
        <v>5481</v>
      </c>
      <c r="P909" t="s">
        <v>5476</v>
      </c>
      <c r="Q909" s="4">
        <v>216.79949999999997</v>
      </c>
    </row>
    <row r="910" spans="1:17" x14ac:dyDescent="0.3">
      <c r="A910" t="s">
        <v>23</v>
      </c>
      <c r="B910" t="s">
        <v>1423</v>
      </c>
      <c r="C910" s="1">
        <v>45885</v>
      </c>
      <c r="D910" t="s">
        <v>2630</v>
      </c>
      <c r="E910" t="s">
        <v>3270</v>
      </c>
      <c r="F910" t="s">
        <v>4564</v>
      </c>
      <c r="G910" t="s">
        <v>4578</v>
      </c>
      <c r="H910" t="s">
        <v>4584</v>
      </c>
      <c r="I910" t="s">
        <v>4595</v>
      </c>
      <c r="J910">
        <v>1</v>
      </c>
      <c r="K910">
        <v>43.31</v>
      </c>
      <c r="L910">
        <v>0.15</v>
      </c>
      <c r="M910">
        <v>6.19</v>
      </c>
      <c r="N910" t="s">
        <v>5465</v>
      </c>
      <c r="O910" t="s">
        <v>5474</v>
      </c>
      <c r="P910" t="s">
        <v>5477</v>
      </c>
      <c r="Q910" s="4">
        <v>36.813499999999998</v>
      </c>
    </row>
    <row r="911" spans="1:17" x14ac:dyDescent="0.3">
      <c r="A911" t="s">
        <v>903</v>
      </c>
      <c r="B911" t="s">
        <v>2229</v>
      </c>
      <c r="C911" s="1">
        <v>45778</v>
      </c>
      <c r="D911" t="s">
        <v>2953</v>
      </c>
      <c r="E911" t="s">
        <v>4079</v>
      </c>
      <c r="F911" t="s">
        <v>4566</v>
      </c>
      <c r="G911" t="s">
        <v>4573</v>
      </c>
      <c r="H911" t="s">
        <v>4585</v>
      </c>
      <c r="I911" t="s">
        <v>4598</v>
      </c>
      <c r="J911">
        <v>4</v>
      </c>
      <c r="K911">
        <v>3.01</v>
      </c>
      <c r="L911">
        <v>0.05</v>
      </c>
      <c r="M911">
        <v>10.08</v>
      </c>
      <c r="N911" t="s">
        <v>5467</v>
      </c>
      <c r="O911" t="s">
        <v>5481</v>
      </c>
      <c r="P911" t="s">
        <v>5479</v>
      </c>
      <c r="Q911" s="4">
        <v>11.437999999999999</v>
      </c>
    </row>
    <row r="912" spans="1:17" x14ac:dyDescent="0.3">
      <c r="A912" t="s">
        <v>904</v>
      </c>
      <c r="B912" t="s">
        <v>2230</v>
      </c>
      <c r="C912" s="1">
        <v>45826</v>
      </c>
      <c r="D912" t="s">
        <v>2742</v>
      </c>
      <c r="E912" t="s">
        <v>4080</v>
      </c>
      <c r="F912" t="s">
        <v>4549</v>
      </c>
      <c r="G912" t="s">
        <v>4573</v>
      </c>
      <c r="H912" t="s">
        <v>4587</v>
      </c>
      <c r="I912" t="s">
        <v>4606</v>
      </c>
      <c r="J912">
        <v>2</v>
      </c>
      <c r="K912">
        <v>30.51</v>
      </c>
      <c r="L912">
        <v>0.1</v>
      </c>
      <c r="M912">
        <v>13.5</v>
      </c>
      <c r="N912" t="s">
        <v>5466</v>
      </c>
      <c r="O912" t="s">
        <v>5474</v>
      </c>
      <c r="P912" t="s">
        <v>5477</v>
      </c>
      <c r="Q912" s="4">
        <v>54.918000000000006</v>
      </c>
    </row>
    <row r="913" spans="1:17" x14ac:dyDescent="0.3">
      <c r="A913" t="s">
        <v>905</v>
      </c>
      <c r="B913" t="s">
        <v>1456</v>
      </c>
      <c r="C913" s="1">
        <v>45844</v>
      </c>
      <c r="D913" t="s">
        <v>3119</v>
      </c>
      <c r="E913" t="s">
        <v>4081</v>
      </c>
      <c r="F913" t="s">
        <v>4564</v>
      </c>
      <c r="G913" t="s">
        <v>4573</v>
      </c>
      <c r="H913" t="s">
        <v>4584</v>
      </c>
      <c r="I913" t="s">
        <v>4589</v>
      </c>
      <c r="J913">
        <v>1</v>
      </c>
      <c r="K913">
        <v>34.33</v>
      </c>
      <c r="L913">
        <v>0</v>
      </c>
      <c r="M913">
        <v>5.74</v>
      </c>
      <c r="N913" t="s">
        <v>5464</v>
      </c>
      <c r="O913" t="s">
        <v>5481</v>
      </c>
      <c r="P913" t="s">
        <v>5477</v>
      </c>
      <c r="Q913" s="4">
        <v>34.33</v>
      </c>
    </row>
    <row r="914" spans="1:17" x14ac:dyDescent="0.3">
      <c r="A914" t="s">
        <v>15</v>
      </c>
      <c r="B914" t="s">
        <v>1415</v>
      </c>
      <c r="C914" s="1">
        <v>45730</v>
      </c>
      <c r="D914" t="s">
        <v>2622</v>
      </c>
      <c r="E914" t="s">
        <v>3262</v>
      </c>
      <c r="F914" t="s">
        <v>4569</v>
      </c>
      <c r="G914" t="s">
        <v>4572</v>
      </c>
      <c r="H914" t="s">
        <v>4583</v>
      </c>
      <c r="I914" t="s">
        <v>4588</v>
      </c>
      <c r="J914">
        <v>2</v>
      </c>
      <c r="K914">
        <v>41.09</v>
      </c>
      <c r="L914">
        <v>0.05</v>
      </c>
      <c r="M914">
        <v>2.41</v>
      </c>
      <c r="N914" t="s">
        <v>5462</v>
      </c>
      <c r="O914" t="s">
        <v>5469</v>
      </c>
      <c r="P914" t="s">
        <v>5475</v>
      </c>
      <c r="Q914" s="4">
        <v>78.070999999999998</v>
      </c>
    </row>
    <row r="915" spans="1:17" x14ac:dyDescent="0.3">
      <c r="A915" t="s">
        <v>906</v>
      </c>
      <c r="B915" t="s">
        <v>2231</v>
      </c>
      <c r="C915" s="1">
        <v>45917</v>
      </c>
      <c r="D915" t="s">
        <v>2682</v>
      </c>
      <c r="E915" t="s">
        <v>4082</v>
      </c>
      <c r="F915" t="s">
        <v>4566</v>
      </c>
      <c r="G915" t="s">
        <v>4573</v>
      </c>
      <c r="H915" t="s">
        <v>4583</v>
      </c>
      <c r="I915" t="s">
        <v>4605</v>
      </c>
      <c r="J915">
        <v>1</v>
      </c>
      <c r="K915">
        <v>46.99</v>
      </c>
      <c r="L915">
        <v>0</v>
      </c>
      <c r="M915">
        <v>9.25</v>
      </c>
      <c r="N915" t="s">
        <v>5481</v>
      </c>
      <c r="O915" t="s">
        <v>5469</v>
      </c>
      <c r="P915" t="s">
        <v>5475</v>
      </c>
      <c r="Q915" s="4">
        <v>46.99</v>
      </c>
    </row>
    <row r="916" spans="1:17" x14ac:dyDescent="0.3">
      <c r="A916" t="s">
        <v>907</v>
      </c>
      <c r="B916" t="s">
        <v>2232</v>
      </c>
      <c r="C916" s="1">
        <v>45300</v>
      </c>
      <c r="D916" t="s">
        <v>3120</v>
      </c>
      <c r="E916" t="s">
        <v>4083</v>
      </c>
      <c r="F916" t="s">
        <v>4569</v>
      </c>
      <c r="G916" t="s">
        <v>4572</v>
      </c>
      <c r="H916" t="s">
        <v>4586</v>
      </c>
      <c r="I916" t="s">
        <v>4593</v>
      </c>
      <c r="J916">
        <v>3</v>
      </c>
      <c r="K916">
        <v>113.61</v>
      </c>
      <c r="L916">
        <v>0</v>
      </c>
      <c r="M916">
        <v>3.13</v>
      </c>
      <c r="N916" t="s">
        <v>5464</v>
      </c>
      <c r="O916" t="s">
        <v>5481</v>
      </c>
      <c r="P916" t="s">
        <v>5477</v>
      </c>
      <c r="Q916" s="4">
        <v>340.83</v>
      </c>
    </row>
    <row r="917" spans="1:17" x14ac:dyDescent="0.3">
      <c r="A917" t="s">
        <v>908</v>
      </c>
      <c r="B917" t="s">
        <v>2233</v>
      </c>
      <c r="C917" s="1">
        <v>45892</v>
      </c>
      <c r="D917" t="s">
        <v>2807</v>
      </c>
      <c r="E917" t="s">
        <v>4084</v>
      </c>
      <c r="F917" t="s">
        <v>4564</v>
      </c>
      <c r="G917" t="s">
        <v>4573</v>
      </c>
      <c r="H917" t="s">
        <v>4585</v>
      </c>
      <c r="I917" t="s">
        <v>4598</v>
      </c>
      <c r="J917">
        <v>1</v>
      </c>
      <c r="K917">
        <v>3.17</v>
      </c>
      <c r="L917">
        <v>0.05</v>
      </c>
      <c r="M917">
        <v>9.59</v>
      </c>
      <c r="N917" t="s">
        <v>5462</v>
      </c>
      <c r="O917" t="s">
        <v>5470</v>
      </c>
      <c r="P917" t="s">
        <v>5475</v>
      </c>
      <c r="Q917" s="4">
        <v>3.0114999999999998</v>
      </c>
    </row>
    <row r="918" spans="1:17" x14ac:dyDescent="0.3">
      <c r="A918" t="s">
        <v>909</v>
      </c>
      <c r="B918" t="s">
        <v>2234</v>
      </c>
      <c r="C918" s="1">
        <v>45763</v>
      </c>
      <c r="D918" t="s">
        <v>3009</v>
      </c>
      <c r="E918" t="s">
        <v>4085</v>
      </c>
      <c r="F918" t="s">
        <v>4566</v>
      </c>
      <c r="G918" t="s">
        <v>4577</v>
      </c>
      <c r="H918" t="s">
        <v>4586</v>
      </c>
      <c r="I918" t="s">
        <v>4609</v>
      </c>
      <c r="J918">
        <v>4</v>
      </c>
      <c r="K918">
        <v>131.04</v>
      </c>
      <c r="L918">
        <v>0.1</v>
      </c>
      <c r="M918">
        <v>5.47</v>
      </c>
      <c r="N918" t="s">
        <v>5463</v>
      </c>
      <c r="O918" t="s">
        <v>5474</v>
      </c>
      <c r="P918" t="s">
        <v>5477</v>
      </c>
      <c r="Q918" s="4">
        <v>471.74399999999997</v>
      </c>
    </row>
    <row r="919" spans="1:17" x14ac:dyDescent="0.3">
      <c r="A919" t="s">
        <v>910</v>
      </c>
      <c r="B919" t="s">
        <v>2235</v>
      </c>
      <c r="C919" s="1">
        <v>45956</v>
      </c>
      <c r="D919" t="s">
        <v>3121</v>
      </c>
      <c r="E919" t="s">
        <v>4086</v>
      </c>
      <c r="F919" t="s">
        <v>4566</v>
      </c>
      <c r="G919" t="s">
        <v>5481</v>
      </c>
      <c r="H919" t="s">
        <v>4584</v>
      </c>
      <c r="I919" t="s">
        <v>4607</v>
      </c>
      <c r="J919">
        <v>2</v>
      </c>
      <c r="K919">
        <v>24.41</v>
      </c>
      <c r="L919">
        <v>0.05</v>
      </c>
      <c r="M919">
        <v>0</v>
      </c>
      <c r="N919" t="s">
        <v>5468</v>
      </c>
      <c r="O919" t="s">
        <v>5469</v>
      </c>
      <c r="P919" t="s">
        <v>5477</v>
      </c>
      <c r="Q919" s="4">
        <v>46.378999999999998</v>
      </c>
    </row>
    <row r="920" spans="1:17" x14ac:dyDescent="0.3">
      <c r="A920" t="s">
        <v>911</v>
      </c>
      <c r="B920" t="s">
        <v>2236</v>
      </c>
      <c r="C920" s="1">
        <v>45558</v>
      </c>
      <c r="D920" t="s">
        <v>3090</v>
      </c>
      <c r="E920" t="s">
        <v>4087</v>
      </c>
      <c r="F920" t="s">
        <v>4566</v>
      </c>
      <c r="G920" t="s">
        <v>4577</v>
      </c>
      <c r="H920" t="s">
        <v>4585</v>
      </c>
      <c r="I920" t="s">
        <v>4590</v>
      </c>
      <c r="J920">
        <v>4</v>
      </c>
      <c r="K920">
        <v>14.34</v>
      </c>
      <c r="L920">
        <v>0.05</v>
      </c>
      <c r="M920">
        <v>4.92</v>
      </c>
      <c r="N920" t="s">
        <v>5465</v>
      </c>
      <c r="O920" t="s">
        <v>5471</v>
      </c>
      <c r="P920" t="s">
        <v>5477</v>
      </c>
      <c r="Q920" s="4">
        <v>54.491999999999997</v>
      </c>
    </row>
    <row r="921" spans="1:17" x14ac:dyDescent="0.3">
      <c r="A921" t="s">
        <v>912</v>
      </c>
      <c r="B921" t="s">
        <v>2237</v>
      </c>
      <c r="C921" s="1">
        <v>45691</v>
      </c>
      <c r="D921" t="s">
        <v>3122</v>
      </c>
      <c r="E921" t="s">
        <v>4088</v>
      </c>
      <c r="F921" t="s">
        <v>4566</v>
      </c>
      <c r="G921" t="s">
        <v>4577</v>
      </c>
      <c r="H921" t="s">
        <v>4584</v>
      </c>
      <c r="I921" t="s">
        <v>4595</v>
      </c>
      <c r="J921">
        <v>5</v>
      </c>
      <c r="K921">
        <v>42.35</v>
      </c>
      <c r="L921">
        <v>0</v>
      </c>
      <c r="M921">
        <v>3.15</v>
      </c>
      <c r="N921" t="s">
        <v>5462</v>
      </c>
      <c r="O921" t="s">
        <v>5470</v>
      </c>
      <c r="P921" t="s">
        <v>5477</v>
      </c>
      <c r="Q921" s="4">
        <v>211.75</v>
      </c>
    </row>
    <row r="922" spans="1:17" x14ac:dyDescent="0.3">
      <c r="A922" t="s">
        <v>913</v>
      </c>
      <c r="B922" t="s">
        <v>1592</v>
      </c>
      <c r="C922" s="1">
        <v>45514</v>
      </c>
      <c r="D922" t="s">
        <v>3171</v>
      </c>
      <c r="E922" t="s">
        <v>4089</v>
      </c>
      <c r="F922" t="s">
        <v>4565</v>
      </c>
      <c r="G922" t="s">
        <v>4579</v>
      </c>
      <c r="H922" t="s">
        <v>4585</v>
      </c>
      <c r="I922" t="s">
        <v>4590</v>
      </c>
      <c r="J922">
        <v>2</v>
      </c>
      <c r="K922">
        <v>14.39</v>
      </c>
      <c r="L922">
        <v>0</v>
      </c>
      <c r="M922">
        <v>2.58</v>
      </c>
      <c r="N922" t="s">
        <v>5467</v>
      </c>
      <c r="O922" t="s">
        <v>5471</v>
      </c>
      <c r="P922" t="s">
        <v>5477</v>
      </c>
      <c r="Q922" s="4">
        <v>28.78</v>
      </c>
    </row>
    <row r="923" spans="1:17" x14ac:dyDescent="0.3">
      <c r="A923" t="s">
        <v>914</v>
      </c>
      <c r="B923" t="s">
        <v>2238</v>
      </c>
      <c r="C923" s="1">
        <v>45857</v>
      </c>
      <c r="D923" t="s">
        <v>2944</v>
      </c>
      <c r="E923" t="s">
        <v>4090</v>
      </c>
      <c r="F923" t="s">
        <v>4564</v>
      </c>
      <c r="G923" t="s">
        <v>4573</v>
      </c>
      <c r="H923" t="s">
        <v>4583</v>
      </c>
      <c r="I923" t="s">
        <v>4588</v>
      </c>
      <c r="J923">
        <v>1</v>
      </c>
      <c r="K923">
        <v>38.020000000000003</v>
      </c>
      <c r="L923">
        <v>0.05</v>
      </c>
      <c r="M923">
        <v>2.33</v>
      </c>
      <c r="N923" t="s">
        <v>5467</v>
      </c>
      <c r="O923" t="s">
        <v>5470</v>
      </c>
      <c r="P923" t="s">
        <v>5479</v>
      </c>
      <c r="Q923" s="4">
        <v>36.119</v>
      </c>
    </row>
    <row r="924" spans="1:17" x14ac:dyDescent="0.3">
      <c r="A924" t="s">
        <v>915</v>
      </c>
      <c r="B924" t="s">
        <v>2239</v>
      </c>
      <c r="C924" s="1">
        <v>45843</v>
      </c>
      <c r="D924" t="s">
        <v>3125</v>
      </c>
      <c r="E924" t="s">
        <v>4091</v>
      </c>
      <c r="F924" t="s">
        <v>4564</v>
      </c>
      <c r="G924" t="s">
        <v>4573</v>
      </c>
      <c r="H924" t="s">
        <v>4587</v>
      </c>
      <c r="I924" t="s">
        <v>4606</v>
      </c>
      <c r="J924">
        <v>3</v>
      </c>
      <c r="K924">
        <v>29.83</v>
      </c>
      <c r="L924">
        <v>0</v>
      </c>
      <c r="M924">
        <v>1.31</v>
      </c>
      <c r="N924" t="s">
        <v>5468</v>
      </c>
      <c r="O924" t="s">
        <v>5474</v>
      </c>
      <c r="P924" t="s">
        <v>5477</v>
      </c>
      <c r="Q924" s="4">
        <v>89.49</v>
      </c>
    </row>
    <row r="925" spans="1:17" x14ac:dyDescent="0.3">
      <c r="A925" t="s">
        <v>916</v>
      </c>
      <c r="B925" t="s">
        <v>2240</v>
      </c>
      <c r="C925" s="1">
        <v>45938</v>
      </c>
      <c r="D925" t="s">
        <v>2979</v>
      </c>
      <c r="E925" t="s">
        <v>4092</v>
      </c>
      <c r="F925" t="s">
        <v>4549</v>
      </c>
      <c r="G925" t="s">
        <v>4574</v>
      </c>
      <c r="H925" t="s">
        <v>4584</v>
      </c>
      <c r="I925" t="s">
        <v>4607</v>
      </c>
      <c r="J925">
        <v>1</v>
      </c>
      <c r="K925">
        <v>25.76</v>
      </c>
      <c r="L925">
        <v>0</v>
      </c>
      <c r="M925">
        <v>5.84</v>
      </c>
      <c r="N925" t="s">
        <v>5468</v>
      </c>
      <c r="O925" t="s">
        <v>5469</v>
      </c>
      <c r="P925" t="s">
        <v>5477</v>
      </c>
      <c r="Q925" s="4">
        <v>25.76</v>
      </c>
    </row>
    <row r="926" spans="1:17" x14ac:dyDescent="0.3">
      <c r="A926" t="s">
        <v>917</v>
      </c>
      <c r="B926" t="s">
        <v>1959</v>
      </c>
      <c r="C926" s="1">
        <v>45419</v>
      </c>
      <c r="D926" t="s">
        <v>3040</v>
      </c>
      <c r="E926" t="s">
        <v>5481</v>
      </c>
      <c r="F926" t="s">
        <v>4566</v>
      </c>
      <c r="G926" t="s">
        <v>4582</v>
      </c>
      <c r="H926" t="s">
        <v>4585</v>
      </c>
      <c r="I926" t="s">
        <v>4591</v>
      </c>
      <c r="J926">
        <v>1</v>
      </c>
      <c r="K926">
        <v>7.79</v>
      </c>
      <c r="L926">
        <v>0.05</v>
      </c>
      <c r="M926">
        <v>5.9</v>
      </c>
      <c r="N926" t="s">
        <v>5466</v>
      </c>
      <c r="O926" t="s">
        <v>5474</v>
      </c>
      <c r="P926" t="s">
        <v>5479</v>
      </c>
      <c r="Q926" s="4">
        <v>7.4005000000000001</v>
      </c>
    </row>
    <row r="927" spans="1:17" x14ac:dyDescent="0.3">
      <c r="A927" t="s">
        <v>918</v>
      </c>
      <c r="B927" t="s">
        <v>2241</v>
      </c>
      <c r="C927" s="1">
        <v>45335</v>
      </c>
      <c r="D927" t="s">
        <v>3010</v>
      </c>
      <c r="E927" t="s">
        <v>4093</v>
      </c>
      <c r="F927" t="s">
        <v>4564</v>
      </c>
      <c r="G927" t="s">
        <v>4573</v>
      </c>
      <c r="H927" t="s">
        <v>4584</v>
      </c>
      <c r="I927" t="s">
        <v>4589</v>
      </c>
      <c r="J927">
        <v>2</v>
      </c>
      <c r="K927">
        <v>36.01</v>
      </c>
      <c r="L927">
        <v>0</v>
      </c>
      <c r="M927">
        <v>12.19</v>
      </c>
      <c r="N927" t="s">
        <v>5465</v>
      </c>
      <c r="O927" t="s">
        <v>5473</v>
      </c>
      <c r="P927" t="s">
        <v>5477</v>
      </c>
      <c r="Q927" s="4">
        <v>72.02</v>
      </c>
    </row>
    <row r="928" spans="1:17" x14ac:dyDescent="0.3">
      <c r="A928" t="s">
        <v>207</v>
      </c>
      <c r="B928" t="s">
        <v>1479</v>
      </c>
      <c r="C928" s="1">
        <v>45744</v>
      </c>
      <c r="D928" t="s">
        <v>3015</v>
      </c>
      <c r="E928" t="s">
        <v>3440</v>
      </c>
      <c r="F928" t="s">
        <v>4565</v>
      </c>
      <c r="G928" t="s">
        <v>4579</v>
      </c>
      <c r="H928" t="s">
        <v>4586</v>
      </c>
      <c r="I928" t="s">
        <v>4597</v>
      </c>
      <c r="J928">
        <v>1</v>
      </c>
      <c r="K928">
        <v>84.78</v>
      </c>
      <c r="L928">
        <v>0</v>
      </c>
      <c r="M928">
        <v>6.54</v>
      </c>
      <c r="N928" t="s">
        <v>5481</v>
      </c>
      <c r="O928" t="s">
        <v>5469</v>
      </c>
      <c r="P928" t="s">
        <v>5477</v>
      </c>
      <c r="Q928" s="4">
        <v>84.78</v>
      </c>
    </row>
    <row r="929" spans="1:17" x14ac:dyDescent="0.3">
      <c r="A929" t="s">
        <v>919</v>
      </c>
      <c r="B929" t="s">
        <v>2242</v>
      </c>
      <c r="C929" s="1">
        <v>45938</v>
      </c>
      <c r="D929" t="s">
        <v>3113</v>
      </c>
      <c r="E929" t="s">
        <v>4094</v>
      </c>
      <c r="F929" t="s">
        <v>4566</v>
      </c>
      <c r="G929" t="s">
        <v>4577</v>
      </c>
      <c r="H929" t="s">
        <v>4583</v>
      </c>
      <c r="I929" t="s">
        <v>4605</v>
      </c>
      <c r="J929">
        <v>4</v>
      </c>
      <c r="K929">
        <v>43.13</v>
      </c>
      <c r="L929">
        <v>0</v>
      </c>
      <c r="M929">
        <v>7.8</v>
      </c>
      <c r="N929" t="s">
        <v>5462</v>
      </c>
      <c r="O929" t="s">
        <v>5473</v>
      </c>
      <c r="P929" t="s">
        <v>5476</v>
      </c>
      <c r="Q929" s="4">
        <v>172.52</v>
      </c>
    </row>
    <row r="930" spans="1:17" x14ac:dyDescent="0.3">
      <c r="A930" t="s">
        <v>920</v>
      </c>
      <c r="B930" t="s">
        <v>2243</v>
      </c>
      <c r="C930" s="1">
        <v>45757</v>
      </c>
      <c r="D930" t="s">
        <v>3128</v>
      </c>
      <c r="E930" t="s">
        <v>4095</v>
      </c>
      <c r="F930" t="s">
        <v>4565</v>
      </c>
      <c r="G930" t="s">
        <v>5481</v>
      </c>
      <c r="H930" t="s">
        <v>4586</v>
      </c>
      <c r="I930" t="s">
        <v>4593</v>
      </c>
      <c r="J930">
        <v>1</v>
      </c>
      <c r="K930">
        <v>112.48</v>
      </c>
      <c r="L930">
        <v>0</v>
      </c>
      <c r="M930">
        <v>13.37</v>
      </c>
      <c r="N930" t="s">
        <v>5465</v>
      </c>
      <c r="O930" t="s">
        <v>5481</v>
      </c>
      <c r="P930" t="s">
        <v>5479</v>
      </c>
      <c r="Q930" s="4">
        <v>112.48</v>
      </c>
    </row>
    <row r="931" spans="1:17" x14ac:dyDescent="0.3">
      <c r="A931" t="s">
        <v>921</v>
      </c>
      <c r="B931" t="s">
        <v>1484</v>
      </c>
      <c r="C931" s="1">
        <v>45342</v>
      </c>
      <c r="D931" t="s">
        <v>3129</v>
      </c>
      <c r="E931" t="s">
        <v>4096</v>
      </c>
      <c r="F931" t="s">
        <v>4549</v>
      </c>
      <c r="G931" t="s">
        <v>4574</v>
      </c>
      <c r="H931" t="s">
        <v>4584</v>
      </c>
      <c r="I931" t="s">
        <v>4589</v>
      </c>
      <c r="J931">
        <v>10</v>
      </c>
      <c r="K931">
        <v>35.58</v>
      </c>
      <c r="L931">
        <v>0.1</v>
      </c>
      <c r="M931">
        <v>3.78</v>
      </c>
      <c r="N931" t="s">
        <v>5464</v>
      </c>
      <c r="O931" t="s">
        <v>5481</v>
      </c>
      <c r="P931" t="s">
        <v>5477</v>
      </c>
      <c r="Q931" s="4">
        <v>320.21999999999997</v>
      </c>
    </row>
    <row r="932" spans="1:17" x14ac:dyDescent="0.3">
      <c r="A932" t="s">
        <v>867</v>
      </c>
      <c r="B932" t="s">
        <v>2196</v>
      </c>
      <c r="C932" s="1">
        <v>45524</v>
      </c>
      <c r="D932" t="s">
        <v>2735</v>
      </c>
      <c r="E932" t="s">
        <v>4048</v>
      </c>
      <c r="F932" t="s">
        <v>4566</v>
      </c>
      <c r="G932" t="s">
        <v>4577</v>
      </c>
      <c r="H932" t="s">
        <v>4583</v>
      </c>
      <c r="I932" t="s">
        <v>4605</v>
      </c>
      <c r="J932">
        <v>1</v>
      </c>
      <c r="K932">
        <v>45.43</v>
      </c>
      <c r="L932">
        <v>0.1</v>
      </c>
      <c r="M932">
        <v>13.93</v>
      </c>
      <c r="N932" t="s">
        <v>5468</v>
      </c>
      <c r="O932" t="s">
        <v>5469</v>
      </c>
      <c r="P932" t="s">
        <v>5479</v>
      </c>
      <c r="Q932" s="4">
        <v>40.887</v>
      </c>
    </row>
    <row r="933" spans="1:17" x14ac:dyDescent="0.3">
      <c r="A933" t="s">
        <v>922</v>
      </c>
      <c r="B933" t="s">
        <v>2244</v>
      </c>
      <c r="C933" s="1">
        <v>45919</v>
      </c>
      <c r="D933" t="s">
        <v>2872</v>
      </c>
      <c r="E933" t="s">
        <v>5481</v>
      </c>
      <c r="F933" t="s">
        <v>4549</v>
      </c>
      <c r="G933" t="s">
        <v>4574</v>
      </c>
      <c r="H933" t="s">
        <v>5481</v>
      </c>
      <c r="I933" t="s">
        <v>4595</v>
      </c>
      <c r="J933">
        <v>1</v>
      </c>
      <c r="K933">
        <v>43.73</v>
      </c>
      <c r="L933">
        <v>0</v>
      </c>
      <c r="M933">
        <v>9.07</v>
      </c>
      <c r="N933" t="s">
        <v>5462</v>
      </c>
      <c r="O933" t="s">
        <v>5474</v>
      </c>
      <c r="P933" t="s">
        <v>5477</v>
      </c>
      <c r="Q933" s="4">
        <v>43.73</v>
      </c>
    </row>
    <row r="934" spans="1:17" x14ac:dyDescent="0.3">
      <c r="A934" t="s">
        <v>923</v>
      </c>
      <c r="B934" t="s">
        <v>2245</v>
      </c>
      <c r="C934" s="1">
        <v>45689</v>
      </c>
      <c r="D934" t="s">
        <v>3043</v>
      </c>
      <c r="E934" t="s">
        <v>4097</v>
      </c>
      <c r="F934" t="s">
        <v>4566</v>
      </c>
      <c r="G934" t="s">
        <v>4577</v>
      </c>
      <c r="H934" t="s">
        <v>4583</v>
      </c>
      <c r="I934" t="s">
        <v>4588</v>
      </c>
      <c r="J934">
        <v>10</v>
      </c>
      <c r="K934">
        <v>41.95</v>
      </c>
      <c r="L934">
        <v>0.1</v>
      </c>
      <c r="M934">
        <v>5.16</v>
      </c>
      <c r="N934" t="s">
        <v>5468</v>
      </c>
      <c r="O934" t="s">
        <v>5470</v>
      </c>
      <c r="P934" t="s">
        <v>5476</v>
      </c>
      <c r="Q934" s="4">
        <v>377.55</v>
      </c>
    </row>
    <row r="935" spans="1:17" x14ac:dyDescent="0.3">
      <c r="A935" t="s">
        <v>924</v>
      </c>
      <c r="B935" t="s">
        <v>2246</v>
      </c>
      <c r="C935" s="1">
        <v>45665</v>
      </c>
      <c r="D935" t="s">
        <v>2688</v>
      </c>
      <c r="E935" t="s">
        <v>4098</v>
      </c>
      <c r="F935" t="s">
        <v>4569</v>
      </c>
      <c r="G935" t="s">
        <v>4581</v>
      </c>
      <c r="H935" t="s">
        <v>4583</v>
      </c>
      <c r="I935" t="s">
        <v>4588</v>
      </c>
      <c r="J935">
        <v>3</v>
      </c>
      <c r="K935">
        <v>39.49</v>
      </c>
      <c r="L935">
        <v>0</v>
      </c>
      <c r="M935">
        <v>8.9</v>
      </c>
      <c r="N935" t="s">
        <v>5464</v>
      </c>
      <c r="O935" t="s">
        <v>5472</v>
      </c>
      <c r="P935" t="s">
        <v>5477</v>
      </c>
      <c r="Q935" s="4">
        <v>118.47</v>
      </c>
    </row>
    <row r="936" spans="1:17" x14ac:dyDescent="0.3">
      <c r="A936" t="s">
        <v>784</v>
      </c>
      <c r="B936" t="s">
        <v>2130</v>
      </c>
      <c r="C936" s="1">
        <v>45354</v>
      </c>
      <c r="D936" t="s">
        <v>2769</v>
      </c>
      <c r="E936" t="s">
        <v>3968</v>
      </c>
      <c r="F936" t="s">
        <v>4566</v>
      </c>
      <c r="G936" t="s">
        <v>4577</v>
      </c>
      <c r="H936" t="s">
        <v>4587</v>
      </c>
      <c r="I936" t="s">
        <v>4600</v>
      </c>
      <c r="J936">
        <v>4</v>
      </c>
      <c r="K936">
        <v>12.68</v>
      </c>
      <c r="L936">
        <v>0</v>
      </c>
      <c r="M936">
        <v>8.67</v>
      </c>
      <c r="N936" t="s">
        <v>5467</v>
      </c>
      <c r="O936" t="s">
        <v>5473</v>
      </c>
      <c r="P936" t="s">
        <v>5477</v>
      </c>
      <c r="Q936" s="4">
        <v>50.72</v>
      </c>
    </row>
    <row r="937" spans="1:17" x14ac:dyDescent="0.3">
      <c r="A937" t="s">
        <v>925</v>
      </c>
      <c r="B937" t="s">
        <v>1657</v>
      </c>
      <c r="C937" s="1">
        <v>45947</v>
      </c>
      <c r="D937" t="s">
        <v>5495</v>
      </c>
      <c r="E937" t="s">
        <v>4099</v>
      </c>
      <c r="F937" t="s">
        <v>4565</v>
      </c>
      <c r="G937" t="s">
        <v>4576</v>
      </c>
      <c r="H937" t="s">
        <v>4586</v>
      </c>
      <c r="I937" t="s">
        <v>4609</v>
      </c>
      <c r="J937">
        <v>10</v>
      </c>
      <c r="K937">
        <v>124.12</v>
      </c>
      <c r="L937">
        <v>0</v>
      </c>
      <c r="M937">
        <v>10.79</v>
      </c>
      <c r="N937" t="s">
        <v>5467</v>
      </c>
      <c r="O937" t="s">
        <v>5481</v>
      </c>
      <c r="P937" t="s">
        <v>5477</v>
      </c>
      <c r="Q937" s="4">
        <v>1241.2</v>
      </c>
    </row>
    <row r="938" spans="1:17" x14ac:dyDescent="0.3">
      <c r="A938" t="s">
        <v>926</v>
      </c>
      <c r="B938" t="s">
        <v>1923</v>
      </c>
      <c r="C938" s="1">
        <v>45945</v>
      </c>
      <c r="D938" t="s">
        <v>3081</v>
      </c>
      <c r="E938" t="s">
        <v>4100</v>
      </c>
      <c r="F938" t="s">
        <v>4564</v>
      </c>
      <c r="G938" t="s">
        <v>4578</v>
      </c>
      <c r="H938" t="s">
        <v>4585</v>
      </c>
      <c r="I938" t="s">
        <v>4602</v>
      </c>
      <c r="J938">
        <v>1</v>
      </c>
      <c r="K938">
        <v>4.42</v>
      </c>
      <c r="L938">
        <v>0.05</v>
      </c>
      <c r="M938">
        <v>0.92</v>
      </c>
      <c r="N938" t="s">
        <v>5465</v>
      </c>
      <c r="O938" t="s">
        <v>5474</v>
      </c>
      <c r="P938" t="s">
        <v>5477</v>
      </c>
      <c r="Q938" s="4">
        <v>4.1989999999999998</v>
      </c>
    </row>
    <row r="939" spans="1:17" x14ac:dyDescent="0.3">
      <c r="A939" t="s">
        <v>927</v>
      </c>
      <c r="B939" t="s">
        <v>1601</v>
      </c>
      <c r="C939" s="1">
        <v>45478</v>
      </c>
      <c r="D939" t="s">
        <v>3159</v>
      </c>
      <c r="E939" t="s">
        <v>4101</v>
      </c>
      <c r="F939" t="s">
        <v>4565</v>
      </c>
      <c r="G939" t="s">
        <v>4575</v>
      </c>
      <c r="H939" t="s">
        <v>4584</v>
      </c>
      <c r="I939" t="s">
        <v>4595</v>
      </c>
      <c r="J939">
        <v>1</v>
      </c>
      <c r="K939">
        <v>41.05</v>
      </c>
      <c r="L939">
        <v>0.15</v>
      </c>
      <c r="M939">
        <v>8.8699999999999992</v>
      </c>
      <c r="N939" t="s">
        <v>5467</v>
      </c>
      <c r="O939" t="s">
        <v>5481</v>
      </c>
      <c r="P939" t="s">
        <v>5477</v>
      </c>
      <c r="Q939" s="4">
        <v>34.892499999999998</v>
      </c>
    </row>
    <row r="940" spans="1:17" x14ac:dyDescent="0.3">
      <c r="A940" t="s">
        <v>928</v>
      </c>
      <c r="B940" t="s">
        <v>2198</v>
      </c>
      <c r="C940" s="1">
        <v>45379</v>
      </c>
      <c r="D940" t="s">
        <v>2678</v>
      </c>
      <c r="E940" t="s">
        <v>5481</v>
      </c>
      <c r="F940" t="s">
        <v>4566</v>
      </c>
      <c r="G940" t="s">
        <v>4582</v>
      </c>
      <c r="H940" t="s">
        <v>4587</v>
      </c>
      <c r="I940" t="s">
        <v>4594</v>
      </c>
      <c r="J940">
        <v>3</v>
      </c>
      <c r="K940">
        <v>59.49</v>
      </c>
      <c r="L940">
        <v>0.1</v>
      </c>
      <c r="M940">
        <v>0</v>
      </c>
      <c r="N940" t="s">
        <v>5465</v>
      </c>
      <c r="O940" t="s">
        <v>5481</v>
      </c>
      <c r="P940" t="s">
        <v>5477</v>
      </c>
      <c r="Q940" s="4">
        <v>160.62299999999999</v>
      </c>
    </row>
    <row r="941" spans="1:17" x14ac:dyDescent="0.3">
      <c r="A941" t="s">
        <v>929</v>
      </c>
      <c r="B941" t="s">
        <v>1771</v>
      </c>
      <c r="C941" s="1">
        <v>45866</v>
      </c>
      <c r="D941" t="s">
        <v>2900</v>
      </c>
      <c r="E941" t="s">
        <v>4102</v>
      </c>
      <c r="F941" t="s">
        <v>4569</v>
      </c>
      <c r="G941" t="s">
        <v>4572</v>
      </c>
      <c r="H941" t="s">
        <v>4583</v>
      </c>
      <c r="I941" t="s">
        <v>4605</v>
      </c>
      <c r="J941">
        <v>4</v>
      </c>
      <c r="K941">
        <v>46.84</v>
      </c>
      <c r="L941">
        <v>0</v>
      </c>
      <c r="M941">
        <v>6.66</v>
      </c>
      <c r="N941" t="s">
        <v>5468</v>
      </c>
      <c r="O941" t="s">
        <v>5481</v>
      </c>
      <c r="P941" t="s">
        <v>5477</v>
      </c>
      <c r="Q941" s="4">
        <v>187.36</v>
      </c>
    </row>
    <row r="942" spans="1:17" x14ac:dyDescent="0.3">
      <c r="A942" t="s">
        <v>930</v>
      </c>
      <c r="B942" t="s">
        <v>2247</v>
      </c>
      <c r="C942" s="1">
        <v>45830</v>
      </c>
      <c r="D942" t="s">
        <v>2896</v>
      </c>
      <c r="E942" t="s">
        <v>4103</v>
      </c>
      <c r="F942" t="s">
        <v>4566</v>
      </c>
      <c r="G942" t="s">
        <v>4582</v>
      </c>
      <c r="H942" t="s">
        <v>4587</v>
      </c>
      <c r="I942" t="s">
        <v>4596</v>
      </c>
      <c r="J942">
        <v>1</v>
      </c>
      <c r="K942">
        <v>15.21</v>
      </c>
      <c r="L942">
        <v>0</v>
      </c>
      <c r="M942">
        <v>10.61</v>
      </c>
      <c r="N942" t="s">
        <v>5466</v>
      </c>
      <c r="O942" t="s">
        <v>5471</v>
      </c>
      <c r="P942" t="s">
        <v>5477</v>
      </c>
      <c r="Q942" s="4">
        <v>15.21</v>
      </c>
    </row>
    <row r="943" spans="1:17" x14ac:dyDescent="0.3">
      <c r="A943" t="s">
        <v>931</v>
      </c>
      <c r="B943" t="s">
        <v>2248</v>
      </c>
      <c r="C943" s="1">
        <v>45648</v>
      </c>
      <c r="D943" t="s">
        <v>2803</v>
      </c>
      <c r="E943" t="s">
        <v>4104</v>
      </c>
      <c r="F943" t="s">
        <v>4566</v>
      </c>
      <c r="G943" t="s">
        <v>4577</v>
      </c>
      <c r="H943" t="s">
        <v>4586</v>
      </c>
      <c r="I943" t="s">
        <v>4593</v>
      </c>
      <c r="J943">
        <v>1</v>
      </c>
      <c r="K943">
        <v>109.03</v>
      </c>
      <c r="L943">
        <v>0</v>
      </c>
      <c r="M943">
        <v>2.88</v>
      </c>
      <c r="N943" t="s">
        <v>5466</v>
      </c>
      <c r="O943" t="s">
        <v>5470</v>
      </c>
      <c r="P943" t="s">
        <v>5475</v>
      </c>
      <c r="Q943" s="4">
        <v>109.03</v>
      </c>
    </row>
    <row r="944" spans="1:17" x14ac:dyDescent="0.3">
      <c r="A944" t="s">
        <v>932</v>
      </c>
      <c r="B944" t="s">
        <v>2249</v>
      </c>
      <c r="C944" s="1">
        <v>45436</v>
      </c>
      <c r="D944" t="s">
        <v>3000</v>
      </c>
      <c r="E944" t="s">
        <v>5481</v>
      </c>
      <c r="F944" t="s">
        <v>4565</v>
      </c>
      <c r="G944" t="s">
        <v>4575</v>
      </c>
      <c r="H944" t="s">
        <v>4583</v>
      </c>
      <c r="I944" t="s">
        <v>4588</v>
      </c>
      <c r="J944">
        <v>5</v>
      </c>
      <c r="K944">
        <v>41.87</v>
      </c>
      <c r="L944">
        <v>0</v>
      </c>
      <c r="M944">
        <v>1.99</v>
      </c>
      <c r="N944" t="s">
        <v>5466</v>
      </c>
      <c r="O944" t="s">
        <v>5473</v>
      </c>
      <c r="P944" t="s">
        <v>5475</v>
      </c>
      <c r="Q944" s="4">
        <v>209.35</v>
      </c>
    </row>
    <row r="945" spans="1:17" x14ac:dyDescent="0.3">
      <c r="A945" t="s">
        <v>933</v>
      </c>
      <c r="B945" t="s">
        <v>1649</v>
      </c>
      <c r="C945" s="1">
        <v>45582</v>
      </c>
      <c r="D945" t="s">
        <v>3134</v>
      </c>
      <c r="E945" t="s">
        <v>4105</v>
      </c>
      <c r="F945" t="s">
        <v>4549</v>
      </c>
      <c r="G945" t="s">
        <v>4573</v>
      </c>
      <c r="H945" t="s">
        <v>4584</v>
      </c>
      <c r="I945" t="s">
        <v>4601</v>
      </c>
      <c r="J945">
        <v>4</v>
      </c>
      <c r="K945">
        <v>190.91</v>
      </c>
      <c r="L945">
        <v>0</v>
      </c>
      <c r="M945">
        <v>7.9</v>
      </c>
      <c r="N945" t="s">
        <v>5464</v>
      </c>
      <c r="O945" t="s">
        <v>5469</v>
      </c>
      <c r="P945" t="s">
        <v>5477</v>
      </c>
      <c r="Q945" s="4">
        <v>763.64</v>
      </c>
    </row>
    <row r="946" spans="1:17" x14ac:dyDescent="0.3">
      <c r="A946" t="s">
        <v>934</v>
      </c>
      <c r="B946" t="s">
        <v>1988</v>
      </c>
      <c r="C946" s="1">
        <v>45637</v>
      </c>
      <c r="D946" t="s">
        <v>2840</v>
      </c>
      <c r="E946" t="s">
        <v>4106</v>
      </c>
      <c r="F946" t="s">
        <v>4569</v>
      </c>
      <c r="G946" t="s">
        <v>4572</v>
      </c>
      <c r="H946" t="s">
        <v>4583</v>
      </c>
      <c r="I946" t="s">
        <v>4588</v>
      </c>
      <c r="J946">
        <v>1</v>
      </c>
      <c r="K946">
        <v>40.86</v>
      </c>
      <c r="L946">
        <v>0</v>
      </c>
      <c r="M946">
        <v>13.5</v>
      </c>
      <c r="N946" t="s">
        <v>5463</v>
      </c>
      <c r="O946" t="s">
        <v>5481</v>
      </c>
      <c r="P946" t="s">
        <v>5477</v>
      </c>
      <c r="Q946" s="4">
        <v>40.86</v>
      </c>
    </row>
    <row r="947" spans="1:17" x14ac:dyDescent="0.3">
      <c r="A947" t="s">
        <v>935</v>
      </c>
      <c r="B947" t="s">
        <v>2225</v>
      </c>
      <c r="C947" s="1">
        <v>45509</v>
      </c>
      <c r="D947" t="s">
        <v>2793</v>
      </c>
      <c r="E947" t="s">
        <v>4107</v>
      </c>
      <c r="F947" t="s">
        <v>4549</v>
      </c>
      <c r="G947" t="s">
        <v>4574</v>
      </c>
      <c r="H947" t="s">
        <v>4585</v>
      </c>
      <c r="I947" t="s">
        <v>4592</v>
      </c>
      <c r="J947">
        <v>4</v>
      </c>
      <c r="K947">
        <v>6.36</v>
      </c>
      <c r="L947">
        <v>0</v>
      </c>
      <c r="M947">
        <v>12.18</v>
      </c>
      <c r="N947" t="s">
        <v>5467</v>
      </c>
      <c r="O947" t="s">
        <v>5469</v>
      </c>
      <c r="P947" t="s">
        <v>5477</v>
      </c>
      <c r="Q947" s="4">
        <v>25.44</v>
      </c>
    </row>
    <row r="948" spans="1:17" x14ac:dyDescent="0.3">
      <c r="A948" t="s">
        <v>936</v>
      </c>
      <c r="B948" t="s">
        <v>2250</v>
      </c>
      <c r="C948" s="1">
        <v>45440</v>
      </c>
      <c r="D948" t="s">
        <v>3035</v>
      </c>
      <c r="E948" t="s">
        <v>4108</v>
      </c>
      <c r="F948" t="s">
        <v>4569</v>
      </c>
      <c r="G948" t="s">
        <v>4572</v>
      </c>
      <c r="H948" t="s">
        <v>4586</v>
      </c>
      <c r="I948" t="s">
        <v>4609</v>
      </c>
      <c r="J948">
        <v>1</v>
      </c>
      <c r="K948">
        <v>130.24</v>
      </c>
      <c r="L948">
        <v>0.05</v>
      </c>
      <c r="M948">
        <v>0.26</v>
      </c>
      <c r="N948" t="s">
        <v>5466</v>
      </c>
      <c r="O948" t="s">
        <v>5469</v>
      </c>
      <c r="P948" t="s">
        <v>5479</v>
      </c>
      <c r="Q948" s="4">
        <v>123.72800000000001</v>
      </c>
    </row>
    <row r="949" spans="1:17" x14ac:dyDescent="0.3">
      <c r="A949" t="s">
        <v>937</v>
      </c>
      <c r="B949" t="s">
        <v>2251</v>
      </c>
      <c r="C949" s="1">
        <v>45842</v>
      </c>
      <c r="D949" t="s">
        <v>3002</v>
      </c>
      <c r="E949" t="s">
        <v>4109</v>
      </c>
      <c r="F949" t="s">
        <v>4549</v>
      </c>
      <c r="G949" t="s">
        <v>4573</v>
      </c>
      <c r="H949" t="s">
        <v>4586</v>
      </c>
      <c r="I949" t="s">
        <v>4599</v>
      </c>
      <c r="J949">
        <v>2</v>
      </c>
      <c r="K949">
        <v>250.93</v>
      </c>
      <c r="L949">
        <v>0</v>
      </c>
      <c r="M949">
        <v>8.51</v>
      </c>
      <c r="N949" t="s">
        <v>5467</v>
      </c>
      <c r="O949" t="s">
        <v>5474</v>
      </c>
      <c r="P949" t="s">
        <v>5477</v>
      </c>
      <c r="Q949" s="4">
        <v>501.86</v>
      </c>
    </row>
    <row r="950" spans="1:17" x14ac:dyDescent="0.3">
      <c r="A950" t="s">
        <v>938</v>
      </c>
      <c r="B950" t="s">
        <v>2252</v>
      </c>
      <c r="C950" s="1">
        <v>45766</v>
      </c>
      <c r="D950" t="s">
        <v>2939</v>
      </c>
      <c r="E950" t="s">
        <v>4110</v>
      </c>
      <c r="F950" t="s">
        <v>4565</v>
      </c>
      <c r="G950" t="s">
        <v>4576</v>
      </c>
      <c r="H950" t="s">
        <v>5481</v>
      </c>
      <c r="I950" t="s">
        <v>4588</v>
      </c>
      <c r="J950">
        <v>2</v>
      </c>
      <c r="K950">
        <v>38.79</v>
      </c>
      <c r="L950">
        <v>0</v>
      </c>
      <c r="M950">
        <v>2.31</v>
      </c>
      <c r="N950" t="s">
        <v>5462</v>
      </c>
      <c r="O950" t="s">
        <v>5471</v>
      </c>
      <c r="P950" t="s">
        <v>5477</v>
      </c>
      <c r="Q950" s="4">
        <v>77.58</v>
      </c>
    </row>
    <row r="951" spans="1:17" x14ac:dyDescent="0.3">
      <c r="A951" t="s">
        <v>939</v>
      </c>
      <c r="B951" t="s">
        <v>2253</v>
      </c>
      <c r="C951" s="1">
        <v>45574</v>
      </c>
      <c r="D951" t="s">
        <v>3137</v>
      </c>
      <c r="E951" t="s">
        <v>4111</v>
      </c>
      <c r="F951" t="s">
        <v>4549</v>
      </c>
      <c r="G951" t="s">
        <v>4573</v>
      </c>
      <c r="H951" t="s">
        <v>4585</v>
      </c>
      <c r="I951" t="s">
        <v>4598</v>
      </c>
      <c r="J951">
        <v>5</v>
      </c>
      <c r="K951">
        <v>3.08</v>
      </c>
      <c r="L951">
        <v>0</v>
      </c>
      <c r="M951">
        <v>6.69</v>
      </c>
      <c r="N951" t="s">
        <v>5468</v>
      </c>
      <c r="O951" t="s">
        <v>5470</v>
      </c>
      <c r="P951" t="s">
        <v>5477</v>
      </c>
      <c r="Q951" s="4">
        <v>15.4</v>
      </c>
    </row>
    <row r="952" spans="1:17" x14ac:dyDescent="0.3">
      <c r="A952" t="s">
        <v>940</v>
      </c>
      <c r="B952" t="s">
        <v>2254</v>
      </c>
      <c r="C952" s="1">
        <v>45558</v>
      </c>
      <c r="D952" t="s">
        <v>2768</v>
      </c>
      <c r="E952" t="s">
        <v>4112</v>
      </c>
      <c r="F952" t="s">
        <v>4564</v>
      </c>
      <c r="G952" t="s">
        <v>4578</v>
      </c>
      <c r="H952" t="s">
        <v>4586</v>
      </c>
      <c r="I952" t="s">
        <v>4593</v>
      </c>
      <c r="J952">
        <v>2</v>
      </c>
      <c r="K952">
        <v>105.78</v>
      </c>
      <c r="L952">
        <v>0.15</v>
      </c>
      <c r="M952">
        <v>9.89</v>
      </c>
      <c r="N952" t="s">
        <v>5467</v>
      </c>
      <c r="O952" t="s">
        <v>5470</v>
      </c>
      <c r="P952" t="s">
        <v>5477</v>
      </c>
      <c r="Q952" s="4">
        <v>179.82599999999999</v>
      </c>
    </row>
    <row r="953" spans="1:17" x14ac:dyDescent="0.3">
      <c r="A953" t="s">
        <v>941</v>
      </c>
      <c r="B953" t="s">
        <v>2255</v>
      </c>
      <c r="C953" s="1">
        <v>45433</v>
      </c>
      <c r="D953" t="s">
        <v>2900</v>
      </c>
      <c r="E953" t="s">
        <v>4113</v>
      </c>
      <c r="F953" t="s">
        <v>4564</v>
      </c>
      <c r="G953" t="s">
        <v>4578</v>
      </c>
      <c r="H953" t="s">
        <v>4586</v>
      </c>
      <c r="I953" t="s">
        <v>4597</v>
      </c>
      <c r="J953">
        <v>2</v>
      </c>
      <c r="K953">
        <v>89.04</v>
      </c>
      <c r="L953">
        <v>0.15</v>
      </c>
      <c r="M953">
        <v>13.47</v>
      </c>
      <c r="N953" t="s">
        <v>5465</v>
      </c>
      <c r="O953" t="s">
        <v>5469</v>
      </c>
      <c r="P953" t="s">
        <v>5477</v>
      </c>
      <c r="Q953" s="4">
        <v>151.36799999999999</v>
      </c>
    </row>
    <row r="954" spans="1:17" x14ac:dyDescent="0.3">
      <c r="A954" t="s">
        <v>942</v>
      </c>
      <c r="B954" t="s">
        <v>2256</v>
      </c>
      <c r="C954" s="1">
        <v>45872</v>
      </c>
      <c r="D954" t="s">
        <v>2899</v>
      </c>
      <c r="E954" t="s">
        <v>4114</v>
      </c>
      <c r="F954" t="s">
        <v>4564</v>
      </c>
      <c r="G954" t="s">
        <v>4573</v>
      </c>
      <c r="H954" t="s">
        <v>4586</v>
      </c>
      <c r="I954" t="s">
        <v>4599</v>
      </c>
      <c r="J954">
        <v>10</v>
      </c>
      <c r="K954">
        <v>246.83</v>
      </c>
      <c r="L954">
        <v>0</v>
      </c>
      <c r="M954">
        <v>14.85</v>
      </c>
      <c r="N954" t="s">
        <v>5481</v>
      </c>
      <c r="O954" t="s">
        <v>5471</v>
      </c>
      <c r="P954" t="s">
        <v>5477</v>
      </c>
      <c r="Q954" s="4">
        <v>2468.3000000000002</v>
      </c>
    </row>
    <row r="955" spans="1:17" x14ac:dyDescent="0.3">
      <c r="A955" t="s">
        <v>943</v>
      </c>
      <c r="B955" t="s">
        <v>1642</v>
      </c>
      <c r="C955" s="1">
        <v>45876</v>
      </c>
      <c r="D955" t="s">
        <v>3138</v>
      </c>
      <c r="E955" t="s">
        <v>4115</v>
      </c>
      <c r="F955" t="s">
        <v>4565</v>
      </c>
      <c r="G955" t="s">
        <v>4576</v>
      </c>
      <c r="H955" t="s">
        <v>4585</v>
      </c>
      <c r="I955" t="s">
        <v>4592</v>
      </c>
      <c r="J955">
        <v>1</v>
      </c>
      <c r="K955">
        <v>6.2</v>
      </c>
      <c r="L955">
        <v>0</v>
      </c>
      <c r="M955">
        <v>11.01</v>
      </c>
      <c r="N955" t="s">
        <v>5465</v>
      </c>
      <c r="O955" t="s">
        <v>5481</v>
      </c>
      <c r="P955" t="s">
        <v>5477</v>
      </c>
      <c r="Q955" s="4">
        <v>6.2</v>
      </c>
    </row>
    <row r="956" spans="1:17" x14ac:dyDescent="0.3">
      <c r="A956" t="s">
        <v>944</v>
      </c>
      <c r="B956" t="s">
        <v>2257</v>
      </c>
      <c r="C956" s="1">
        <v>45535</v>
      </c>
      <c r="D956" t="s">
        <v>2990</v>
      </c>
      <c r="E956" t="s">
        <v>4116</v>
      </c>
      <c r="F956" t="s">
        <v>4569</v>
      </c>
      <c r="G956" t="s">
        <v>4572</v>
      </c>
      <c r="H956" t="s">
        <v>4586</v>
      </c>
      <c r="I956" t="s">
        <v>4599</v>
      </c>
      <c r="J956">
        <v>1</v>
      </c>
      <c r="K956">
        <v>237.97</v>
      </c>
      <c r="L956">
        <v>0.05</v>
      </c>
      <c r="M956">
        <v>7.07</v>
      </c>
      <c r="N956" t="s">
        <v>5465</v>
      </c>
      <c r="O956" t="s">
        <v>5473</v>
      </c>
      <c r="P956" t="s">
        <v>5476</v>
      </c>
      <c r="Q956" s="4">
        <v>226.07149999999999</v>
      </c>
    </row>
    <row r="957" spans="1:17" x14ac:dyDescent="0.3">
      <c r="A957" t="s">
        <v>945</v>
      </c>
      <c r="B957" t="s">
        <v>2258</v>
      </c>
      <c r="C957" s="1">
        <v>45589</v>
      </c>
      <c r="D957" t="s">
        <v>2814</v>
      </c>
      <c r="E957" t="s">
        <v>4117</v>
      </c>
      <c r="F957" t="s">
        <v>4549</v>
      </c>
      <c r="G957" t="s">
        <v>4574</v>
      </c>
      <c r="H957" t="s">
        <v>4587</v>
      </c>
      <c r="I957" t="s">
        <v>4606</v>
      </c>
      <c r="J957">
        <v>1</v>
      </c>
      <c r="K957">
        <v>29.61</v>
      </c>
      <c r="L957">
        <v>0.1</v>
      </c>
      <c r="M957">
        <v>7.05</v>
      </c>
      <c r="N957" t="s">
        <v>5467</v>
      </c>
      <c r="O957" t="s">
        <v>5471</v>
      </c>
      <c r="P957" t="s">
        <v>5477</v>
      </c>
      <c r="Q957" s="4">
        <v>26.649000000000001</v>
      </c>
    </row>
    <row r="958" spans="1:17" x14ac:dyDescent="0.3">
      <c r="A958" t="s">
        <v>946</v>
      </c>
      <c r="B958" t="s">
        <v>2259</v>
      </c>
      <c r="C958" s="1">
        <v>45897</v>
      </c>
      <c r="D958" t="s">
        <v>2702</v>
      </c>
      <c r="E958" t="s">
        <v>4118</v>
      </c>
      <c r="F958" t="s">
        <v>4549</v>
      </c>
      <c r="G958" t="s">
        <v>4574</v>
      </c>
      <c r="H958" t="s">
        <v>4585</v>
      </c>
      <c r="I958" t="s">
        <v>4602</v>
      </c>
      <c r="J958">
        <v>5</v>
      </c>
      <c r="K958">
        <v>4.0599999999999996</v>
      </c>
      <c r="L958">
        <v>0</v>
      </c>
      <c r="M958">
        <v>4.28</v>
      </c>
      <c r="N958" t="s">
        <v>5467</v>
      </c>
      <c r="O958" t="s">
        <v>5473</v>
      </c>
      <c r="P958" t="s">
        <v>5479</v>
      </c>
      <c r="Q958" s="4">
        <v>20.299999999999997</v>
      </c>
    </row>
    <row r="959" spans="1:17" x14ac:dyDescent="0.3">
      <c r="A959" t="s">
        <v>947</v>
      </c>
      <c r="B959" t="s">
        <v>2260</v>
      </c>
      <c r="C959" s="1">
        <v>45480</v>
      </c>
      <c r="D959" t="s">
        <v>3140</v>
      </c>
      <c r="E959" t="s">
        <v>4119</v>
      </c>
      <c r="F959" t="s">
        <v>4569</v>
      </c>
      <c r="G959" t="s">
        <v>4580</v>
      </c>
      <c r="H959" t="s">
        <v>4585</v>
      </c>
      <c r="I959" t="s">
        <v>4590</v>
      </c>
      <c r="J959">
        <v>1</v>
      </c>
      <c r="K959">
        <v>14.67</v>
      </c>
      <c r="L959">
        <v>0.1</v>
      </c>
      <c r="M959">
        <v>11.14</v>
      </c>
      <c r="N959" t="s">
        <v>5466</v>
      </c>
      <c r="O959" t="s">
        <v>5481</v>
      </c>
      <c r="P959" t="s">
        <v>5476</v>
      </c>
      <c r="Q959" s="4">
        <v>13.202999999999999</v>
      </c>
    </row>
    <row r="960" spans="1:17" x14ac:dyDescent="0.3">
      <c r="A960" t="s">
        <v>948</v>
      </c>
      <c r="B960" t="s">
        <v>1599</v>
      </c>
      <c r="C960" s="1">
        <v>45981</v>
      </c>
      <c r="D960" t="s">
        <v>3084</v>
      </c>
      <c r="E960" t="s">
        <v>4120</v>
      </c>
      <c r="F960" t="s">
        <v>4565</v>
      </c>
      <c r="G960" t="s">
        <v>4576</v>
      </c>
      <c r="H960" t="s">
        <v>4583</v>
      </c>
      <c r="I960" t="s">
        <v>4588</v>
      </c>
      <c r="J960">
        <v>1</v>
      </c>
      <c r="K960">
        <v>40.72</v>
      </c>
      <c r="L960">
        <v>0.05</v>
      </c>
      <c r="M960">
        <v>3.63</v>
      </c>
      <c r="N960" t="s">
        <v>5464</v>
      </c>
      <c r="O960" t="s">
        <v>5471</v>
      </c>
      <c r="P960" t="s">
        <v>5476</v>
      </c>
      <c r="Q960" s="4">
        <v>38.683999999999997</v>
      </c>
    </row>
    <row r="961" spans="1:17" x14ac:dyDescent="0.3">
      <c r="A961" t="s">
        <v>949</v>
      </c>
      <c r="B961" t="s">
        <v>2261</v>
      </c>
      <c r="C961" s="1">
        <v>45375</v>
      </c>
      <c r="D961" t="s">
        <v>2844</v>
      </c>
      <c r="E961" t="s">
        <v>5481</v>
      </c>
      <c r="F961" t="s">
        <v>4564</v>
      </c>
      <c r="G961" t="s">
        <v>4578</v>
      </c>
      <c r="H961" t="s">
        <v>4584</v>
      </c>
      <c r="I961" t="s">
        <v>4603</v>
      </c>
      <c r="J961">
        <v>1</v>
      </c>
      <c r="K961">
        <v>9.36</v>
      </c>
      <c r="L961">
        <v>0</v>
      </c>
      <c r="M961">
        <v>14.58</v>
      </c>
      <c r="N961" t="s">
        <v>5463</v>
      </c>
      <c r="O961" t="s">
        <v>5473</v>
      </c>
      <c r="P961" t="s">
        <v>5476</v>
      </c>
      <c r="Q961" s="4">
        <v>9.36</v>
      </c>
    </row>
    <row r="962" spans="1:17" x14ac:dyDescent="0.3">
      <c r="A962" t="s">
        <v>950</v>
      </c>
      <c r="B962" t="s">
        <v>2021</v>
      </c>
      <c r="C962" s="1">
        <v>45514</v>
      </c>
      <c r="D962" t="s">
        <v>2869</v>
      </c>
      <c r="E962" t="s">
        <v>4121</v>
      </c>
      <c r="F962" t="s">
        <v>4549</v>
      </c>
      <c r="G962" t="s">
        <v>4573</v>
      </c>
      <c r="H962" t="s">
        <v>4586</v>
      </c>
      <c r="I962" t="s">
        <v>4593</v>
      </c>
      <c r="J962">
        <v>1</v>
      </c>
      <c r="K962">
        <v>115.39</v>
      </c>
      <c r="L962">
        <v>0.1</v>
      </c>
      <c r="M962">
        <v>2.25</v>
      </c>
      <c r="N962" t="s">
        <v>5465</v>
      </c>
      <c r="O962" t="s">
        <v>5474</v>
      </c>
      <c r="P962" t="s">
        <v>5477</v>
      </c>
      <c r="Q962" s="4">
        <v>103.851</v>
      </c>
    </row>
    <row r="963" spans="1:17" x14ac:dyDescent="0.3">
      <c r="A963" t="s">
        <v>951</v>
      </c>
      <c r="B963" t="s">
        <v>2262</v>
      </c>
      <c r="C963" s="1">
        <v>45839</v>
      </c>
      <c r="D963" t="s">
        <v>2758</v>
      </c>
      <c r="E963" t="s">
        <v>4122</v>
      </c>
      <c r="F963" t="s">
        <v>4564</v>
      </c>
      <c r="G963" t="s">
        <v>4573</v>
      </c>
      <c r="H963" t="s">
        <v>4587</v>
      </c>
      <c r="I963" t="s">
        <v>4596</v>
      </c>
      <c r="J963">
        <v>2</v>
      </c>
      <c r="K963">
        <v>14.97</v>
      </c>
      <c r="L963">
        <v>0</v>
      </c>
      <c r="M963">
        <v>0</v>
      </c>
      <c r="N963" t="s">
        <v>5466</v>
      </c>
      <c r="O963" t="s">
        <v>5481</v>
      </c>
      <c r="P963" t="s">
        <v>5479</v>
      </c>
      <c r="Q963" s="4">
        <v>29.94</v>
      </c>
    </row>
    <row r="964" spans="1:17" x14ac:dyDescent="0.3">
      <c r="A964" t="s">
        <v>952</v>
      </c>
      <c r="B964" t="s">
        <v>2263</v>
      </c>
      <c r="C964" s="1">
        <v>45437</v>
      </c>
      <c r="D964" t="s">
        <v>2754</v>
      </c>
      <c r="E964" t="s">
        <v>4123</v>
      </c>
      <c r="F964" t="s">
        <v>4566</v>
      </c>
      <c r="G964" t="s">
        <v>4573</v>
      </c>
      <c r="H964" t="s">
        <v>4587</v>
      </c>
      <c r="I964" t="s">
        <v>4600</v>
      </c>
      <c r="J964">
        <v>2</v>
      </c>
      <c r="K964">
        <v>12.97</v>
      </c>
      <c r="L964">
        <v>0</v>
      </c>
      <c r="M964">
        <v>5.97</v>
      </c>
      <c r="N964" t="s">
        <v>5467</v>
      </c>
      <c r="O964" t="s">
        <v>5473</v>
      </c>
      <c r="P964" t="s">
        <v>5477</v>
      </c>
      <c r="Q964" s="4">
        <v>25.94</v>
      </c>
    </row>
    <row r="965" spans="1:17" x14ac:dyDescent="0.3">
      <c r="A965" t="s">
        <v>953</v>
      </c>
      <c r="B965" t="s">
        <v>2264</v>
      </c>
      <c r="C965" s="1">
        <v>46011</v>
      </c>
      <c r="D965" t="s">
        <v>2972</v>
      </c>
      <c r="E965" t="s">
        <v>4124</v>
      </c>
      <c r="F965" t="s">
        <v>4566</v>
      </c>
      <c r="G965" t="s">
        <v>4573</v>
      </c>
      <c r="H965" t="s">
        <v>4583</v>
      </c>
      <c r="I965" t="s">
        <v>4605</v>
      </c>
      <c r="J965">
        <v>1</v>
      </c>
      <c r="K965">
        <v>44.26</v>
      </c>
      <c r="L965">
        <v>0</v>
      </c>
      <c r="M965">
        <v>12.35</v>
      </c>
      <c r="N965" t="s">
        <v>5466</v>
      </c>
      <c r="O965" t="s">
        <v>5471</v>
      </c>
      <c r="P965" t="s">
        <v>5476</v>
      </c>
      <c r="Q965" s="4">
        <v>44.26</v>
      </c>
    </row>
    <row r="966" spans="1:17" x14ac:dyDescent="0.3">
      <c r="A966" t="s">
        <v>954</v>
      </c>
      <c r="B966" t="s">
        <v>1504</v>
      </c>
      <c r="C966" s="1">
        <v>45387</v>
      </c>
      <c r="D966" t="s">
        <v>2911</v>
      </c>
      <c r="E966" t="s">
        <v>4125</v>
      </c>
      <c r="F966" t="s">
        <v>4549</v>
      </c>
      <c r="G966" t="s">
        <v>4573</v>
      </c>
      <c r="H966" t="s">
        <v>4587</v>
      </c>
      <c r="I966" t="s">
        <v>4606</v>
      </c>
      <c r="J966">
        <v>1</v>
      </c>
      <c r="K966">
        <v>29.46</v>
      </c>
      <c r="L966">
        <v>0.1</v>
      </c>
      <c r="M966">
        <v>12.23</v>
      </c>
      <c r="N966" t="s">
        <v>5464</v>
      </c>
      <c r="O966" t="s">
        <v>5474</v>
      </c>
      <c r="P966" t="s">
        <v>5477</v>
      </c>
      <c r="Q966" s="4">
        <v>26.514000000000003</v>
      </c>
    </row>
    <row r="967" spans="1:17" x14ac:dyDescent="0.3">
      <c r="A967" t="s">
        <v>955</v>
      </c>
      <c r="B967" t="s">
        <v>2265</v>
      </c>
      <c r="C967" s="1">
        <v>45567</v>
      </c>
      <c r="D967" t="s">
        <v>2690</v>
      </c>
      <c r="E967" t="s">
        <v>4126</v>
      </c>
      <c r="F967" t="s">
        <v>4549</v>
      </c>
      <c r="G967" t="s">
        <v>4573</v>
      </c>
      <c r="H967" t="s">
        <v>4585</v>
      </c>
      <c r="I967" t="s">
        <v>4598</v>
      </c>
      <c r="J967">
        <v>2</v>
      </c>
      <c r="K967">
        <v>3.18</v>
      </c>
      <c r="L967">
        <v>0</v>
      </c>
      <c r="M967">
        <v>1.0900000000000001</v>
      </c>
      <c r="N967" t="s">
        <v>5463</v>
      </c>
      <c r="O967" t="s">
        <v>5471</v>
      </c>
      <c r="P967" t="s">
        <v>5477</v>
      </c>
      <c r="Q967" s="4">
        <v>6.36</v>
      </c>
    </row>
    <row r="968" spans="1:17" x14ac:dyDescent="0.3">
      <c r="A968" t="s">
        <v>956</v>
      </c>
      <c r="B968" t="s">
        <v>2266</v>
      </c>
      <c r="C968" s="1">
        <v>45920</v>
      </c>
      <c r="D968" t="s">
        <v>3047</v>
      </c>
      <c r="E968" t="s">
        <v>4127</v>
      </c>
      <c r="F968" t="s">
        <v>4566</v>
      </c>
      <c r="G968" t="s">
        <v>4577</v>
      </c>
      <c r="H968" t="s">
        <v>4585</v>
      </c>
      <c r="I968" t="s">
        <v>4590</v>
      </c>
      <c r="J968">
        <v>4</v>
      </c>
      <c r="K968">
        <v>13.52</v>
      </c>
      <c r="L968">
        <v>0.05</v>
      </c>
      <c r="M968">
        <v>5.83</v>
      </c>
      <c r="N968" t="s">
        <v>5463</v>
      </c>
      <c r="O968" t="s">
        <v>5474</v>
      </c>
      <c r="P968" t="s">
        <v>5479</v>
      </c>
      <c r="Q968" s="4">
        <v>51.375999999999998</v>
      </c>
    </row>
    <row r="969" spans="1:17" x14ac:dyDescent="0.3">
      <c r="A969" t="s">
        <v>957</v>
      </c>
      <c r="B969" t="s">
        <v>1823</v>
      </c>
      <c r="C969" s="1">
        <v>45727</v>
      </c>
      <c r="D969" t="s">
        <v>3072</v>
      </c>
      <c r="E969" t="s">
        <v>4128</v>
      </c>
      <c r="F969" t="s">
        <v>4549</v>
      </c>
      <c r="G969" t="s">
        <v>4573</v>
      </c>
      <c r="H969" t="s">
        <v>4584</v>
      </c>
      <c r="I969" t="s">
        <v>4601</v>
      </c>
      <c r="J969">
        <v>5</v>
      </c>
      <c r="K969">
        <v>197.69</v>
      </c>
      <c r="L969">
        <v>0.15</v>
      </c>
      <c r="M969">
        <v>13.04</v>
      </c>
      <c r="N969" t="s">
        <v>5467</v>
      </c>
      <c r="O969" t="s">
        <v>5481</v>
      </c>
      <c r="P969" t="s">
        <v>5477</v>
      </c>
      <c r="Q969" s="4">
        <v>840.1825</v>
      </c>
    </row>
    <row r="970" spans="1:17" x14ac:dyDescent="0.3">
      <c r="A970" t="s">
        <v>958</v>
      </c>
      <c r="B970" t="s">
        <v>1934</v>
      </c>
      <c r="C970" s="1">
        <v>45440</v>
      </c>
      <c r="D970" t="s">
        <v>2844</v>
      </c>
      <c r="E970" t="s">
        <v>4129</v>
      </c>
      <c r="F970" t="s">
        <v>4549</v>
      </c>
      <c r="G970" t="s">
        <v>4573</v>
      </c>
      <c r="H970" t="s">
        <v>4584</v>
      </c>
      <c r="I970" t="s">
        <v>4608</v>
      </c>
      <c r="J970">
        <v>5</v>
      </c>
      <c r="K970">
        <v>18.57</v>
      </c>
      <c r="L970">
        <v>0.05</v>
      </c>
      <c r="M970">
        <v>9.66</v>
      </c>
      <c r="N970" t="s">
        <v>5481</v>
      </c>
      <c r="O970" t="s">
        <v>5469</v>
      </c>
      <c r="P970" t="s">
        <v>5476</v>
      </c>
      <c r="Q970" s="4">
        <v>88.207499999999996</v>
      </c>
    </row>
    <row r="971" spans="1:17" x14ac:dyDescent="0.3">
      <c r="A971" t="s">
        <v>959</v>
      </c>
      <c r="B971" t="s">
        <v>2267</v>
      </c>
      <c r="C971" s="1">
        <v>45923</v>
      </c>
      <c r="D971" t="s">
        <v>2707</v>
      </c>
      <c r="E971" t="s">
        <v>4130</v>
      </c>
      <c r="F971" t="s">
        <v>4564</v>
      </c>
      <c r="G971" t="s">
        <v>4578</v>
      </c>
      <c r="H971" t="s">
        <v>4586</v>
      </c>
      <c r="I971" t="s">
        <v>4597</v>
      </c>
      <c r="J971">
        <v>2</v>
      </c>
      <c r="K971">
        <v>89.26</v>
      </c>
      <c r="L971">
        <v>0.15</v>
      </c>
      <c r="M971">
        <v>6.11</v>
      </c>
      <c r="N971" t="s">
        <v>5467</v>
      </c>
      <c r="O971" t="s">
        <v>5474</v>
      </c>
      <c r="P971" t="s">
        <v>5476</v>
      </c>
      <c r="Q971" s="4">
        <v>151.74200000000002</v>
      </c>
    </row>
    <row r="972" spans="1:17" x14ac:dyDescent="0.3">
      <c r="A972" t="s">
        <v>960</v>
      </c>
      <c r="B972" t="s">
        <v>2268</v>
      </c>
      <c r="C972" s="1">
        <v>45950</v>
      </c>
      <c r="D972" t="s">
        <v>3145</v>
      </c>
      <c r="E972" t="s">
        <v>4131</v>
      </c>
      <c r="F972" t="s">
        <v>4566</v>
      </c>
      <c r="G972" t="s">
        <v>4573</v>
      </c>
      <c r="H972" t="s">
        <v>4586</v>
      </c>
      <c r="I972" t="s">
        <v>4599</v>
      </c>
      <c r="J972">
        <v>1</v>
      </c>
      <c r="K972">
        <v>240.87</v>
      </c>
      <c r="L972">
        <v>0</v>
      </c>
      <c r="M972">
        <v>14.56</v>
      </c>
      <c r="N972" t="s">
        <v>5465</v>
      </c>
      <c r="O972" t="s">
        <v>5474</v>
      </c>
      <c r="P972" t="s">
        <v>5477</v>
      </c>
      <c r="Q972" s="4">
        <v>240.87</v>
      </c>
    </row>
    <row r="973" spans="1:17" x14ac:dyDescent="0.3">
      <c r="A973" t="s">
        <v>961</v>
      </c>
      <c r="B973" t="s">
        <v>1991</v>
      </c>
      <c r="C973" s="1">
        <v>45886</v>
      </c>
      <c r="D973" t="s">
        <v>2696</v>
      </c>
      <c r="E973" t="s">
        <v>4132</v>
      </c>
      <c r="F973" t="s">
        <v>4569</v>
      </c>
      <c r="G973" t="s">
        <v>4572</v>
      </c>
      <c r="H973" t="s">
        <v>4587</v>
      </c>
      <c r="I973" t="s">
        <v>4600</v>
      </c>
      <c r="J973">
        <v>1</v>
      </c>
      <c r="K973">
        <v>13.48</v>
      </c>
      <c r="L973">
        <v>0</v>
      </c>
      <c r="M973">
        <v>0.79</v>
      </c>
      <c r="N973" t="s">
        <v>5464</v>
      </c>
      <c r="O973" t="s">
        <v>5470</v>
      </c>
      <c r="P973" t="s">
        <v>5477</v>
      </c>
      <c r="Q973" s="4">
        <v>13.48</v>
      </c>
    </row>
    <row r="974" spans="1:17" x14ac:dyDescent="0.3">
      <c r="A974" t="s">
        <v>962</v>
      </c>
      <c r="B974" t="s">
        <v>2269</v>
      </c>
      <c r="C974" s="1">
        <v>45839</v>
      </c>
      <c r="D974" t="s">
        <v>2924</v>
      </c>
      <c r="E974" t="s">
        <v>4133</v>
      </c>
      <c r="F974" t="s">
        <v>4569</v>
      </c>
      <c r="G974" t="s">
        <v>4580</v>
      </c>
      <c r="H974" t="s">
        <v>4586</v>
      </c>
      <c r="I974" t="s">
        <v>4593</v>
      </c>
      <c r="J974">
        <v>2</v>
      </c>
      <c r="K974">
        <v>112.41</v>
      </c>
      <c r="L974">
        <v>0.1</v>
      </c>
      <c r="M974">
        <v>11.35</v>
      </c>
      <c r="N974" t="s">
        <v>5464</v>
      </c>
      <c r="O974" t="s">
        <v>5481</v>
      </c>
      <c r="P974" t="s">
        <v>5477</v>
      </c>
      <c r="Q974" s="4">
        <v>202.33799999999999</v>
      </c>
    </row>
    <row r="975" spans="1:17" x14ac:dyDescent="0.3">
      <c r="A975" t="s">
        <v>963</v>
      </c>
      <c r="B975" t="s">
        <v>2270</v>
      </c>
      <c r="C975" s="1">
        <v>45773</v>
      </c>
      <c r="D975" t="s">
        <v>2759</v>
      </c>
      <c r="E975" t="s">
        <v>4134</v>
      </c>
      <c r="F975" t="s">
        <v>4564</v>
      </c>
      <c r="G975" t="s">
        <v>4573</v>
      </c>
      <c r="H975" t="s">
        <v>4587</v>
      </c>
      <c r="I975" t="s">
        <v>4606</v>
      </c>
      <c r="J975">
        <v>1</v>
      </c>
      <c r="K975">
        <v>28.58</v>
      </c>
      <c r="L975">
        <v>0</v>
      </c>
      <c r="M975">
        <v>10.48</v>
      </c>
      <c r="N975" t="s">
        <v>5462</v>
      </c>
      <c r="O975" t="s">
        <v>5473</v>
      </c>
      <c r="P975" t="s">
        <v>5476</v>
      </c>
      <c r="Q975" s="4">
        <v>28.58</v>
      </c>
    </row>
    <row r="976" spans="1:17" x14ac:dyDescent="0.3">
      <c r="A976" t="s">
        <v>964</v>
      </c>
      <c r="B976" t="s">
        <v>1554</v>
      </c>
      <c r="C976" s="1">
        <v>45604</v>
      </c>
      <c r="D976" t="s">
        <v>2657</v>
      </c>
      <c r="E976" t="s">
        <v>4135</v>
      </c>
      <c r="F976" t="s">
        <v>4569</v>
      </c>
      <c r="G976" t="s">
        <v>4581</v>
      </c>
      <c r="H976" t="s">
        <v>4583</v>
      </c>
      <c r="I976" t="s">
        <v>4604</v>
      </c>
      <c r="J976">
        <v>2</v>
      </c>
      <c r="K976">
        <v>21.5</v>
      </c>
      <c r="L976">
        <v>0</v>
      </c>
      <c r="M976">
        <v>2.34</v>
      </c>
      <c r="N976" t="s">
        <v>5465</v>
      </c>
      <c r="O976" t="s">
        <v>5481</v>
      </c>
      <c r="P976" t="s">
        <v>5477</v>
      </c>
      <c r="Q976" s="4">
        <v>43</v>
      </c>
    </row>
    <row r="977" spans="1:17" x14ac:dyDescent="0.3">
      <c r="A977" t="s">
        <v>195</v>
      </c>
      <c r="B977" t="s">
        <v>1593</v>
      </c>
      <c r="C977" s="1">
        <v>45676</v>
      </c>
      <c r="D977" t="s">
        <v>2775</v>
      </c>
      <c r="E977" t="s">
        <v>3430</v>
      </c>
      <c r="F977" t="s">
        <v>4566</v>
      </c>
      <c r="G977" t="s">
        <v>4573</v>
      </c>
      <c r="H977" t="s">
        <v>4587</v>
      </c>
      <c r="I977" t="s">
        <v>4594</v>
      </c>
      <c r="J977">
        <v>2</v>
      </c>
      <c r="K977">
        <v>61.48</v>
      </c>
      <c r="L977">
        <v>0</v>
      </c>
      <c r="M977">
        <v>10.28</v>
      </c>
      <c r="N977" t="s">
        <v>5462</v>
      </c>
      <c r="O977" t="s">
        <v>5470</v>
      </c>
      <c r="P977" t="s">
        <v>5476</v>
      </c>
      <c r="Q977" s="4">
        <v>122.96</v>
      </c>
    </row>
    <row r="978" spans="1:17" x14ac:dyDescent="0.3">
      <c r="A978" t="s">
        <v>965</v>
      </c>
      <c r="B978" t="s">
        <v>2271</v>
      </c>
      <c r="C978" s="1">
        <v>45378</v>
      </c>
      <c r="D978" t="s">
        <v>2811</v>
      </c>
      <c r="E978" t="s">
        <v>4136</v>
      </c>
      <c r="F978" t="s">
        <v>4566</v>
      </c>
      <c r="G978" t="s">
        <v>4582</v>
      </c>
      <c r="H978" t="s">
        <v>4585</v>
      </c>
      <c r="I978" t="s">
        <v>4592</v>
      </c>
      <c r="J978">
        <v>5</v>
      </c>
      <c r="K978">
        <v>6.81</v>
      </c>
      <c r="L978">
        <v>0.05</v>
      </c>
      <c r="M978">
        <v>5.76</v>
      </c>
      <c r="N978" t="s">
        <v>5467</v>
      </c>
      <c r="O978" t="s">
        <v>5481</v>
      </c>
      <c r="P978" t="s">
        <v>5476</v>
      </c>
      <c r="Q978" s="4">
        <v>32.347499999999997</v>
      </c>
    </row>
    <row r="979" spans="1:17" x14ac:dyDescent="0.3">
      <c r="A979" t="s">
        <v>966</v>
      </c>
      <c r="B979" t="s">
        <v>1723</v>
      </c>
      <c r="C979" s="1">
        <v>45691</v>
      </c>
      <c r="D979" t="s">
        <v>2911</v>
      </c>
      <c r="E979" t="s">
        <v>4137</v>
      </c>
      <c r="F979" t="s">
        <v>4565</v>
      </c>
      <c r="G979" t="s">
        <v>4579</v>
      </c>
      <c r="H979" t="s">
        <v>4583</v>
      </c>
      <c r="I979" t="s">
        <v>4605</v>
      </c>
      <c r="J979">
        <v>3</v>
      </c>
      <c r="K979">
        <v>44.29</v>
      </c>
      <c r="L979">
        <v>0.05</v>
      </c>
      <c r="M979">
        <v>0</v>
      </c>
      <c r="N979" t="s">
        <v>5466</v>
      </c>
      <c r="O979" t="s">
        <v>5471</v>
      </c>
      <c r="P979" t="s">
        <v>5477</v>
      </c>
      <c r="Q979" s="4">
        <v>126.2265</v>
      </c>
    </row>
    <row r="980" spans="1:17" x14ac:dyDescent="0.3">
      <c r="A980" t="s">
        <v>967</v>
      </c>
      <c r="B980" t="s">
        <v>2272</v>
      </c>
      <c r="C980" s="1">
        <v>45482</v>
      </c>
      <c r="D980" t="s">
        <v>2942</v>
      </c>
      <c r="E980" t="s">
        <v>4138</v>
      </c>
      <c r="F980" t="s">
        <v>4564</v>
      </c>
      <c r="G980" t="s">
        <v>4573</v>
      </c>
      <c r="H980" t="s">
        <v>4586</v>
      </c>
      <c r="I980" t="s">
        <v>4609</v>
      </c>
      <c r="J980">
        <v>5</v>
      </c>
      <c r="K980">
        <v>130.77000000000001</v>
      </c>
      <c r="L980">
        <v>0.1</v>
      </c>
      <c r="M980">
        <v>10.73</v>
      </c>
      <c r="N980" t="s">
        <v>5467</v>
      </c>
      <c r="O980" t="s">
        <v>5474</v>
      </c>
      <c r="P980" t="s">
        <v>5477</v>
      </c>
      <c r="Q980" s="4">
        <v>588.46500000000003</v>
      </c>
    </row>
    <row r="981" spans="1:17" x14ac:dyDescent="0.3">
      <c r="A981" t="s">
        <v>968</v>
      </c>
      <c r="B981" t="s">
        <v>2273</v>
      </c>
      <c r="C981" s="1">
        <v>45468</v>
      </c>
      <c r="D981" t="s">
        <v>2831</v>
      </c>
      <c r="E981" t="s">
        <v>4139</v>
      </c>
      <c r="F981" t="s">
        <v>4565</v>
      </c>
      <c r="G981" t="s">
        <v>4579</v>
      </c>
      <c r="H981" t="s">
        <v>4583</v>
      </c>
      <c r="I981" t="s">
        <v>4604</v>
      </c>
      <c r="J981">
        <v>1</v>
      </c>
      <c r="K981">
        <v>22.97</v>
      </c>
      <c r="L981">
        <v>0</v>
      </c>
      <c r="M981">
        <v>12.11</v>
      </c>
      <c r="N981" t="s">
        <v>5463</v>
      </c>
      <c r="O981" t="s">
        <v>5469</v>
      </c>
      <c r="P981" t="s">
        <v>5475</v>
      </c>
      <c r="Q981" s="4">
        <v>22.97</v>
      </c>
    </row>
    <row r="982" spans="1:17" x14ac:dyDescent="0.3">
      <c r="A982" t="s">
        <v>969</v>
      </c>
      <c r="B982" t="s">
        <v>2274</v>
      </c>
      <c r="C982" s="1">
        <v>45506</v>
      </c>
      <c r="D982" t="s">
        <v>2787</v>
      </c>
      <c r="E982" t="s">
        <v>4140</v>
      </c>
      <c r="F982" t="s">
        <v>4549</v>
      </c>
      <c r="G982" t="s">
        <v>4574</v>
      </c>
      <c r="H982" t="s">
        <v>4586</v>
      </c>
      <c r="I982" t="s">
        <v>4597</v>
      </c>
      <c r="J982">
        <v>3</v>
      </c>
      <c r="K982">
        <v>91.83</v>
      </c>
      <c r="L982">
        <v>0.05</v>
      </c>
      <c r="M982">
        <v>9.7200000000000006</v>
      </c>
      <c r="N982" t="s">
        <v>5468</v>
      </c>
      <c r="O982" t="s">
        <v>5481</v>
      </c>
      <c r="P982" t="s">
        <v>5475</v>
      </c>
      <c r="Q982" s="4">
        <v>261.71550000000002</v>
      </c>
    </row>
    <row r="983" spans="1:17" x14ac:dyDescent="0.3">
      <c r="A983" t="s">
        <v>970</v>
      </c>
      <c r="B983" t="s">
        <v>2275</v>
      </c>
      <c r="C983" s="1">
        <v>45346</v>
      </c>
      <c r="D983" t="s">
        <v>2999</v>
      </c>
      <c r="E983" t="s">
        <v>4141</v>
      </c>
      <c r="F983" t="s">
        <v>4549</v>
      </c>
      <c r="G983" t="s">
        <v>4574</v>
      </c>
      <c r="H983" t="s">
        <v>4583</v>
      </c>
      <c r="I983" t="s">
        <v>4610</v>
      </c>
      <c r="J983">
        <v>4</v>
      </c>
      <c r="K983">
        <v>80.099999999999994</v>
      </c>
      <c r="L983">
        <v>0.15</v>
      </c>
      <c r="M983">
        <v>13.19</v>
      </c>
      <c r="N983" t="s">
        <v>5466</v>
      </c>
      <c r="O983" t="s">
        <v>5473</v>
      </c>
      <c r="P983" t="s">
        <v>5477</v>
      </c>
      <c r="Q983" s="4">
        <v>272.33999999999997</v>
      </c>
    </row>
    <row r="984" spans="1:17" x14ac:dyDescent="0.3">
      <c r="A984" t="s">
        <v>971</v>
      </c>
      <c r="B984" t="s">
        <v>2276</v>
      </c>
      <c r="C984" s="1">
        <v>45598</v>
      </c>
      <c r="D984" t="s">
        <v>2715</v>
      </c>
      <c r="E984" t="s">
        <v>4142</v>
      </c>
      <c r="F984" t="s">
        <v>4549</v>
      </c>
      <c r="G984" t="s">
        <v>4574</v>
      </c>
      <c r="H984" t="s">
        <v>4587</v>
      </c>
      <c r="I984" t="s">
        <v>4596</v>
      </c>
      <c r="J984">
        <v>1</v>
      </c>
      <c r="K984">
        <v>14.48</v>
      </c>
      <c r="L984">
        <v>0</v>
      </c>
      <c r="M984">
        <v>4.3899999999999997</v>
      </c>
      <c r="N984" t="s">
        <v>5463</v>
      </c>
      <c r="O984" t="s">
        <v>5481</v>
      </c>
      <c r="P984" t="s">
        <v>5477</v>
      </c>
      <c r="Q984" s="4">
        <v>14.48</v>
      </c>
    </row>
    <row r="985" spans="1:17" x14ac:dyDescent="0.3">
      <c r="A985" t="s">
        <v>972</v>
      </c>
      <c r="B985" t="s">
        <v>2277</v>
      </c>
      <c r="C985" s="1">
        <v>45883</v>
      </c>
      <c r="D985" t="s">
        <v>2863</v>
      </c>
      <c r="E985" t="s">
        <v>4143</v>
      </c>
      <c r="F985" t="s">
        <v>4549</v>
      </c>
      <c r="G985" t="s">
        <v>4573</v>
      </c>
      <c r="H985" t="s">
        <v>4587</v>
      </c>
      <c r="I985" t="s">
        <v>4600</v>
      </c>
      <c r="J985">
        <v>1</v>
      </c>
      <c r="K985">
        <v>12.62</v>
      </c>
      <c r="L985">
        <v>0</v>
      </c>
      <c r="M985">
        <v>4.3899999999999997</v>
      </c>
      <c r="N985" t="s">
        <v>5466</v>
      </c>
      <c r="O985" t="s">
        <v>5474</v>
      </c>
      <c r="P985" t="s">
        <v>5477</v>
      </c>
      <c r="Q985" s="4">
        <v>12.62</v>
      </c>
    </row>
    <row r="986" spans="1:17" x14ac:dyDescent="0.3">
      <c r="A986" t="s">
        <v>973</v>
      </c>
      <c r="B986" t="s">
        <v>2278</v>
      </c>
      <c r="C986" s="1">
        <v>45636</v>
      </c>
      <c r="D986" t="s">
        <v>2845</v>
      </c>
      <c r="E986" t="s">
        <v>4144</v>
      </c>
      <c r="F986" t="s">
        <v>4549</v>
      </c>
      <c r="G986" t="s">
        <v>4573</v>
      </c>
      <c r="H986" t="s">
        <v>4585</v>
      </c>
      <c r="I986" t="s">
        <v>4602</v>
      </c>
      <c r="J986">
        <v>4</v>
      </c>
      <c r="K986">
        <v>4.2</v>
      </c>
      <c r="L986">
        <v>0</v>
      </c>
      <c r="M986">
        <v>3.25</v>
      </c>
      <c r="N986" t="s">
        <v>5467</v>
      </c>
      <c r="O986" t="s">
        <v>5472</v>
      </c>
      <c r="P986" t="s">
        <v>5476</v>
      </c>
      <c r="Q986" s="4">
        <v>16.8</v>
      </c>
    </row>
    <row r="987" spans="1:17" x14ac:dyDescent="0.3">
      <c r="A987" t="s">
        <v>974</v>
      </c>
      <c r="B987" t="s">
        <v>2279</v>
      </c>
      <c r="C987" s="1">
        <v>45866</v>
      </c>
      <c r="D987" t="s">
        <v>2890</v>
      </c>
      <c r="E987" t="s">
        <v>4145</v>
      </c>
      <c r="F987" t="s">
        <v>4564</v>
      </c>
      <c r="G987" t="s">
        <v>4578</v>
      </c>
      <c r="H987" t="s">
        <v>4586</v>
      </c>
      <c r="I987" t="s">
        <v>4599</v>
      </c>
      <c r="J987">
        <v>5</v>
      </c>
      <c r="K987">
        <v>241.5</v>
      </c>
      <c r="L987">
        <v>0.05</v>
      </c>
      <c r="M987">
        <v>0</v>
      </c>
      <c r="N987" t="s">
        <v>5464</v>
      </c>
      <c r="O987" t="s">
        <v>5472</v>
      </c>
      <c r="P987" t="s">
        <v>5475</v>
      </c>
      <c r="Q987" s="4">
        <v>1147.125</v>
      </c>
    </row>
    <row r="988" spans="1:17" x14ac:dyDescent="0.3">
      <c r="A988" t="s">
        <v>975</v>
      </c>
      <c r="B988" t="s">
        <v>2280</v>
      </c>
      <c r="C988" s="1">
        <v>45535</v>
      </c>
      <c r="D988" t="s">
        <v>2863</v>
      </c>
      <c r="E988" t="s">
        <v>4146</v>
      </c>
      <c r="F988" t="s">
        <v>4569</v>
      </c>
      <c r="G988" t="s">
        <v>4572</v>
      </c>
      <c r="H988" t="s">
        <v>4584</v>
      </c>
      <c r="I988" t="s">
        <v>4595</v>
      </c>
      <c r="J988">
        <v>1</v>
      </c>
      <c r="K988">
        <v>43.51</v>
      </c>
      <c r="L988">
        <v>0</v>
      </c>
      <c r="M988">
        <v>0</v>
      </c>
      <c r="N988" t="s">
        <v>5462</v>
      </c>
      <c r="O988" t="s">
        <v>5469</v>
      </c>
      <c r="P988" t="s">
        <v>5477</v>
      </c>
      <c r="Q988" s="4">
        <v>43.51</v>
      </c>
    </row>
    <row r="989" spans="1:17" x14ac:dyDescent="0.3">
      <c r="A989" t="s">
        <v>726</v>
      </c>
      <c r="B989" t="s">
        <v>2083</v>
      </c>
      <c r="C989" s="1">
        <v>45551</v>
      </c>
      <c r="D989" t="s">
        <v>2927</v>
      </c>
      <c r="E989" t="s">
        <v>3915</v>
      </c>
      <c r="F989" t="s">
        <v>4564</v>
      </c>
      <c r="G989" t="s">
        <v>4578</v>
      </c>
      <c r="H989" t="s">
        <v>4584</v>
      </c>
      <c r="I989" t="s">
        <v>4601</v>
      </c>
      <c r="J989">
        <v>1</v>
      </c>
      <c r="K989">
        <v>193.78</v>
      </c>
      <c r="L989">
        <v>0.15</v>
      </c>
      <c r="M989">
        <v>0</v>
      </c>
      <c r="N989" t="s">
        <v>5466</v>
      </c>
      <c r="O989" t="s">
        <v>5473</v>
      </c>
      <c r="P989" t="s">
        <v>5479</v>
      </c>
      <c r="Q989" s="4">
        <v>164.71299999999999</v>
      </c>
    </row>
    <row r="990" spans="1:17" x14ac:dyDescent="0.3">
      <c r="A990" t="s">
        <v>976</v>
      </c>
      <c r="B990" t="s">
        <v>2008</v>
      </c>
      <c r="C990" s="1">
        <v>45664</v>
      </c>
      <c r="D990" t="s">
        <v>3050</v>
      </c>
      <c r="E990" t="s">
        <v>4147</v>
      </c>
      <c r="F990" t="s">
        <v>4566</v>
      </c>
      <c r="G990" t="s">
        <v>4573</v>
      </c>
      <c r="H990" t="s">
        <v>4586</v>
      </c>
      <c r="I990" t="s">
        <v>4599</v>
      </c>
      <c r="J990">
        <v>10</v>
      </c>
      <c r="K990">
        <v>256.82</v>
      </c>
      <c r="L990">
        <v>0.15</v>
      </c>
      <c r="M990">
        <v>7.7</v>
      </c>
      <c r="N990" t="s">
        <v>5468</v>
      </c>
      <c r="O990" t="s">
        <v>5474</v>
      </c>
      <c r="P990" t="s">
        <v>5477</v>
      </c>
      <c r="Q990" s="4">
        <v>2182.9699999999998</v>
      </c>
    </row>
    <row r="991" spans="1:17" x14ac:dyDescent="0.3">
      <c r="A991" t="s">
        <v>977</v>
      </c>
      <c r="B991" t="s">
        <v>2281</v>
      </c>
      <c r="C991" s="1">
        <v>45361</v>
      </c>
      <c r="D991" t="s">
        <v>2916</v>
      </c>
      <c r="E991" t="s">
        <v>4148</v>
      </c>
      <c r="F991" t="s">
        <v>4564</v>
      </c>
      <c r="G991" t="s">
        <v>4578</v>
      </c>
      <c r="H991" t="s">
        <v>4585</v>
      </c>
      <c r="I991" t="s">
        <v>4602</v>
      </c>
      <c r="J991">
        <v>1</v>
      </c>
      <c r="K991">
        <v>4.34</v>
      </c>
      <c r="L991">
        <v>0</v>
      </c>
      <c r="M991">
        <v>7.83</v>
      </c>
      <c r="N991" t="s">
        <v>5481</v>
      </c>
      <c r="O991" t="s">
        <v>5471</v>
      </c>
      <c r="P991" t="s">
        <v>5477</v>
      </c>
      <c r="Q991" s="4">
        <v>4.34</v>
      </c>
    </row>
    <row r="992" spans="1:17" x14ac:dyDescent="0.3">
      <c r="A992" t="s">
        <v>978</v>
      </c>
      <c r="B992" t="s">
        <v>2282</v>
      </c>
      <c r="C992" s="1">
        <v>45775</v>
      </c>
      <c r="D992" t="s">
        <v>2957</v>
      </c>
      <c r="E992" t="s">
        <v>4149</v>
      </c>
      <c r="F992" t="s">
        <v>4549</v>
      </c>
      <c r="G992" t="s">
        <v>4573</v>
      </c>
      <c r="H992" t="s">
        <v>4584</v>
      </c>
      <c r="I992" t="s">
        <v>4608</v>
      </c>
      <c r="J992">
        <v>3</v>
      </c>
      <c r="K992">
        <v>18.420000000000002</v>
      </c>
      <c r="L992">
        <v>0.1</v>
      </c>
      <c r="M992">
        <v>6.82</v>
      </c>
      <c r="N992" t="s">
        <v>5462</v>
      </c>
      <c r="O992" t="s">
        <v>5469</v>
      </c>
      <c r="P992" t="s">
        <v>5477</v>
      </c>
      <c r="Q992" s="4">
        <v>49.734000000000009</v>
      </c>
    </row>
    <row r="993" spans="1:17" x14ac:dyDescent="0.3">
      <c r="A993" t="s">
        <v>979</v>
      </c>
      <c r="B993" t="s">
        <v>1453</v>
      </c>
      <c r="C993" s="1">
        <v>45585</v>
      </c>
      <c r="D993" t="s">
        <v>2755</v>
      </c>
      <c r="E993" t="s">
        <v>4150</v>
      </c>
      <c r="F993" t="s">
        <v>4566</v>
      </c>
      <c r="G993" t="s">
        <v>4577</v>
      </c>
      <c r="H993" t="s">
        <v>4587</v>
      </c>
      <c r="I993" t="s">
        <v>4600</v>
      </c>
      <c r="J993">
        <v>1</v>
      </c>
      <c r="K993">
        <v>13.4</v>
      </c>
      <c r="L993">
        <v>0</v>
      </c>
      <c r="M993">
        <v>3.99</v>
      </c>
      <c r="N993" t="s">
        <v>5463</v>
      </c>
      <c r="O993" t="s">
        <v>5481</v>
      </c>
      <c r="P993" t="s">
        <v>5477</v>
      </c>
      <c r="Q993" s="4">
        <v>13.4</v>
      </c>
    </row>
    <row r="994" spans="1:17" x14ac:dyDescent="0.3">
      <c r="A994" t="s">
        <v>980</v>
      </c>
      <c r="B994" t="s">
        <v>2283</v>
      </c>
      <c r="C994" s="1">
        <v>45640</v>
      </c>
      <c r="D994" t="s">
        <v>2998</v>
      </c>
      <c r="E994" t="s">
        <v>4151</v>
      </c>
      <c r="F994" t="s">
        <v>4549</v>
      </c>
      <c r="G994" t="s">
        <v>4573</v>
      </c>
      <c r="H994" t="s">
        <v>4587</v>
      </c>
      <c r="I994" t="s">
        <v>4606</v>
      </c>
      <c r="J994">
        <v>2</v>
      </c>
      <c r="K994">
        <v>31.09</v>
      </c>
      <c r="L994">
        <v>0.05</v>
      </c>
      <c r="M994">
        <v>6.43</v>
      </c>
      <c r="N994" t="s">
        <v>5468</v>
      </c>
      <c r="O994" t="s">
        <v>5474</v>
      </c>
      <c r="P994" t="s">
        <v>5477</v>
      </c>
      <c r="Q994" s="4">
        <v>59.070999999999998</v>
      </c>
    </row>
    <row r="995" spans="1:17" x14ac:dyDescent="0.3">
      <c r="A995" t="s">
        <v>981</v>
      </c>
      <c r="B995" t="s">
        <v>2284</v>
      </c>
      <c r="C995" s="1">
        <v>45895</v>
      </c>
      <c r="D995" t="s">
        <v>2827</v>
      </c>
      <c r="E995" t="s">
        <v>4152</v>
      </c>
      <c r="F995" t="s">
        <v>4549</v>
      </c>
      <c r="G995" t="s">
        <v>4574</v>
      </c>
      <c r="H995" t="s">
        <v>4587</v>
      </c>
      <c r="I995" t="s">
        <v>4594</v>
      </c>
      <c r="J995">
        <v>1</v>
      </c>
      <c r="K995">
        <v>58.57</v>
      </c>
      <c r="L995">
        <v>0</v>
      </c>
      <c r="M995">
        <v>0</v>
      </c>
      <c r="N995" t="s">
        <v>5468</v>
      </c>
      <c r="O995" t="s">
        <v>5481</v>
      </c>
      <c r="P995" t="s">
        <v>5477</v>
      </c>
      <c r="Q995" s="4">
        <v>58.57</v>
      </c>
    </row>
    <row r="996" spans="1:17" x14ac:dyDescent="0.3">
      <c r="A996" t="s">
        <v>982</v>
      </c>
      <c r="B996" t="s">
        <v>2285</v>
      </c>
      <c r="C996" s="1">
        <v>45323</v>
      </c>
      <c r="D996" t="s">
        <v>2746</v>
      </c>
      <c r="E996" t="s">
        <v>4153</v>
      </c>
      <c r="F996" t="s">
        <v>4565</v>
      </c>
      <c r="G996" t="s">
        <v>4576</v>
      </c>
      <c r="H996" t="s">
        <v>4587</v>
      </c>
      <c r="I996" t="s">
        <v>4594</v>
      </c>
      <c r="J996">
        <v>3</v>
      </c>
      <c r="K996">
        <v>59.05</v>
      </c>
      <c r="L996">
        <v>0.05</v>
      </c>
      <c r="M996">
        <v>10.5</v>
      </c>
      <c r="N996" t="s">
        <v>5468</v>
      </c>
      <c r="O996" t="s">
        <v>5472</v>
      </c>
      <c r="P996" t="s">
        <v>5477</v>
      </c>
      <c r="Q996" s="4">
        <v>168.29249999999996</v>
      </c>
    </row>
    <row r="997" spans="1:17" x14ac:dyDescent="0.3">
      <c r="A997" t="s">
        <v>983</v>
      </c>
      <c r="B997" t="s">
        <v>2286</v>
      </c>
      <c r="C997" s="1">
        <v>45649</v>
      </c>
      <c r="D997" t="s">
        <v>2769</v>
      </c>
      <c r="E997" t="s">
        <v>4154</v>
      </c>
      <c r="F997" t="s">
        <v>4564</v>
      </c>
      <c r="G997" t="s">
        <v>4578</v>
      </c>
      <c r="H997" t="s">
        <v>4584</v>
      </c>
      <c r="I997" t="s">
        <v>4601</v>
      </c>
      <c r="J997">
        <v>4</v>
      </c>
      <c r="K997">
        <v>181.14</v>
      </c>
      <c r="L997">
        <v>0</v>
      </c>
      <c r="M997">
        <v>0.99</v>
      </c>
      <c r="N997" t="s">
        <v>5481</v>
      </c>
      <c r="O997" t="s">
        <v>5473</v>
      </c>
      <c r="P997" t="s">
        <v>5476</v>
      </c>
      <c r="Q997" s="4">
        <v>724.56</v>
      </c>
    </row>
    <row r="998" spans="1:17" x14ac:dyDescent="0.3">
      <c r="A998" t="s">
        <v>984</v>
      </c>
      <c r="B998" t="s">
        <v>2287</v>
      </c>
      <c r="C998" s="1">
        <v>45635</v>
      </c>
      <c r="D998" t="s">
        <v>2827</v>
      </c>
      <c r="E998" t="s">
        <v>4155</v>
      </c>
      <c r="F998" t="s">
        <v>4569</v>
      </c>
      <c r="G998" t="s">
        <v>4580</v>
      </c>
      <c r="H998" t="s">
        <v>4587</v>
      </c>
      <c r="I998" t="s">
        <v>4600</v>
      </c>
      <c r="J998">
        <v>1</v>
      </c>
      <c r="K998">
        <v>13.36</v>
      </c>
      <c r="L998">
        <v>0.05</v>
      </c>
      <c r="M998">
        <v>0</v>
      </c>
      <c r="N998" t="s">
        <v>5468</v>
      </c>
      <c r="O998" t="s">
        <v>5471</v>
      </c>
      <c r="P998" t="s">
        <v>5477</v>
      </c>
      <c r="Q998" s="4">
        <v>12.691999999999998</v>
      </c>
    </row>
    <row r="999" spans="1:17" x14ac:dyDescent="0.3">
      <c r="A999" t="s">
        <v>985</v>
      </c>
      <c r="B999" t="s">
        <v>2288</v>
      </c>
      <c r="C999" s="1">
        <v>45603</v>
      </c>
      <c r="D999" t="s">
        <v>2630</v>
      </c>
      <c r="E999" t="s">
        <v>4156</v>
      </c>
      <c r="F999" t="s">
        <v>4549</v>
      </c>
      <c r="G999" t="s">
        <v>4573</v>
      </c>
      <c r="H999" t="s">
        <v>4585</v>
      </c>
      <c r="I999" t="s">
        <v>4590</v>
      </c>
      <c r="J999">
        <v>1</v>
      </c>
      <c r="K999">
        <v>14.05</v>
      </c>
      <c r="L999">
        <v>0</v>
      </c>
      <c r="M999">
        <v>4.42</v>
      </c>
      <c r="N999" t="s">
        <v>5467</v>
      </c>
      <c r="O999" t="s">
        <v>5471</v>
      </c>
      <c r="P999" t="s">
        <v>5477</v>
      </c>
      <c r="Q999" s="4">
        <v>14.05</v>
      </c>
    </row>
    <row r="1000" spans="1:17" x14ac:dyDescent="0.3">
      <c r="A1000" t="s">
        <v>986</v>
      </c>
      <c r="B1000" t="s">
        <v>2289</v>
      </c>
      <c r="C1000" s="1">
        <v>45345</v>
      </c>
      <c r="D1000" t="s">
        <v>2744</v>
      </c>
      <c r="E1000" t="s">
        <v>4157</v>
      </c>
      <c r="F1000" t="s">
        <v>4549</v>
      </c>
      <c r="G1000" t="s">
        <v>4573</v>
      </c>
      <c r="H1000" t="s">
        <v>4584</v>
      </c>
      <c r="I1000" t="s">
        <v>4601</v>
      </c>
      <c r="J1000">
        <v>1</v>
      </c>
      <c r="K1000">
        <v>183.42</v>
      </c>
      <c r="L1000">
        <v>0.15</v>
      </c>
      <c r="M1000">
        <v>6.54</v>
      </c>
      <c r="N1000" t="s">
        <v>5466</v>
      </c>
      <c r="O1000" t="s">
        <v>5473</v>
      </c>
      <c r="P1000" t="s">
        <v>5477</v>
      </c>
      <c r="Q1000" s="4">
        <v>155.90699999999998</v>
      </c>
    </row>
    <row r="1001" spans="1:17" x14ac:dyDescent="0.3">
      <c r="A1001" t="s">
        <v>987</v>
      </c>
      <c r="B1001" t="s">
        <v>2290</v>
      </c>
      <c r="C1001" s="1">
        <v>45988</v>
      </c>
      <c r="D1001" t="s">
        <v>3088</v>
      </c>
      <c r="E1001" t="s">
        <v>4158</v>
      </c>
      <c r="F1001" t="s">
        <v>4564</v>
      </c>
      <c r="G1001" t="s">
        <v>4578</v>
      </c>
      <c r="H1001" t="s">
        <v>4583</v>
      </c>
      <c r="I1001" t="s">
        <v>4605</v>
      </c>
      <c r="J1001">
        <v>5</v>
      </c>
      <c r="K1001">
        <v>43.08</v>
      </c>
      <c r="L1001">
        <v>0.05</v>
      </c>
      <c r="M1001">
        <v>3.27</v>
      </c>
      <c r="N1001" t="s">
        <v>5463</v>
      </c>
      <c r="O1001" t="s">
        <v>5470</v>
      </c>
      <c r="P1001" t="s">
        <v>5479</v>
      </c>
      <c r="Q1001" s="4">
        <v>204.62999999999997</v>
      </c>
    </row>
    <row r="1002" spans="1:17" x14ac:dyDescent="0.3">
      <c r="A1002" t="s">
        <v>988</v>
      </c>
      <c r="B1002" t="s">
        <v>2291</v>
      </c>
      <c r="C1002" s="1">
        <v>45368</v>
      </c>
      <c r="D1002" t="s">
        <v>2725</v>
      </c>
      <c r="E1002" t="s">
        <v>4159</v>
      </c>
      <c r="F1002" t="s">
        <v>4564</v>
      </c>
      <c r="G1002" t="s">
        <v>4573</v>
      </c>
      <c r="H1002" t="s">
        <v>4586</v>
      </c>
      <c r="I1002" t="s">
        <v>4609</v>
      </c>
      <c r="J1002">
        <v>4</v>
      </c>
      <c r="K1002">
        <v>130.4</v>
      </c>
      <c r="L1002">
        <v>0</v>
      </c>
      <c r="M1002">
        <v>13.22</v>
      </c>
      <c r="N1002" t="s">
        <v>5462</v>
      </c>
      <c r="O1002" t="s">
        <v>5471</v>
      </c>
      <c r="P1002" t="s">
        <v>5475</v>
      </c>
      <c r="Q1002" s="4">
        <v>521.6</v>
      </c>
    </row>
    <row r="1003" spans="1:17" x14ac:dyDescent="0.3">
      <c r="A1003" t="s">
        <v>989</v>
      </c>
      <c r="B1003" t="s">
        <v>2292</v>
      </c>
      <c r="C1003" s="1">
        <v>45505</v>
      </c>
      <c r="D1003" t="s">
        <v>2691</v>
      </c>
      <c r="E1003" t="s">
        <v>4160</v>
      </c>
      <c r="F1003" t="s">
        <v>4569</v>
      </c>
      <c r="G1003" t="s">
        <v>4581</v>
      </c>
      <c r="H1003" t="s">
        <v>4586</v>
      </c>
      <c r="I1003" t="s">
        <v>4593</v>
      </c>
      <c r="J1003">
        <v>1</v>
      </c>
      <c r="K1003">
        <v>112.27</v>
      </c>
      <c r="L1003">
        <v>0</v>
      </c>
      <c r="M1003">
        <v>12.45</v>
      </c>
      <c r="N1003" t="s">
        <v>5465</v>
      </c>
      <c r="O1003" t="s">
        <v>5470</v>
      </c>
      <c r="P1003" t="s">
        <v>5475</v>
      </c>
      <c r="Q1003" s="4">
        <v>112.27</v>
      </c>
    </row>
    <row r="1004" spans="1:17" x14ac:dyDescent="0.3">
      <c r="A1004" t="s">
        <v>990</v>
      </c>
      <c r="B1004" t="s">
        <v>1696</v>
      </c>
      <c r="C1004" s="1">
        <v>45702</v>
      </c>
      <c r="D1004" t="s">
        <v>3140</v>
      </c>
      <c r="E1004" t="s">
        <v>4161</v>
      </c>
      <c r="F1004" t="s">
        <v>4569</v>
      </c>
      <c r="G1004" t="s">
        <v>4572</v>
      </c>
      <c r="H1004" t="s">
        <v>4584</v>
      </c>
      <c r="I1004" t="s">
        <v>4589</v>
      </c>
      <c r="J1004">
        <v>5</v>
      </c>
      <c r="K1004">
        <v>33.909999999999997</v>
      </c>
      <c r="L1004">
        <v>0</v>
      </c>
      <c r="M1004">
        <v>0.05</v>
      </c>
      <c r="N1004" t="s">
        <v>5463</v>
      </c>
      <c r="O1004" t="s">
        <v>5470</v>
      </c>
      <c r="P1004" t="s">
        <v>5477</v>
      </c>
      <c r="Q1004" s="4">
        <v>169.54999999999998</v>
      </c>
    </row>
    <row r="1005" spans="1:17" x14ac:dyDescent="0.3">
      <c r="A1005" t="s">
        <v>991</v>
      </c>
      <c r="B1005" t="s">
        <v>2293</v>
      </c>
      <c r="C1005" s="1">
        <v>45891</v>
      </c>
      <c r="D1005" t="s">
        <v>2863</v>
      </c>
      <c r="E1005" t="s">
        <v>4162</v>
      </c>
      <c r="F1005" t="s">
        <v>4549</v>
      </c>
      <c r="G1005" t="s">
        <v>4573</v>
      </c>
      <c r="H1005" t="s">
        <v>4584</v>
      </c>
      <c r="I1005" t="s">
        <v>4603</v>
      </c>
      <c r="J1005">
        <v>1</v>
      </c>
      <c r="K1005">
        <v>9.66</v>
      </c>
      <c r="L1005">
        <v>0</v>
      </c>
      <c r="M1005">
        <v>8.51</v>
      </c>
      <c r="N1005" t="s">
        <v>5464</v>
      </c>
      <c r="O1005" t="s">
        <v>5481</v>
      </c>
      <c r="P1005" t="s">
        <v>5475</v>
      </c>
      <c r="Q1005" s="4">
        <v>9.66</v>
      </c>
    </row>
    <row r="1006" spans="1:17" x14ac:dyDescent="0.3">
      <c r="A1006" t="s">
        <v>992</v>
      </c>
      <c r="B1006" t="s">
        <v>2294</v>
      </c>
      <c r="C1006" s="1">
        <v>45445</v>
      </c>
      <c r="D1006" t="s">
        <v>3050</v>
      </c>
      <c r="E1006" t="s">
        <v>4163</v>
      </c>
      <c r="F1006" t="s">
        <v>4549</v>
      </c>
      <c r="G1006" t="s">
        <v>4573</v>
      </c>
      <c r="H1006" t="s">
        <v>4584</v>
      </c>
      <c r="I1006" t="s">
        <v>4608</v>
      </c>
      <c r="J1006">
        <v>5</v>
      </c>
      <c r="K1006">
        <v>18.14</v>
      </c>
      <c r="L1006">
        <v>0.1</v>
      </c>
      <c r="M1006">
        <v>2.2799999999999998</v>
      </c>
      <c r="N1006" t="s">
        <v>5468</v>
      </c>
      <c r="O1006" t="s">
        <v>5471</v>
      </c>
      <c r="P1006" t="s">
        <v>5477</v>
      </c>
      <c r="Q1006" s="4">
        <v>81.63000000000001</v>
      </c>
    </row>
    <row r="1007" spans="1:17" x14ac:dyDescent="0.3">
      <c r="A1007" t="s">
        <v>993</v>
      </c>
      <c r="B1007" t="s">
        <v>2295</v>
      </c>
      <c r="C1007" s="1">
        <v>45860</v>
      </c>
      <c r="D1007" t="s">
        <v>2994</v>
      </c>
      <c r="E1007" t="s">
        <v>4164</v>
      </c>
      <c r="F1007" t="s">
        <v>4565</v>
      </c>
      <c r="G1007" t="s">
        <v>4579</v>
      </c>
      <c r="H1007" t="s">
        <v>4584</v>
      </c>
      <c r="I1007" t="s">
        <v>4595</v>
      </c>
      <c r="J1007">
        <v>5</v>
      </c>
      <c r="K1007">
        <v>42.8</v>
      </c>
      <c r="L1007">
        <v>0</v>
      </c>
      <c r="M1007">
        <v>0</v>
      </c>
      <c r="N1007" t="s">
        <v>5466</v>
      </c>
      <c r="O1007" t="s">
        <v>5473</v>
      </c>
      <c r="P1007" t="s">
        <v>5477</v>
      </c>
      <c r="Q1007" s="4">
        <v>214</v>
      </c>
    </row>
    <row r="1008" spans="1:17" x14ac:dyDescent="0.3">
      <c r="A1008" t="s">
        <v>994</v>
      </c>
      <c r="B1008" t="s">
        <v>2296</v>
      </c>
      <c r="C1008" s="1">
        <v>45824</v>
      </c>
      <c r="D1008" t="s">
        <v>2916</v>
      </c>
      <c r="E1008" t="s">
        <v>4165</v>
      </c>
      <c r="F1008" t="s">
        <v>4569</v>
      </c>
      <c r="G1008" t="s">
        <v>4580</v>
      </c>
      <c r="H1008" t="s">
        <v>4585</v>
      </c>
      <c r="I1008" t="s">
        <v>4592</v>
      </c>
      <c r="J1008">
        <v>1</v>
      </c>
      <c r="K1008">
        <v>6.39</v>
      </c>
      <c r="L1008">
        <v>0</v>
      </c>
      <c r="M1008">
        <v>8.8000000000000007</v>
      </c>
      <c r="N1008" t="s">
        <v>5481</v>
      </c>
      <c r="O1008" t="s">
        <v>5474</v>
      </c>
      <c r="P1008" t="s">
        <v>5477</v>
      </c>
      <c r="Q1008" s="4">
        <v>6.39</v>
      </c>
    </row>
    <row r="1009" spans="1:17" x14ac:dyDescent="0.3">
      <c r="A1009" t="s">
        <v>995</v>
      </c>
      <c r="B1009" t="s">
        <v>2297</v>
      </c>
      <c r="C1009" s="1">
        <v>45907</v>
      </c>
      <c r="D1009" t="s">
        <v>2789</v>
      </c>
      <c r="E1009" t="s">
        <v>4166</v>
      </c>
      <c r="F1009" t="s">
        <v>4569</v>
      </c>
      <c r="G1009" t="s">
        <v>4580</v>
      </c>
      <c r="H1009" t="s">
        <v>4586</v>
      </c>
      <c r="I1009" t="s">
        <v>4593</v>
      </c>
      <c r="J1009">
        <v>5</v>
      </c>
      <c r="K1009">
        <v>113.22</v>
      </c>
      <c r="L1009">
        <v>0.1</v>
      </c>
      <c r="M1009">
        <v>12.72</v>
      </c>
      <c r="N1009" t="s">
        <v>5463</v>
      </c>
      <c r="O1009" t="s">
        <v>5470</v>
      </c>
      <c r="P1009" t="s">
        <v>5477</v>
      </c>
      <c r="Q1009" s="4">
        <v>509.49</v>
      </c>
    </row>
    <row r="1010" spans="1:17" x14ac:dyDescent="0.3">
      <c r="A1010" t="s">
        <v>996</v>
      </c>
      <c r="B1010" t="s">
        <v>2298</v>
      </c>
      <c r="C1010" s="1">
        <v>45697</v>
      </c>
      <c r="D1010" t="s">
        <v>2911</v>
      </c>
      <c r="E1010" t="s">
        <v>4167</v>
      </c>
      <c r="F1010" t="s">
        <v>4569</v>
      </c>
      <c r="G1010" t="s">
        <v>4580</v>
      </c>
      <c r="H1010" t="s">
        <v>5481</v>
      </c>
      <c r="I1010" t="s">
        <v>4593</v>
      </c>
      <c r="J1010">
        <v>2</v>
      </c>
      <c r="K1010">
        <v>106.69</v>
      </c>
      <c r="L1010">
        <v>0.1</v>
      </c>
      <c r="M1010">
        <v>0</v>
      </c>
      <c r="N1010" t="s">
        <v>5463</v>
      </c>
      <c r="O1010" t="s">
        <v>5473</v>
      </c>
      <c r="P1010" t="s">
        <v>5479</v>
      </c>
      <c r="Q1010" s="4">
        <v>192.042</v>
      </c>
    </row>
    <row r="1011" spans="1:17" x14ac:dyDescent="0.3">
      <c r="A1011" t="s">
        <v>997</v>
      </c>
      <c r="B1011" t="s">
        <v>2299</v>
      </c>
      <c r="C1011" s="1">
        <v>45403</v>
      </c>
      <c r="D1011" t="s">
        <v>3072</v>
      </c>
      <c r="E1011" t="s">
        <v>4168</v>
      </c>
      <c r="F1011" t="s">
        <v>4549</v>
      </c>
      <c r="G1011" t="s">
        <v>4574</v>
      </c>
      <c r="H1011" t="s">
        <v>4583</v>
      </c>
      <c r="I1011" t="s">
        <v>4604</v>
      </c>
      <c r="J1011">
        <v>10</v>
      </c>
      <c r="K1011">
        <v>22.69</v>
      </c>
      <c r="L1011">
        <v>0.1</v>
      </c>
      <c r="M1011">
        <v>2.5</v>
      </c>
      <c r="N1011" t="s">
        <v>5467</v>
      </c>
      <c r="O1011" t="s">
        <v>5470</v>
      </c>
      <c r="P1011" t="s">
        <v>5476</v>
      </c>
      <c r="Q1011" s="4">
        <v>204.21</v>
      </c>
    </row>
    <row r="1012" spans="1:17" x14ac:dyDescent="0.3">
      <c r="A1012" t="s">
        <v>998</v>
      </c>
      <c r="B1012" t="s">
        <v>1690</v>
      </c>
      <c r="C1012" s="1">
        <v>45556</v>
      </c>
      <c r="D1012" t="s">
        <v>3012</v>
      </c>
      <c r="E1012" t="s">
        <v>5481</v>
      </c>
      <c r="F1012" t="s">
        <v>4569</v>
      </c>
      <c r="G1012" t="s">
        <v>4572</v>
      </c>
      <c r="H1012" t="s">
        <v>4587</v>
      </c>
      <c r="I1012" t="s">
        <v>4594</v>
      </c>
      <c r="J1012">
        <v>1</v>
      </c>
      <c r="K1012">
        <v>57.15</v>
      </c>
      <c r="L1012">
        <v>0</v>
      </c>
      <c r="M1012">
        <v>14.99</v>
      </c>
      <c r="N1012" t="s">
        <v>5463</v>
      </c>
      <c r="O1012" t="s">
        <v>5470</v>
      </c>
      <c r="P1012" t="s">
        <v>5477</v>
      </c>
      <c r="Q1012" s="4">
        <v>57.15</v>
      </c>
    </row>
    <row r="1013" spans="1:17" x14ac:dyDescent="0.3">
      <c r="A1013" t="s">
        <v>999</v>
      </c>
      <c r="B1013" t="s">
        <v>2300</v>
      </c>
      <c r="C1013" s="1">
        <v>45484</v>
      </c>
      <c r="D1013" t="s">
        <v>2951</v>
      </c>
      <c r="E1013" t="s">
        <v>4169</v>
      </c>
      <c r="F1013" t="s">
        <v>4565</v>
      </c>
      <c r="G1013" t="s">
        <v>4575</v>
      </c>
      <c r="H1013" t="s">
        <v>4584</v>
      </c>
      <c r="I1013" t="s">
        <v>4595</v>
      </c>
      <c r="J1013">
        <v>1</v>
      </c>
      <c r="K1013">
        <v>43.65</v>
      </c>
      <c r="L1013">
        <v>0</v>
      </c>
      <c r="M1013">
        <v>0</v>
      </c>
      <c r="N1013" t="s">
        <v>5468</v>
      </c>
      <c r="O1013" t="s">
        <v>5471</v>
      </c>
      <c r="P1013" t="s">
        <v>5477</v>
      </c>
      <c r="Q1013" s="4">
        <v>43.65</v>
      </c>
    </row>
    <row r="1014" spans="1:17" x14ac:dyDescent="0.3">
      <c r="A1014" t="s">
        <v>1000</v>
      </c>
      <c r="B1014" t="s">
        <v>2301</v>
      </c>
      <c r="C1014" s="1">
        <v>45398</v>
      </c>
      <c r="D1014" t="s">
        <v>3041</v>
      </c>
      <c r="E1014" t="s">
        <v>4170</v>
      </c>
      <c r="F1014" t="s">
        <v>4549</v>
      </c>
      <c r="G1014" t="s">
        <v>4574</v>
      </c>
      <c r="H1014" t="s">
        <v>4585</v>
      </c>
      <c r="I1014" t="s">
        <v>4602</v>
      </c>
      <c r="J1014">
        <v>1</v>
      </c>
      <c r="K1014">
        <v>4.3499999999999996</v>
      </c>
      <c r="L1014">
        <v>0.1</v>
      </c>
      <c r="M1014">
        <v>1.17</v>
      </c>
      <c r="N1014" t="s">
        <v>5465</v>
      </c>
      <c r="O1014" t="s">
        <v>5472</v>
      </c>
      <c r="P1014" t="s">
        <v>5477</v>
      </c>
      <c r="Q1014" s="4">
        <v>3.9149999999999996</v>
      </c>
    </row>
    <row r="1015" spans="1:17" x14ac:dyDescent="0.3">
      <c r="A1015" t="s">
        <v>1001</v>
      </c>
      <c r="B1015" t="s">
        <v>2302</v>
      </c>
      <c r="C1015" s="1">
        <v>45345</v>
      </c>
      <c r="D1015" t="s">
        <v>2965</v>
      </c>
      <c r="E1015" t="s">
        <v>4171</v>
      </c>
      <c r="F1015" t="s">
        <v>4549</v>
      </c>
      <c r="G1015" t="s">
        <v>4573</v>
      </c>
      <c r="H1015" t="s">
        <v>4585</v>
      </c>
      <c r="I1015" t="s">
        <v>4591</v>
      </c>
      <c r="J1015">
        <v>1</v>
      </c>
      <c r="K1015">
        <v>8.02</v>
      </c>
      <c r="L1015">
        <v>0.05</v>
      </c>
      <c r="M1015">
        <v>0.08</v>
      </c>
      <c r="N1015" t="s">
        <v>5466</v>
      </c>
      <c r="O1015" t="s">
        <v>5481</v>
      </c>
      <c r="P1015" t="s">
        <v>5477</v>
      </c>
      <c r="Q1015" s="4">
        <v>7.6189999999999989</v>
      </c>
    </row>
    <row r="1016" spans="1:17" x14ac:dyDescent="0.3">
      <c r="A1016" t="s">
        <v>1002</v>
      </c>
      <c r="B1016" t="s">
        <v>2303</v>
      </c>
      <c r="C1016" s="1">
        <v>45326</v>
      </c>
      <c r="D1016" t="s">
        <v>3113</v>
      </c>
      <c r="E1016" t="s">
        <v>4172</v>
      </c>
      <c r="F1016" t="s">
        <v>4566</v>
      </c>
      <c r="G1016" t="s">
        <v>4582</v>
      </c>
      <c r="H1016" t="s">
        <v>4587</v>
      </c>
      <c r="I1016" t="s">
        <v>4606</v>
      </c>
      <c r="J1016">
        <v>1</v>
      </c>
      <c r="K1016">
        <v>31.17</v>
      </c>
      <c r="L1016">
        <v>0</v>
      </c>
      <c r="M1016">
        <v>12.15</v>
      </c>
      <c r="N1016" t="s">
        <v>5466</v>
      </c>
      <c r="O1016" t="s">
        <v>5473</v>
      </c>
      <c r="P1016" t="s">
        <v>5477</v>
      </c>
      <c r="Q1016" s="4">
        <v>31.17</v>
      </c>
    </row>
    <row r="1017" spans="1:17" x14ac:dyDescent="0.3">
      <c r="A1017" t="s">
        <v>1003</v>
      </c>
      <c r="B1017" t="s">
        <v>2304</v>
      </c>
      <c r="C1017" s="1">
        <v>45982</v>
      </c>
      <c r="D1017" t="s">
        <v>3026</v>
      </c>
      <c r="E1017" t="s">
        <v>4173</v>
      </c>
      <c r="F1017" t="s">
        <v>4566</v>
      </c>
      <c r="G1017" t="s">
        <v>4582</v>
      </c>
      <c r="H1017" t="s">
        <v>4586</v>
      </c>
      <c r="I1017" t="s">
        <v>4599</v>
      </c>
      <c r="J1017">
        <v>4</v>
      </c>
      <c r="K1017">
        <v>252.21</v>
      </c>
      <c r="L1017">
        <v>0</v>
      </c>
      <c r="M1017">
        <v>6.6</v>
      </c>
      <c r="N1017" t="s">
        <v>5468</v>
      </c>
      <c r="O1017" t="s">
        <v>5469</v>
      </c>
      <c r="P1017" t="s">
        <v>5477</v>
      </c>
      <c r="Q1017" s="4">
        <v>1008.84</v>
      </c>
    </row>
    <row r="1018" spans="1:17" x14ac:dyDescent="0.3">
      <c r="A1018" t="s">
        <v>1004</v>
      </c>
      <c r="B1018" t="s">
        <v>2099</v>
      </c>
      <c r="C1018" s="1">
        <v>45485</v>
      </c>
      <c r="D1018" t="s">
        <v>3046</v>
      </c>
      <c r="E1018" t="s">
        <v>4174</v>
      </c>
      <c r="F1018" t="s">
        <v>4564</v>
      </c>
      <c r="G1018" t="s">
        <v>4573</v>
      </c>
      <c r="H1018" t="s">
        <v>4585</v>
      </c>
      <c r="I1018" t="s">
        <v>4602</v>
      </c>
      <c r="J1018">
        <v>3</v>
      </c>
      <c r="K1018">
        <v>4.26</v>
      </c>
      <c r="L1018">
        <v>0.15</v>
      </c>
      <c r="M1018">
        <v>4.92</v>
      </c>
      <c r="N1018" t="s">
        <v>5467</v>
      </c>
      <c r="O1018" t="s">
        <v>5471</v>
      </c>
      <c r="P1018" t="s">
        <v>5479</v>
      </c>
      <c r="Q1018" s="4">
        <v>10.863</v>
      </c>
    </row>
    <row r="1019" spans="1:17" x14ac:dyDescent="0.3">
      <c r="A1019" t="s">
        <v>1005</v>
      </c>
      <c r="B1019" t="s">
        <v>1446</v>
      </c>
      <c r="C1019" s="1">
        <v>45968</v>
      </c>
      <c r="D1019" t="s">
        <v>5496</v>
      </c>
      <c r="E1019" t="s">
        <v>4175</v>
      </c>
      <c r="F1019" t="s">
        <v>4569</v>
      </c>
      <c r="G1019" t="s">
        <v>4580</v>
      </c>
      <c r="H1019" t="s">
        <v>4585</v>
      </c>
      <c r="I1019" t="s">
        <v>4590</v>
      </c>
      <c r="J1019">
        <v>2</v>
      </c>
      <c r="K1019">
        <v>14.24</v>
      </c>
      <c r="L1019">
        <v>0</v>
      </c>
      <c r="M1019">
        <v>0.76</v>
      </c>
      <c r="N1019" t="s">
        <v>5481</v>
      </c>
      <c r="O1019" t="s">
        <v>5481</v>
      </c>
      <c r="P1019" t="s">
        <v>5477</v>
      </c>
      <c r="Q1019" s="4">
        <v>28.48</v>
      </c>
    </row>
    <row r="1020" spans="1:17" x14ac:dyDescent="0.3">
      <c r="A1020" t="s">
        <v>1006</v>
      </c>
      <c r="B1020" t="s">
        <v>2305</v>
      </c>
      <c r="C1020" s="1">
        <v>45815</v>
      </c>
      <c r="D1020" t="s">
        <v>2997</v>
      </c>
      <c r="E1020" t="s">
        <v>4176</v>
      </c>
      <c r="F1020" t="s">
        <v>4565</v>
      </c>
      <c r="G1020" t="s">
        <v>4576</v>
      </c>
      <c r="H1020" t="s">
        <v>4585</v>
      </c>
      <c r="I1020" t="s">
        <v>4592</v>
      </c>
      <c r="J1020">
        <v>2</v>
      </c>
      <c r="K1020">
        <v>6.42</v>
      </c>
      <c r="L1020">
        <v>0.05</v>
      </c>
      <c r="M1020">
        <v>12.59</v>
      </c>
      <c r="N1020" t="s">
        <v>5464</v>
      </c>
      <c r="O1020" t="s">
        <v>5473</v>
      </c>
      <c r="P1020" t="s">
        <v>5475</v>
      </c>
      <c r="Q1020" s="4">
        <v>12.197999999999999</v>
      </c>
    </row>
    <row r="1021" spans="1:17" x14ac:dyDescent="0.3">
      <c r="A1021" t="s">
        <v>1007</v>
      </c>
      <c r="B1021" t="s">
        <v>2306</v>
      </c>
      <c r="C1021" s="1">
        <v>45831</v>
      </c>
      <c r="D1021" t="s">
        <v>2709</v>
      </c>
      <c r="E1021" t="s">
        <v>4177</v>
      </c>
      <c r="F1021" t="s">
        <v>4565</v>
      </c>
      <c r="G1021" t="s">
        <v>4576</v>
      </c>
      <c r="H1021" t="s">
        <v>4587</v>
      </c>
      <c r="I1021" t="s">
        <v>4594</v>
      </c>
      <c r="J1021">
        <v>3</v>
      </c>
      <c r="K1021">
        <v>57.8</v>
      </c>
      <c r="L1021">
        <v>0</v>
      </c>
      <c r="M1021">
        <v>0.63</v>
      </c>
      <c r="N1021" t="s">
        <v>5463</v>
      </c>
      <c r="O1021" t="s">
        <v>5472</v>
      </c>
      <c r="P1021" t="s">
        <v>5476</v>
      </c>
      <c r="Q1021" s="4">
        <v>173.39999999999998</v>
      </c>
    </row>
    <row r="1022" spans="1:17" x14ac:dyDescent="0.3">
      <c r="A1022" t="s">
        <v>1008</v>
      </c>
      <c r="B1022" t="s">
        <v>2307</v>
      </c>
      <c r="C1022" s="1">
        <v>45457</v>
      </c>
      <c r="D1022" t="s">
        <v>2665</v>
      </c>
      <c r="E1022" t="s">
        <v>4178</v>
      </c>
      <c r="F1022" t="s">
        <v>4569</v>
      </c>
      <c r="G1022" t="s">
        <v>4580</v>
      </c>
      <c r="H1022" t="s">
        <v>4585</v>
      </c>
      <c r="I1022" t="s">
        <v>4602</v>
      </c>
      <c r="J1022">
        <v>1</v>
      </c>
      <c r="K1022">
        <v>4.1900000000000004</v>
      </c>
      <c r="L1022">
        <v>0.05</v>
      </c>
      <c r="M1022">
        <v>3.66</v>
      </c>
      <c r="N1022" t="s">
        <v>5464</v>
      </c>
      <c r="O1022" t="s">
        <v>5470</v>
      </c>
      <c r="P1022" t="s">
        <v>5477</v>
      </c>
      <c r="Q1022" s="4">
        <v>3.9805000000000001</v>
      </c>
    </row>
    <row r="1023" spans="1:17" x14ac:dyDescent="0.3">
      <c r="A1023" t="s">
        <v>1009</v>
      </c>
      <c r="B1023" t="s">
        <v>2308</v>
      </c>
      <c r="C1023" s="1">
        <v>45387</v>
      </c>
      <c r="D1023" t="s">
        <v>2795</v>
      </c>
      <c r="E1023" t="s">
        <v>4179</v>
      </c>
      <c r="F1023" t="s">
        <v>4564</v>
      </c>
      <c r="G1023" t="s">
        <v>4578</v>
      </c>
      <c r="H1023" t="s">
        <v>4584</v>
      </c>
      <c r="I1023" t="s">
        <v>4601</v>
      </c>
      <c r="J1023">
        <v>2</v>
      </c>
      <c r="K1023">
        <v>180.97</v>
      </c>
      <c r="L1023">
        <v>0.1</v>
      </c>
      <c r="M1023">
        <v>10.87</v>
      </c>
      <c r="N1023" t="s">
        <v>5466</v>
      </c>
      <c r="O1023" t="s">
        <v>5474</v>
      </c>
      <c r="P1023" t="s">
        <v>5477</v>
      </c>
      <c r="Q1023" s="4">
        <v>325.74599999999998</v>
      </c>
    </row>
    <row r="1024" spans="1:17" x14ac:dyDescent="0.3">
      <c r="A1024" t="s">
        <v>1010</v>
      </c>
      <c r="B1024" t="s">
        <v>2088</v>
      </c>
      <c r="C1024" s="1">
        <v>45815</v>
      </c>
      <c r="D1024" t="s">
        <v>2975</v>
      </c>
      <c r="E1024" t="s">
        <v>4180</v>
      </c>
      <c r="F1024" t="s">
        <v>4566</v>
      </c>
      <c r="G1024" t="s">
        <v>4573</v>
      </c>
      <c r="H1024" t="s">
        <v>5481</v>
      </c>
      <c r="I1024" t="s">
        <v>4602</v>
      </c>
      <c r="J1024">
        <v>10</v>
      </c>
      <c r="K1024">
        <v>4.22</v>
      </c>
      <c r="L1024">
        <v>0.15</v>
      </c>
      <c r="M1024">
        <v>11.82</v>
      </c>
      <c r="N1024" t="s">
        <v>5466</v>
      </c>
      <c r="O1024" t="s">
        <v>5481</v>
      </c>
      <c r="P1024" t="s">
        <v>5477</v>
      </c>
      <c r="Q1024" s="4">
        <v>35.869999999999997</v>
      </c>
    </row>
    <row r="1025" spans="1:17" x14ac:dyDescent="0.3">
      <c r="A1025" t="s">
        <v>1011</v>
      </c>
      <c r="B1025" t="s">
        <v>1614</v>
      </c>
      <c r="C1025" s="1">
        <v>45427</v>
      </c>
      <c r="D1025" t="s">
        <v>2979</v>
      </c>
      <c r="E1025" t="s">
        <v>5481</v>
      </c>
      <c r="F1025" t="s">
        <v>4569</v>
      </c>
      <c r="G1025" t="s">
        <v>4572</v>
      </c>
      <c r="H1025" t="s">
        <v>5481</v>
      </c>
      <c r="I1025" t="s">
        <v>4603</v>
      </c>
      <c r="J1025">
        <v>1</v>
      </c>
      <c r="K1025">
        <v>9.56</v>
      </c>
      <c r="L1025">
        <v>0.1</v>
      </c>
      <c r="M1025">
        <v>4.5</v>
      </c>
      <c r="N1025" t="s">
        <v>5465</v>
      </c>
      <c r="O1025" t="s">
        <v>5469</v>
      </c>
      <c r="P1025" t="s">
        <v>5477</v>
      </c>
      <c r="Q1025" s="4">
        <v>8.604000000000001</v>
      </c>
    </row>
    <row r="1026" spans="1:17" x14ac:dyDescent="0.3">
      <c r="A1026" t="s">
        <v>1012</v>
      </c>
      <c r="B1026" t="s">
        <v>2309</v>
      </c>
      <c r="C1026" s="1">
        <v>45384</v>
      </c>
      <c r="D1026" t="s">
        <v>2923</v>
      </c>
      <c r="E1026" t="s">
        <v>4181</v>
      </c>
      <c r="F1026" t="s">
        <v>4565</v>
      </c>
      <c r="G1026" t="s">
        <v>4576</v>
      </c>
      <c r="H1026" t="s">
        <v>4586</v>
      </c>
      <c r="I1026" t="s">
        <v>4599</v>
      </c>
      <c r="J1026">
        <v>3</v>
      </c>
      <c r="K1026">
        <v>259.97000000000003</v>
      </c>
      <c r="L1026">
        <v>0.15</v>
      </c>
      <c r="M1026">
        <v>4.45</v>
      </c>
      <c r="N1026" t="s">
        <v>5464</v>
      </c>
      <c r="O1026" t="s">
        <v>5481</v>
      </c>
      <c r="P1026" t="s">
        <v>5477</v>
      </c>
      <c r="Q1026" s="4">
        <v>662.9235000000001</v>
      </c>
    </row>
    <row r="1027" spans="1:17" x14ac:dyDescent="0.3">
      <c r="A1027" t="s">
        <v>878</v>
      </c>
      <c r="B1027" t="s">
        <v>2206</v>
      </c>
      <c r="C1027" s="1">
        <v>45678</v>
      </c>
      <c r="D1027" t="s">
        <v>2685</v>
      </c>
      <c r="E1027" t="s">
        <v>4056</v>
      </c>
      <c r="F1027" t="s">
        <v>4565</v>
      </c>
      <c r="G1027" t="s">
        <v>4575</v>
      </c>
      <c r="H1027" t="s">
        <v>4586</v>
      </c>
      <c r="I1027" t="s">
        <v>4593</v>
      </c>
      <c r="J1027">
        <v>2</v>
      </c>
      <c r="K1027">
        <v>104.98</v>
      </c>
      <c r="L1027">
        <v>0</v>
      </c>
      <c r="M1027">
        <v>6.9</v>
      </c>
      <c r="N1027" t="s">
        <v>5468</v>
      </c>
      <c r="O1027" t="s">
        <v>5474</v>
      </c>
      <c r="P1027" t="s">
        <v>5479</v>
      </c>
      <c r="Q1027" s="4">
        <v>209.96</v>
      </c>
    </row>
    <row r="1028" spans="1:17" x14ac:dyDescent="0.3">
      <c r="A1028" t="s">
        <v>1013</v>
      </c>
      <c r="B1028" t="s">
        <v>2310</v>
      </c>
      <c r="C1028" s="1">
        <v>45629</v>
      </c>
      <c r="D1028" t="s">
        <v>3155</v>
      </c>
      <c r="E1028" t="s">
        <v>4182</v>
      </c>
      <c r="F1028" t="s">
        <v>4549</v>
      </c>
      <c r="G1028" t="s">
        <v>4574</v>
      </c>
      <c r="H1028" t="s">
        <v>4584</v>
      </c>
      <c r="I1028" t="s">
        <v>4607</v>
      </c>
      <c r="J1028">
        <v>2</v>
      </c>
      <c r="K1028">
        <v>24.84</v>
      </c>
      <c r="L1028">
        <v>0</v>
      </c>
      <c r="M1028">
        <v>3.06</v>
      </c>
      <c r="N1028" t="s">
        <v>5467</v>
      </c>
      <c r="O1028" t="s">
        <v>5470</v>
      </c>
      <c r="P1028" t="s">
        <v>5475</v>
      </c>
      <c r="Q1028" s="4">
        <v>49.68</v>
      </c>
    </row>
    <row r="1029" spans="1:17" x14ac:dyDescent="0.3">
      <c r="C1029" s="1"/>
      <c r="E1029" t="s">
        <v>5481</v>
      </c>
      <c r="G1029" t="s">
        <v>5481</v>
      </c>
      <c r="H1029" t="s">
        <v>5481</v>
      </c>
      <c r="L1029">
        <v>0</v>
      </c>
      <c r="N1029" t="s">
        <v>5481</v>
      </c>
      <c r="O1029" t="s">
        <v>5481</v>
      </c>
    </row>
    <row r="1030" spans="1:17" x14ac:dyDescent="0.3">
      <c r="A1030" t="s">
        <v>1014</v>
      </c>
      <c r="B1030" t="s">
        <v>2311</v>
      </c>
      <c r="C1030" s="1">
        <v>45854</v>
      </c>
      <c r="D1030" t="s">
        <v>3156</v>
      </c>
      <c r="E1030" t="s">
        <v>5481</v>
      </c>
      <c r="F1030" t="s">
        <v>4566</v>
      </c>
      <c r="G1030" t="s">
        <v>5481</v>
      </c>
      <c r="H1030" t="s">
        <v>4584</v>
      </c>
      <c r="I1030" t="s">
        <v>4608</v>
      </c>
      <c r="J1030">
        <v>1</v>
      </c>
      <c r="K1030">
        <v>19.05</v>
      </c>
      <c r="L1030">
        <v>0.05</v>
      </c>
      <c r="M1030">
        <v>8.35</v>
      </c>
      <c r="N1030" t="s">
        <v>5465</v>
      </c>
      <c r="O1030" t="s">
        <v>5474</v>
      </c>
      <c r="P1030" t="s">
        <v>5477</v>
      </c>
      <c r="Q1030" s="4">
        <v>18.0975</v>
      </c>
    </row>
    <row r="1031" spans="1:17" x14ac:dyDescent="0.3">
      <c r="A1031" t="s">
        <v>281</v>
      </c>
      <c r="B1031" t="s">
        <v>1675</v>
      </c>
      <c r="C1031" s="1">
        <v>45800</v>
      </c>
      <c r="D1031" t="s">
        <v>2846</v>
      </c>
      <c r="E1031" t="s">
        <v>3511</v>
      </c>
      <c r="F1031" t="s">
        <v>4569</v>
      </c>
      <c r="G1031" t="s">
        <v>4580</v>
      </c>
      <c r="H1031" t="s">
        <v>4583</v>
      </c>
      <c r="I1031" t="s">
        <v>4610</v>
      </c>
      <c r="J1031">
        <v>5</v>
      </c>
      <c r="K1031">
        <v>81.44</v>
      </c>
      <c r="L1031">
        <v>0</v>
      </c>
      <c r="M1031">
        <v>14.07</v>
      </c>
      <c r="N1031" t="s">
        <v>5467</v>
      </c>
      <c r="O1031" t="s">
        <v>5469</v>
      </c>
      <c r="P1031" t="s">
        <v>5476</v>
      </c>
      <c r="Q1031" s="4">
        <v>407.2</v>
      </c>
    </row>
    <row r="1032" spans="1:17" x14ac:dyDescent="0.3">
      <c r="A1032" t="s">
        <v>1015</v>
      </c>
      <c r="B1032" t="s">
        <v>2312</v>
      </c>
      <c r="C1032" s="1">
        <v>45369</v>
      </c>
      <c r="D1032" t="s">
        <v>3158</v>
      </c>
      <c r="E1032" t="s">
        <v>4183</v>
      </c>
      <c r="F1032" t="s">
        <v>4549</v>
      </c>
      <c r="G1032" t="s">
        <v>4573</v>
      </c>
      <c r="H1032" t="s">
        <v>4585</v>
      </c>
      <c r="I1032" t="s">
        <v>4598</v>
      </c>
      <c r="J1032">
        <v>1</v>
      </c>
      <c r="K1032">
        <v>2.95</v>
      </c>
      <c r="L1032">
        <v>0.1</v>
      </c>
      <c r="M1032">
        <v>0</v>
      </c>
      <c r="N1032" t="s">
        <v>5468</v>
      </c>
      <c r="O1032" t="s">
        <v>5481</v>
      </c>
      <c r="P1032" t="s">
        <v>5479</v>
      </c>
      <c r="Q1032" s="4">
        <v>2.6550000000000002</v>
      </c>
    </row>
    <row r="1033" spans="1:17" x14ac:dyDescent="0.3">
      <c r="A1033" t="s">
        <v>1016</v>
      </c>
      <c r="B1033" t="s">
        <v>1697</v>
      </c>
      <c r="C1033" s="1">
        <v>45385</v>
      </c>
      <c r="D1033" t="s">
        <v>2698</v>
      </c>
      <c r="E1033" t="s">
        <v>4184</v>
      </c>
      <c r="F1033" t="s">
        <v>4569</v>
      </c>
      <c r="G1033" t="s">
        <v>4581</v>
      </c>
      <c r="H1033" t="s">
        <v>4585</v>
      </c>
      <c r="I1033" t="s">
        <v>4592</v>
      </c>
      <c r="J1033">
        <v>2</v>
      </c>
      <c r="K1033">
        <v>6.19</v>
      </c>
      <c r="L1033">
        <v>0</v>
      </c>
      <c r="N1033" t="s">
        <v>5468</v>
      </c>
      <c r="O1033" t="s">
        <v>5472</v>
      </c>
      <c r="P1033" t="s">
        <v>5477</v>
      </c>
      <c r="Q1033" s="4">
        <v>12.38</v>
      </c>
    </row>
    <row r="1034" spans="1:17" x14ac:dyDescent="0.3">
      <c r="A1034" t="s">
        <v>678</v>
      </c>
      <c r="B1034" t="s">
        <v>2039</v>
      </c>
      <c r="C1034" s="1">
        <v>45429</v>
      </c>
      <c r="D1034" t="s">
        <v>2770</v>
      </c>
      <c r="E1034" t="s">
        <v>3872</v>
      </c>
      <c r="F1034" t="s">
        <v>4569</v>
      </c>
      <c r="G1034" t="s">
        <v>4572</v>
      </c>
      <c r="H1034" t="s">
        <v>4583</v>
      </c>
      <c r="I1034" t="s">
        <v>4604</v>
      </c>
      <c r="J1034">
        <v>2</v>
      </c>
      <c r="K1034">
        <v>23.6</v>
      </c>
      <c r="L1034">
        <v>0</v>
      </c>
      <c r="M1034">
        <v>12.45</v>
      </c>
      <c r="N1034" t="s">
        <v>5481</v>
      </c>
      <c r="O1034" t="s">
        <v>5471</v>
      </c>
      <c r="P1034" t="s">
        <v>5477</v>
      </c>
      <c r="Q1034" s="4">
        <v>47.2</v>
      </c>
    </row>
    <row r="1035" spans="1:17" x14ac:dyDescent="0.3">
      <c r="A1035" t="s">
        <v>1017</v>
      </c>
      <c r="B1035" t="s">
        <v>2313</v>
      </c>
      <c r="C1035" s="1">
        <v>45934</v>
      </c>
      <c r="D1035" t="s">
        <v>2929</v>
      </c>
      <c r="E1035" t="s">
        <v>4185</v>
      </c>
      <c r="F1035" t="s">
        <v>4569</v>
      </c>
      <c r="G1035" t="s">
        <v>4572</v>
      </c>
      <c r="H1035" t="s">
        <v>4586</v>
      </c>
      <c r="I1035" t="s">
        <v>4597</v>
      </c>
      <c r="J1035">
        <v>3</v>
      </c>
      <c r="K1035">
        <v>88.4</v>
      </c>
      <c r="L1035">
        <v>0.05</v>
      </c>
      <c r="N1035" t="s">
        <v>5463</v>
      </c>
      <c r="O1035" t="s">
        <v>5471</v>
      </c>
      <c r="P1035" t="s">
        <v>5477</v>
      </c>
      <c r="Q1035" s="4">
        <v>251.94000000000003</v>
      </c>
    </row>
    <row r="1036" spans="1:17" x14ac:dyDescent="0.3">
      <c r="A1036" t="s">
        <v>1018</v>
      </c>
      <c r="B1036" t="s">
        <v>1788</v>
      </c>
      <c r="C1036" s="1">
        <v>45613</v>
      </c>
      <c r="D1036" t="s">
        <v>3159</v>
      </c>
      <c r="E1036" t="s">
        <v>4186</v>
      </c>
      <c r="F1036" t="s">
        <v>4569</v>
      </c>
      <c r="G1036" t="s">
        <v>4572</v>
      </c>
      <c r="H1036" t="s">
        <v>4583</v>
      </c>
      <c r="I1036" t="s">
        <v>4604</v>
      </c>
      <c r="J1036">
        <v>2</v>
      </c>
      <c r="K1036">
        <v>21.5</v>
      </c>
      <c r="L1036">
        <v>0.05</v>
      </c>
      <c r="M1036">
        <v>14.83</v>
      </c>
      <c r="N1036" t="s">
        <v>5467</v>
      </c>
      <c r="O1036" t="s">
        <v>5481</v>
      </c>
      <c r="P1036" t="s">
        <v>5477</v>
      </c>
      <c r="Q1036" s="4">
        <v>40.85</v>
      </c>
    </row>
    <row r="1037" spans="1:17" x14ac:dyDescent="0.3">
      <c r="A1037" t="s">
        <v>1019</v>
      </c>
      <c r="B1037" t="s">
        <v>2314</v>
      </c>
      <c r="C1037" s="1">
        <v>45353</v>
      </c>
      <c r="D1037" t="s">
        <v>2998</v>
      </c>
      <c r="E1037" t="s">
        <v>4187</v>
      </c>
      <c r="F1037" t="s">
        <v>4565</v>
      </c>
      <c r="G1037" t="s">
        <v>4576</v>
      </c>
      <c r="H1037" t="s">
        <v>4584</v>
      </c>
      <c r="I1037" t="s">
        <v>4601</v>
      </c>
      <c r="J1037">
        <v>2</v>
      </c>
      <c r="K1037">
        <v>197.38</v>
      </c>
      <c r="L1037">
        <v>0.1</v>
      </c>
      <c r="M1037">
        <v>6.97</v>
      </c>
      <c r="N1037" t="s">
        <v>5465</v>
      </c>
      <c r="O1037" t="s">
        <v>5470</v>
      </c>
      <c r="P1037" t="s">
        <v>5477</v>
      </c>
      <c r="Q1037" s="4">
        <v>355.28399999999999</v>
      </c>
    </row>
    <row r="1038" spans="1:17" x14ac:dyDescent="0.3">
      <c r="A1038" t="s">
        <v>1020</v>
      </c>
      <c r="B1038" t="s">
        <v>1860</v>
      </c>
      <c r="C1038" s="1">
        <v>45873</v>
      </c>
      <c r="D1038" t="s">
        <v>2688</v>
      </c>
      <c r="E1038" t="s">
        <v>4188</v>
      </c>
      <c r="F1038" t="s">
        <v>4564</v>
      </c>
      <c r="G1038" t="s">
        <v>4578</v>
      </c>
      <c r="H1038" t="s">
        <v>4586</v>
      </c>
      <c r="I1038" t="s">
        <v>4599</v>
      </c>
      <c r="J1038">
        <v>2</v>
      </c>
      <c r="K1038">
        <v>245.09</v>
      </c>
      <c r="L1038">
        <v>0.05</v>
      </c>
      <c r="M1038">
        <v>0</v>
      </c>
      <c r="N1038" t="s">
        <v>5463</v>
      </c>
      <c r="O1038" t="s">
        <v>5481</v>
      </c>
      <c r="P1038" t="s">
        <v>5477</v>
      </c>
      <c r="Q1038" s="4">
        <v>465.67099999999999</v>
      </c>
    </row>
    <row r="1039" spans="1:17" x14ac:dyDescent="0.3">
      <c r="A1039" t="s">
        <v>1021</v>
      </c>
      <c r="B1039" t="s">
        <v>2315</v>
      </c>
      <c r="C1039" s="1">
        <v>45646</v>
      </c>
      <c r="D1039" t="s">
        <v>2881</v>
      </c>
      <c r="E1039" t="s">
        <v>4189</v>
      </c>
      <c r="F1039" t="s">
        <v>4549</v>
      </c>
      <c r="G1039" t="s">
        <v>4574</v>
      </c>
      <c r="H1039" t="s">
        <v>4587</v>
      </c>
      <c r="I1039" t="s">
        <v>4606</v>
      </c>
      <c r="J1039">
        <v>1</v>
      </c>
      <c r="K1039">
        <v>31.34</v>
      </c>
      <c r="L1039">
        <v>0.1</v>
      </c>
      <c r="N1039" t="s">
        <v>5467</v>
      </c>
      <c r="O1039" t="s">
        <v>5471</v>
      </c>
      <c r="P1039" t="s">
        <v>5477</v>
      </c>
      <c r="Q1039" s="4">
        <v>28.206</v>
      </c>
    </row>
    <row r="1040" spans="1:17" x14ac:dyDescent="0.3">
      <c r="A1040" t="s">
        <v>1022</v>
      </c>
      <c r="B1040" t="s">
        <v>1556</v>
      </c>
      <c r="C1040" s="1">
        <v>45847</v>
      </c>
      <c r="D1040" t="s">
        <v>3085</v>
      </c>
      <c r="E1040" t="s">
        <v>4190</v>
      </c>
      <c r="F1040" t="s">
        <v>4569</v>
      </c>
      <c r="G1040" t="s">
        <v>4581</v>
      </c>
      <c r="H1040" t="s">
        <v>4587</v>
      </c>
      <c r="I1040" t="s">
        <v>4594</v>
      </c>
      <c r="J1040">
        <v>1</v>
      </c>
      <c r="K1040">
        <v>58.9</v>
      </c>
      <c r="L1040">
        <v>0.15</v>
      </c>
      <c r="M1040">
        <v>2.0099999999999998</v>
      </c>
      <c r="N1040" t="s">
        <v>5465</v>
      </c>
      <c r="O1040" t="s">
        <v>5470</v>
      </c>
      <c r="P1040" t="s">
        <v>5477</v>
      </c>
      <c r="Q1040" s="4">
        <v>50.064999999999998</v>
      </c>
    </row>
    <row r="1041" spans="1:17" x14ac:dyDescent="0.3">
      <c r="A1041" t="s">
        <v>1023</v>
      </c>
      <c r="B1041" t="s">
        <v>2316</v>
      </c>
      <c r="C1041" s="1">
        <v>45447</v>
      </c>
      <c r="D1041" t="s">
        <v>2706</v>
      </c>
      <c r="E1041" t="s">
        <v>4191</v>
      </c>
      <c r="F1041" t="s">
        <v>4564</v>
      </c>
      <c r="G1041" t="s">
        <v>4578</v>
      </c>
      <c r="H1041" t="s">
        <v>4583</v>
      </c>
      <c r="I1041" t="s">
        <v>4588</v>
      </c>
      <c r="J1041">
        <v>4</v>
      </c>
      <c r="K1041">
        <v>38.28</v>
      </c>
      <c r="L1041">
        <v>0</v>
      </c>
      <c r="M1041">
        <v>0.6</v>
      </c>
      <c r="N1041" t="s">
        <v>5463</v>
      </c>
      <c r="O1041" t="s">
        <v>5473</v>
      </c>
      <c r="P1041" t="s">
        <v>5475</v>
      </c>
      <c r="Q1041" s="4">
        <v>153.12</v>
      </c>
    </row>
    <row r="1042" spans="1:17" x14ac:dyDescent="0.3">
      <c r="A1042" t="s">
        <v>1024</v>
      </c>
      <c r="B1042" t="s">
        <v>1932</v>
      </c>
      <c r="C1042" s="1">
        <v>45680</v>
      </c>
      <c r="D1042" t="s">
        <v>2931</v>
      </c>
      <c r="E1042" t="s">
        <v>4192</v>
      </c>
      <c r="F1042" t="s">
        <v>4566</v>
      </c>
      <c r="G1042" t="s">
        <v>4582</v>
      </c>
      <c r="H1042" t="s">
        <v>4583</v>
      </c>
      <c r="I1042" t="s">
        <v>4605</v>
      </c>
      <c r="J1042">
        <v>1</v>
      </c>
      <c r="K1042">
        <v>42.98</v>
      </c>
      <c r="L1042">
        <v>0</v>
      </c>
      <c r="N1042" t="s">
        <v>5481</v>
      </c>
      <c r="O1042" t="s">
        <v>5472</v>
      </c>
      <c r="P1042" t="s">
        <v>5476</v>
      </c>
      <c r="Q1042" s="4">
        <v>42.98</v>
      </c>
    </row>
    <row r="1043" spans="1:17" x14ac:dyDescent="0.3">
      <c r="A1043" t="s">
        <v>1025</v>
      </c>
      <c r="B1043" t="s">
        <v>2317</v>
      </c>
      <c r="C1043" s="1">
        <v>45430</v>
      </c>
      <c r="D1043" t="s">
        <v>2692</v>
      </c>
      <c r="E1043" t="s">
        <v>4193</v>
      </c>
      <c r="F1043" t="s">
        <v>4565</v>
      </c>
      <c r="G1043" t="s">
        <v>4579</v>
      </c>
      <c r="H1043" t="s">
        <v>4586</v>
      </c>
      <c r="I1043" t="s">
        <v>4593</v>
      </c>
      <c r="J1043">
        <v>1</v>
      </c>
      <c r="K1043">
        <v>110.74</v>
      </c>
      <c r="L1043">
        <v>0.15</v>
      </c>
      <c r="M1043">
        <v>0.88</v>
      </c>
      <c r="N1043" t="s">
        <v>5481</v>
      </c>
      <c r="O1043" t="s">
        <v>5472</v>
      </c>
      <c r="P1043" t="s">
        <v>5477</v>
      </c>
      <c r="Q1043" s="4">
        <v>94.128999999999991</v>
      </c>
    </row>
    <row r="1044" spans="1:17" x14ac:dyDescent="0.3">
      <c r="A1044" t="s">
        <v>1026</v>
      </c>
      <c r="B1044" t="s">
        <v>2318</v>
      </c>
      <c r="C1044" s="1">
        <v>45838</v>
      </c>
      <c r="D1044" t="s">
        <v>3162</v>
      </c>
      <c r="E1044" t="s">
        <v>5481</v>
      </c>
      <c r="F1044" t="s">
        <v>4565</v>
      </c>
      <c r="G1044" t="s">
        <v>4575</v>
      </c>
      <c r="H1044" t="s">
        <v>4585</v>
      </c>
      <c r="I1044" t="s">
        <v>4591</v>
      </c>
      <c r="J1044">
        <v>10</v>
      </c>
      <c r="K1044">
        <v>7.63</v>
      </c>
      <c r="L1044">
        <v>0.1</v>
      </c>
      <c r="M1044">
        <v>0</v>
      </c>
      <c r="N1044" t="s">
        <v>5467</v>
      </c>
      <c r="O1044" t="s">
        <v>5470</v>
      </c>
      <c r="P1044" t="s">
        <v>5479</v>
      </c>
      <c r="Q1044" s="4">
        <v>68.67</v>
      </c>
    </row>
    <row r="1045" spans="1:17" x14ac:dyDescent="0.3">
      <c r="A1045" t="s">
        <v>1027</v>
      </c>
      <c r="B1045" t="s">
        <v>2319</v>
      </c>
      <c r="C1045" s="1">
        <v>45940</v>
      </c>
      <c r="D1045" t="s">
        <v>2718</v>
      </c>
      <c r="E1045" t="s">
        <v>4194</v>
      </c>
      <c r="F1045" t="s">
        <v>4564</v>
      </c>
      <c r="G1045" t="s">
        <v>4578</v>
      </c>
      <c r="H1045" t="s">
        <v>4584</v>
      </c>
      <c r="I1045" t="s">
        <v>4603</v>
      </c>
      <c r="J1045">
        <v>4</v>
      </c>
      <c r="K1045">
        <v>9.91</v>
      </c>
      <c r="L1045">
        <v>0.1</v>
      </c>
      <c r="M1045">
        <v>0</v>
      </c>
      <c r="N1045" t="s">
        <v>5465</v>
      </c>
      <c r="O1045" t="s">
        <v>5481</v>
      </c>
      <c r="P1045" t="s">
        <v>5477</v>
      </c>
      <c r="Q1045" s="4">
        <v>35.676000000000002</v>
      </c>
    </row>
    <row r="1046" spans="1:17" x14ac:dyDescent="0.3">
      <c r="A1046" t="s">
        <v>1028</v>
      </c>
      <c r="B1046" t="s">
        <v>2320</v>
      </c>
      <c r="C1046" s="1">
        <v>45785</v>
      </c>
      <c r="D1046" t="s">
        <v>3163</v>
      </c>
      <c r="E1046" t="s">
        <v>4195</v>
      </c>
      <c r="F1046" t="s">
        <v>4569</v>
      </c>
      <c r="G1046" t="s">
        <v>4572</v>
      </c>
      <c r="H1046" t="s">
        <v>4583</v>
      </c>
      <c r="I1046" t="s">
        <v>4604</v>
      </c>
      <c r="J1046">
        <v>3</v>
      </c>
      <c r="K1046">
        <v>22.45</v>
      </c>
      <c r="L1046">
        <v>0</v>
      </c>
      <c r="M1046">
        <v>0.21</v>
      </c>
      <c r="N1046" t="s">
        <v>5466</v>
      </c>
      <c r="O1046" t="s">
        <v>5472</v>
      </c>
      <c r="P1046" t="s">
        <v>5477</v>
      </c>
      <c r="Q1046" s="4">
        <v>67.349999999999994</v>
      </c>
    </row>
    <row r="1047" spans="1:17" x14ac:dyDescent="0.3">
      <c r="A1047" t="s">
        <v>1029</v>
      </c>
      <c r="B1047" t="s">
        <v>1816</v>
      </c>
      <c r="C1047" s="1">
        <v>45975</v>
      </c>
      <c r="D1047" t="s">
        <v>2680</v>
      </c>
      <c r="E1047" t="s">
        <v>4196</v>
      </c>
      <c r="F1047" t="s">
        <v>4549</v>
      </c>
      <c r="G1047" t="s">
        <v>4573</v>
      </c>
      <c r="H1047" t="s">
        <v>4583</v>
      </c>
      <c r="I1047" t="s">
        <v>4605</v>
      </c>
      <c r="J1047">
        <v>5</v>
      </c>
      <c r="K1047">
        <v>46.63</v>
      </c>
      <c r="L1047">
        <v>0.1</v>
      </c>
      <c r="M1047">
        <v>5.01</v>
      </c>
      <c r="N1047" t="s">
        <v>5466</v>
      </c>
      <c r="O1047" t="s">
        <v>5470</v>
      </c>
      <c r="P1047" t="s">
        <v>5477</v>
      </c>
      <c r="Q1047" s="4">
        <v>209.83500000000001</v>
      </c>
    </row>
    <row r="1048" spans="1:17" x14ac:dyDescent="0.3">
      <c r="A1048" t="s">
        <v>1030</v>
      </c>
      <c r="B1048" t="s">
        <v>2321</v>
      </c>
      <c r="C1048" s="1">
        <v>45331</v>
      </c>
      <c r="D1048" t="s">
        <v>3093</v>
      </c>
      <c r="E1048" t="s">
        <v>4197</v>
      </c>
      <c r="F1048" t="s">
        <v>4565</v>
      </c>
      <c r="G1048" t="s">
        <v>4575</v>
      </c>
      <c r="H1048" t="s">
        <v>4585</v>
      </c>
      <c r="I1048" t="s">
        <v>4598</v>
      </c>
      <c r="J1048">
        <v>4</v>
      </c>
      <c r="K1048">
        <v>2.99</v>
      </c>
      <c r="L1048">
        <v>0</v>
      </c>
      <c r="M1048">
        <v>6.77</v>
      </c>
      <c r="N1048" t="s">
        <v>5466</v>
      </c>
      <c r="O1048" t="s">
        <v>5474</v>
      </c>
      <c r="P1048" t="s">
        <v>5475</v>
      </c>
      <c r="Q1048" s="4">
        <v>11.96</v>
      </c>
    </row>
    <row r="1049" spans="1:17" x14ac:dyDescent="0.3">
      <c r="A1049" t="s">
        <v>1031</v>
      </c>
      <c r="B1049" t="s">
        <v>1492</v>
      </c>
      <c r="C1049" s="1">
        <v>45946</v>
      </c>
      <c r="D1049" t="s">
        <v>2755</v>
      </c>
      <c r="E1049" t="s">
        <v>4198</v>
      </c>
      <c r="F1049" t="s">
        <v>4566</v>
      </c>
      <c r="G1049" t="s">
        <v>4573</v>
      </c>
      <c r="H1049" t="s">
        <v>4586</v>
      </c>
      <c r="I1049" t="s">
        <v>4597</v>
      </c>
      <c r="J1049">
        <v>2</v>
      </c>
      <c r="K1049">
        <v>90.04</v>
      </c>
      <c r="L1049">
        <v>0.15</v>
      </c>
      <c r="M1049">
        <v>3.97</v>
      </c>
      <c r="N1049" t="s">
        <v>5481</v>
      </c>
      <c r="O1049" t="s">
        <v>5472</v>
      </c>
      <c r="P1049" t="s">
        <v>5475</v>
      </c>
      <c r="Q1049" s="4">
        <v>153.06800000000001</v>
      </c>
    </row>
    <row r="1050" spans="1:17" x14ac:dyDescent="0.3">
      <c r="A1050" t="s">
        <v>1032</v>
      </c>
      <c r="B1050" t="s">
        <v>2322</v>
      </c>
      <c r="C1050" s="1">
        <v>45645</v>
      </c>
      <c r="D1050" t="s">
        <v>3166</v>
      </c>
      <c r="E1050" t="s">
        <v>4199</v>
      </c>
      <c r="F1050" t="s">
        <v>4566</v>
      </c>
      <c r="G1050" t="s">
        <v>4577</v>
      </c>
      <c r="H1050" t="s">
        <v>4585</v>
      </c>
      <c r="I1050" t="s">
        <v>4592</v>
      </c>
      <c r="J1050">
        <v>10</v>
      </c>
      <c r="K1050">
        <v>6.75</v>
      </c>
      <c r="L1050">
        <v>0.05</v>
      </c>
      <c r="M1050">
        <v>2.95</v>
      </c>
      <c r="N1050" t="s">
        <v>5468</v>
      </c>
      <c r="O1050" t="s">
        <v>5470</v>
      </c>
      <c r="P1050" t="s">
        <v>5479</v>
      </c>
      <c r="Q1050" s="4">
        <v>64.125</v>
      </c>
    </row>
    <row r="1051" spans="1:17" x14ac:dyDescent="0.3">
      <c r="A1051" t="s">
        <v>1033</v>
      </c>
      <c r="B1051" t="s">
        <v>2234</v>
      </c>
      <c r="C1051" s="1">
        <v>45763</v>
      </c>
      <c r="D1051" t="s">
        <v>2970</v>
      </c>
      <c r="E1051" t="s">
        <v>4200</v>
      </c>
      <c r="F1051" t="s">
        <v>4549</v>
      </c>
      <c r="G1051" t="s">
        <v>4573</v>
      </c>
      <c r="H1051" t="s">
        <v>4586</v>
      </c>
      <c r="I1051" t="s">
        <v>4597</v>
      </c>
      <c r="J1051">
        <v>3</v>
      </c>
      <c r="K1051">
        <v>88.42</v>
      </c>
      <c r="L1051">
        <v>0.1</v>
      </c>
      <c r="M1051">
        <v>6.96</v>
      </c>
      <c r="N1051" t="s">
        <v>5465</v>
      </c>
      <c r="O1051" t="s">
        <v>5473</v>
      </c>
      <c r="P1051" t="s">
        <v>5479</v>
      </c>
      <c r="Q1051" s="4">
        <v>238.73400000000001</v>
      </c>
    </row>
    <row r="1052" spans="1:17" x14ac:dyDescent="0.3">
      <c r="A1052" t="s">
        <v>1034</v>
      </c>
      <c r="B1052" t="s">
        <v>2323</v>
      </c>
      <c r="C1052" s="1">
        <v>45989</v>
      </c>
      <c r="D1052" t="s">
        <v>2850</v>
      </c>
      <c r="E1052" t="s">
        <v>4201</v>
      </c>
      <c r="F1052" t="s">
        <v>4566</v>
      </c>
      <c r="G1052" t="s">
        <v>4573</v>
      </c>
      <c r="H1052" t="s">
        <v>4583</v>
      </c>
      <c r="I1052" t="s">
        <v>4610</v>
      </c>
      <c r="J1052">
        <v>10</v>
      </c>
      <c r="K1052">
        <v>83.97</v>
      </c>
      <c r="L1052">
        <v>0.1</v>
      </c>
      <c r="M1052">
        <v>9.15</v>
      </c>
      <c r="N1052" t="s">
        <v>5463</v>
      </c>
      <c r="O1052" t="s">
        <v>5474</v>
      </c>
      <c r="P1052" t="s">
        <v>5479</v>
      </c>
      <c r="Q1052" s="4">
        <v>755.73</v>
      </c>
    </row>
    <row r="1053" spans="1:17" x14ac:dyDescent="0.3">
      <c r="A1053" t="s">
        <v>1035</v>
      </c>
      <c r="B1053" t="s">
        <v>2324</v>
      </c>
      <c r="C1053" s="1">
        <v>45479</v>
      </c>
      <c r="D1053" t="s">
        <v>3058</v>
      </c>
      <c r="E1053" t="s">
        <v>4202</v>
      </c>
      <c r="F1053" t="s">
        <v>4564</v>
      </c>
      <c r="G1053" t="s">
        <v>4573</v>
      </c>
      <c r="H1053" t="s">
        <v>4586</v>
      </c>
      <c r="I1053" t="s">
        <v>4609</v>
      </c>
      <c r="J1053">
        <v>4</v>
      </c>
      <c r="K1053">
        <v>126.09</v>
      </c>
      <c r="L1053">
        <v>0.15</v>
      </c>
      <c r="M1053">
        <v>0.77</v>
      </c>
      <c r="N1053" t="s">
        <v>5465</v>
      </c>
      <c r="O1053" t="s">
        <v>5473</v>
      </c>
      <c r="P1053" t="s">
        <v>5477</v>
      </c>
      <c r="Q1053" s="4">
        <v>428.70600000000002</v>
      </c>
    </row>
    <row r="1054" spans="1:17" x14ac:dyDescent="0.3">
      <c r="A1054" t="s">
        <v>1036</v>
      </c>
      <c r="B1054" t="s">
        <v>2325</v>
      </c>
      <c r="C1054" s="1">
        <v>45876</v>
      </c>
      <c r="D1054" t="s">
        <v>3014</v>
      </c>
      <c r="E1054" t="s">
        <v>4203</v>
      </c>
      <c r="F1054" t="s">
        <v>4565</v>
      </c>
      <c r="G1054" t="s">
        <v>4575</v>
      </c>
      <c r="H1054" t="s">
        <v>4583</v>
      </c>
      <c r="I1054" t="s">
        <v>4605</v>
      </c>
      <c r="J1054">
        <v>2</v>
      </c>
      <c r="K1054">
        <v>44.15</v>
      </c>
      <c r="L1054">
        <v>0</v>
      </c>
      <c r="M1054">
        <v>1.95</v>
      </c>
      <c r="N1054" t="s">
        <v>5464</v>
      </c>
      <c r="O1054" t="s">
        <v>5474</v>
      </c>
      <c r="P1054" t="s">
        <v>5477</v>
      </c>
      <c r="Q1054" s="4">
        <v>88.3</v>
      </c>
    </row>
    <row r="1055" spans="1:17" x14ac:dyDescent="0.3">
      <c r="A1055" t="s">
        <v>1037</v>
      </c>
      <c r="B1055" t="s">
        <v>2326</v>
      </c>
      <c r="C1055" s="1">
        <v>45832</v>
      </c>
      <c r="D1055" t="s">
        <v>2789</v>
      </c>
      <c r="E1055" t="s">
        <v>4204</v>
      </c>
      <c r="F1055" t="s">
        <v>4569</v>
      </c>
      <c r="G1055" t="s">
        <v>4572</v>
      </c>
      <c r="H1055" t="s">
        <v>4583</v>
      </c>
      <c r="I1055" t="s">
        <v>4588</v>
      </c>
      <c r="J1055">
        <v>1</v>
      </c>
      <c r="K1055">
        <v>40.98</v>
      </c>
      <c r="L1055">
        <v>0.05</v>
      </c>
      <c r="M1055">
        <v>1.98</v>
      </c>
      <c r="N1055" t="s">
        <v>5468</v>
      </c>
      <c r="O1055" t="s">
        <v>5472</v>
      </c>
      <c r="P1055" t="s">
        <v>5477</v>
      </c>
      <c r="Q1055" s="4">
        <v>38.930999999999997</v>
      </c>
    </row>
    <row r="1056" spans="1:17" x14ac:dyDescent="0.3">
      <c r="A1056" t="s">
        <v>1038</v>
      </c>
      <c r="B1056" t="s">
        <v>2327</v>
      </c>
      <c r="C1056" s="1">
        <v>45874</v>
      </c>
      <c r="D1056" t="s">
        <v>2775</v>
      </c>
      <c r="E1056" t="s">
        <v>4205</v>
      </c>
      <c r="F1056" t="s">
        <v>4569</v>
      </c>
      <c r="G1056" t="s">
        <v>4581</v>
      </c>
      <c r="H1056" t="s">
        <v>4584</v>
      </c>
      <c r="I1056" t="s">
        <v>4601</v>
      </c>
      <c r="J1056">
        <v>3</v>
      </c>
      <c r="K1056">
        <v>187.24</v>
      </c>
      <c r="L1056">
        <v>0</v>
      </c>
      <c r="M1056">
        <v>9.69</v>
      </c>
      <c r="N1056" t="s">
        <v>5462</v>
      </c>
      <c r="O1056" t="s">
        <v>5474</v>
      </c>
      <c r="P1056" t="s">
        <v>5475</v>
      </c>
      <c r="Q1056" s="4">
        <v>561.72</v>
      </c>
    </row>
    <row r="1057" spans="1:17" x14ac:dyDescent="0.3">
      <c r="A1057" t="s">
        <v>1039</v>
      </c>
      <c r="B1057" t="s">
        <v>2328</v>
      </c>
      <c r="C1057" s="1">
        <v>45892</v>
      </c>
      <c r="D1057" t="s">
        <v>2809</v>
      </c>
      <c r="E1057" t="s">
        <v>4206</v>
      </c>
      <c r="F1057" t="s">
        <v>4549</v>
      </c>
      <c r="G1057" t="s">
        <v>4574</v>
      </c>
      <c r="H1057" t="s">
        <v>4586</v>
      </c>
      <c r="I1057" t="s">
        <v>4599</v>
      </c>
      <c r="J1057">
        <v>4</v>
      </c>
      <c r="K1057">
        <v>238.18</v>
      </c>
      <c r="L1057">
        <v>0</v>
      </c>
      <c r="M1057">
        <v>1.1399999999999999</v>
      </c>
      <c r="N1057" t="s">
        <v>5463</v>
      </c>
      <c r="O1057" t="s">
        <v>5469</v>
      </c>
      <c r="P1057" t="s">
        <v>5477</v>
      </c>
      <c r="Q1057" s="4">
        <v>952.72</v>
      </c>
    </row>
    <row r="1058" spans="1:17" x14ac:dyDescent="0.3">
      <c r="A1058" t="s">
        <v>1040</v>
      </c>
      <c r="B1058" t="s">
        <v>2329</v>
      </c>
      <c r="C1058" s="1">
        <v>45415</v>
      </c>
      <c r="D1058" t="s">
        <v>3145</v>
      </c>
      <c r="E1058" t="s">
        <v>4207</v>
      </c>
      <c r="F1058" t="s">
        <v>4549</v>
      </c>
      <c r="G1058" t="s">
        <v>4573</v>
      </c>
      <c r="H1058" t="s">
        <v>4587</v>
      </c>
      <c r="I1058" t="s">
        <v>4594</v>
      </c>
      <c r="J1058">
        <v>1</v>
      </c>
      <c r="K1058">
        <v>59.14</v>
      </c>
      <c r="L1058">
        <v>0</v>
      </c>
      <c r="M1058">
        <v>0</v>
      </c>
      <c r="N1058" t="s">
        <v>5464</v>
      </c>
      <c r="O1058" t="s">
        <v>5474</v>
      </c>
      <c r="P1058" t="s">
        <v>5477</v>
      </c>
      <c r="Q1058" s="4">
        <v>59.14</v>
      </c>
    </row>
    <row r="1059" spans="1:17" x14ac:dyDescent="0.3">
      <c r="A1059" t="s">
        <v>1041</v>
      </c>
      <c r="B1059" t="s">
        <v>2330</v>
      </c>
      <c r="C1059" s="1">
        <v>45502</v>
      </c>
      <c r="D1059" t="s">
        <v>2692</v>
      </c>
      <c r="E1059" t="s">
        <v>4208</v>
      </c>
      <c r="F1059" t="s">
        <v>4549</v>
      </c>
      <c r="G1059" t="s">
        <v>4573</v>
      </c>
      <c r="H1059" t="s">
        <v>4587</v>
      </c>
      <c r="I1059" t="s">
        <v>4600</v>
      </c>
      <c r="J1059">
        <v>1</v>
      </c>
      <c r="K1059">
        <v>13.62</v>
      </c>
      <c r="L1059">
        <v>0.1</v>
      </c>
      <c r="M1059">
        <v>11.47</v>
      </c>
      <c r="N1059" t="s">
        <v>5465</v>
      </c>
      <c r="O1059" t="s">
        <v>5474</v>
      </c>
      <c r="P1059" t="s">
        <v>5479</v>
      </c>
      <c r="Q1059" s="4">
        <v>12.257999999999999</v>
      </c>
    </row>
    <row r="1060" spans="1:17" x14ac:dyDescent="0.3">
      <c r="A1060" t="s">
        <v>1042</v>
      </c>
      <c r="B1060" t="s">
        <v>2331</v>
      </c>
      <c r="C1060" s="1">
        <v>45382</v>
      </c>
      <c r="D1060" t="s">
        <v>2970</v>
      </c>
      <c r="E1060" t="s">
        <v>4209</v>
      </c>
      <c r="F1060" t="s">
        <v>4549</v>
      </c>
      <c r="G1060" t="s">
        <v>4574</v>
      </c>
      <c r="H1060" t="s">
        <v>4586</v>
      </c>
      <c r="I1060" t="s">
        <v>4609</v>
      </c>
      <c r="J1060">
        <v>1</v>
      </c>
      <c r="K1060">
        <v>125.97</v>
      </c>
      <c r="L1060">
        <v>0.05</v>
      </c>
      <c r="M1060">
        <v>11.5</v>
      </c>
      <c r="N1060" t="s">
        <v>5463</v>
      </c>
      <c r="O1060" t="s">
        <v>5469</v>
      </c>
      <c r="P1060" t="s">
        <v>5477</v>
      </c>
      <c r="Q1060" s="4">
        <v>119.67149999999999</v>
      </c>
    </row>
    <row r="1061" spans="1:17" x14ac:dyDescent="0.3">
      <c r="A1061" t="s">
        <v>1043</v>
      </c>
      <c r="B1061" t="s">
        <v>2332</v>
      </c>
      <c r="C1061" s="1">
        <v>45860</v>
      </c>
      <c r="D1061" t="s">
        <v>2844</v>
      </c>
      <c r="E1061" t="s">
        <v>4210</v>
      </c>
      <c r="F1061" t="s">
        <v>4549</v>
      </c>
      <c r="G1061" t="s">
        <v>4573</v>
      </c>
      <c r="H1061" t="s">
        <v>4585</v>
      </c>
      <c r="I1061" t="s">
        <v>4602</v>
      </c>
      <c r="J1061">
        <v>1</v>
      </c>
      <c r="K1061">
        <v>4.21</v>
      </c>
      <c r="L1061">
        <v>0</v>
      </c>
      <c r="M1061">
        <v>4.71</v>
      </c>
      <c r="N1061" t="s">
        <v>5463</v>
      </c>
      <c r="O1061" t="s">
        <v>5481</v>
      </c>
      <c r="P1061" t="s">
        <v>5477</v>
      </c>
      <c r="Q1061" s="4">
        <v>4.21</v>
      </c>
    </row>
    <row r="1062" spans="1:17" x14ac:dyDescent="0.3">
      <c r="A1062" t="s">
        <v>1044</v>
      </c>
      <c r="B1062" t="s">
        <v>2333</v>
      </c>
      <c r="C1062" s="1">
        <v>45741</v>
      </c>
      <c r="D1062" t="s">
        <v>2634</v>
      </c>
      <c r="E1062" t="s">
        <v>4211</v>
      </c>
      <c r="F1062" t="s">
        <v>4569</v>
      </c>
      <c r="G1062" t="s">
        <v>4581</v>
      </c>
      <c r="H1062" t="s">
        <v>4587</v>
      </c>
      <c r="I1062" t="s">
        <v>4606</v>
      </c>
      <c r="J1062">
        <v>4</v>
      </c>
      <c r="K1062">
        <v>31.19</v>
      </c>
      <c r="L1062">
        <v>0.1</v>
      </c>
      <c r="M1062">
        <v>12.65</v>
      </c>
      <c r="N1062" t="s">
        <v>5462</v>
      </c>
      <c r="O1062" t="s">
        <v>5470</v>
      </c>
      <c r="P1062" t="s">
        <v>5477</v>
      </c>
      <c r="Q1062" s="4">
        <v>112.28400000000001</v>
      </c>
    </row>
    <row r="1063" spans="1:17" x14ac:dyDescent="0.3">
      <c r="A1063" t="s">
        <v>1045</v>
      </c>
      <c r="B1063" t="s">
        <v>2334</v>
      </c>
      <c r="C1063" s="1">
        <v>45805</v>
      </c>
      <c r="D1063" t="s">
        <v>3081</v>
      </c>
      <c r="E1063" t="s">
        <v>4212</v>
      </c>
      <c r="F1063" t="s">
        <v>4569</v>
      </c>
      <c r="G1063" t="s">
        <v>4572</v>
      </c>
      <c r="H1063" t="s">
        <v>4585</v>
      </c>
      <c r="I1063" t="s">
        <v>4590</v>
      </c>
      <c r="J1063">
        <v>10</v>
      </c>
      <c r="K1063">
        <v>14.31</v>
      </c>
      <c r="L1063">
        <v>0</v>
      </c>
      <c r="M1063">
        <v>2.59</v>
      </c>
      <c r="N1063" t="s">
        <v>5467</v>
      </c>
      <c r="O1063" t="s">
        <v>5472</v>
      </c>
      <c r="P1063" t="s">
        <v>5477</v>
      </c>
      <c r="Q1063" s="4">
        <v>143.1</v>
      </c>
    </row>
    <row r="1064" spans="1:17" x14ac:dyDescent="0.3">
      <c r="A1064" t="s">
        <v>1046</v>
      </c>
      <c r="B1064" t="s">
        <v>1544</v>
      </c>
      <c r="C1064" s="1">
        <v>45626</v>
      </c>
      <c r="D1064" t="s">
        <v>3004</v>
      </c>
      <c r="E1064" t="s">
        <v>4213</v>
      </c>
      <c r="F1064" t="s">
        <v>4569</v>
      </c>
      <c r="G1064" t="s">
        <v>4581</v>
      </c>
      <c r="H1064" t="s">
        <v>4585</v>
      </c>
      <c r="I1064" t="s">
        <v>4591</v>
      </c>
      <c r="J1064">
        <v>1</v>
      </c>
      <c r="K1064">
        <v>7.87</v>
      </c>
      <c r="L1064">
        <v>0.05</v>
      </c>
      <c r="M1064">
        <v>9.02</v>
      </c>
      <c r="N1064" t="s">
        <v>5467</v>
      </c>
      <c r="O1064" t="s">
        <v>5469</v>
      </c>
      <c r="P1064" t="s">
        <v>5479</v>
      </c>
      <c r="Q1064" s="4">
        <v>7.4764999999999997</v>
      </c>
    </row>
    <row r="1065" spans="1:17" x14ac:dyDescent="0.3">
      <c r="A1065" t="s">
        <v>1047</v>
      </c>
      <c r="B1065" t="s">
        <v>2335</v>
      </c>
      <c r="C1065" s="1">
        <v>45919</v>
      </c>
      <c r="D1065" t="s">
        <v>3170</v>
      </c>
      <c r="E1065" t="s">
        <v>4214</v>
      </c>
      <c r="F1065" t="s">
        <v>4565</v>
      </c>
      <c r="G1065" t="s">
        <v>4579</v>
      </c>
      <c r="H1065" t="s">
        <v>4587</v>
      </c>
      <c r="I1065" t="s">
        <v>4594</v>
      </c>
      <c r="J1065">
        <v>1</v>
      </c>
      <c r="K1065">
        <v>60.44</v>
      </c>
      <c r="L1065">
        <v>0.05</v>
      </c>
      <c r="M1065">
        <v>7.48</v>
      </c>
      <c r="N1065" t="s">
        <v>5463</v>
      </c>
      <c r="O1065" t="s">
        <v>5481</v>
      </c>
      <c r="P1065" t="s">
        <v>5477</v>
      </c>
      <c r="Q1065" s="4">
        <v>57.417999999999992</v>
      </c>
    </row>
    <row r="1066" spans="1:17" x14ac:dyDescent="0.3">
      <c r="A1066" t="s">
        <v>1048</v>
      </c>
      <c r="B1066" t="s">
        <v>2336</v>
      </c>
      <c r="C1066" s="1">
        <v>45787</v>
      </c>
      <c r="D1066" t="s">
        <v>3145</v>
      </c>
      <c r="E1066" t="s">
        <v>4215</v>
      </c>
      <c r="F1066" t="s">
        <v>4565</v>
      </c>
      <c r="G1066" t="s">
        <v>4579</v>
      </c>
      <c r="H1066" t="s">
        <v>4587</v>
      </c>
      <c r="I1066" t="s">
        <v>4600</v>
      </c>
      <c r="J1066">
        <v>1</v>
      </c>
      <c r="K1066">
        <v>13.2</v>
      </c>
      <c r="L1066">
        <v>0.15</v>
      </c>
      <c r="M1066">
        <v>8.57</v>
      </c>
      <c r="N1066" t="s">
        <v>5467</v>
      </c>
      <c r="O1066" t="s">
        <v>5472</v>
      </c>
      <c r="P1066" t="s">
        <v>5477</v>
      </c>
      <c r="Q1066" s="4">
        <v>11.219999999999999</v>
      </c>
    </row>
    <row r="1067" spans="1:17" x14ac:dyDescent="0.3">
      <c r="A1067" t="s">
        <v>1049</v>
      </c>
      <c r="B1067" t="s">
        <v>2337</v>
      </c>
      <c r="C1067" s="1">
        <v>45313</v>
      </c>
      <c r="D1067" t="s">
        <v>3171</v>
      </c>
      <c r="E1067" t="s">
        <v>4216</v>
      </c>
      <c r="F1067" t="s">
        <v>4569</v>
      </c>
      <c r="G1067" t="s">
        <v>4581</v>
      </c>
      <c r="H1067" t="s">
        <v>4583</v>
      </c>
      <c r="I1067" t="s">
        <v>4588</v>
      </c>
      <c r="J1067">
        <v>1</v>
      </c>
      <c r="K1067">
        <v>41.82</v>
      </c>
      <c r="L1067">
        <v>0</v>
      </c>
      <c r="M1067">
        <v>10.08</v>
      </c>
      <c r="N1067" t="s">
        <v>5468</v>
      </c>
      <c r="O1067" t="s">
        <v>5469</v>
      </c>
      <c r="P1067" t="s">
        <v>5477</v>
      </c>
      <c r="Q1067" s="4">
        <v>41.82</v>
      </c>
    </row>
    <row r="1068" spans="1:17" x14ac:dyDescent="0.3">
      <c r="A1068" t="s">
        <v>1050</v>
      </c>
      <c r="B1068" t="s">
        <v>2338</v>
      </c>
      <c r="C1068" s="1">
        <v>45387</v>
      </c>
      <c r="D1068" t="s">
        <v>2726</v>
      </c>
      <c r="E1068" t="s">
        <v>4217</v>
      </c>
      <c r="F1068" t="s">
        <v>4569</v>
      </c>
      <c r="G1068" t="s">
        <v>4572</v>
      </c>
      <c r="H1068" t="s">
        <v>4586</v>
      </c>
      <c r="I1068" t="s">
        <v>4593</v>
      </c>
      <c r="J1068">
        <v>1</v>
      </c>
      <c r="K1068">
        <v>112.62</v>
      </c>
      <c r="L1068">
        <v>0</v>
      </c>
      <c r="M1068">
        <v>1.71</v>
      </c>
      <c r="N1068" t="s">
        <v>5468</v>
      </c>
      <c r="O1068" t="s">
        <v>5473</v>
      </c>
      <c r="P1068" t="s">
        <v>5479</v>
      </c>
      <c r="Q1068" s="4">
        <v>112.62</v>
      </c>
    </row>
    <row r="1069" spans="1:17" x14ac:dyDescent="0.3">
      <c r="A1069" t="s">
        <v>1051</v>
      </c>
      <c r="B1069" t="s">
        <v>2339</v>
      </c>
      <c r="C1069" s="1">
        <v>45625</v>
      </c>
      <c r="D1069" t="s">
        <v>2984</v>
      </c>
      <c r="E1069" t="s">
        <v>4218</v>
      </c>
      <c r="F1069" t="s">
        <v>4565</v>
      </c>
      <c r="G1069" t="s">
        <v>4575</v>
      </c>
      <c r="H1069" t="s">
        <v>4587</v>
      </c>
      <c r="I1069" t="s">
        <v>4600</v>
      </c>
      <c r="J1069">
        <v>1</v>
      </c>
      <c r="K1069">
        <v>12.93</v>
      </c>
      <c r="L1069">
        <v>0.05</v>
      </c>
      <c r="M1069">
        <v>5.43</v>
      </c>
      <c r="N1069" t="s">
        <v>5463</v>
      </c>
      <c r="O1069" t="s">
        <v>5470</v>
      </c>
      <c r="P1069" t="s">
        <v>5477</v>
      </c>
      <c r="Q1069" s="4">
        <v>12.283499999999998</v>
      </c>
    </row>
    <row r="1070" spans="1:17" x14ac:dyDescent="0.3">
      <c r="A1070" t="s">
        <v>1052</v>
      </c>
      <c r="B1070" t="s">
        <v>2340</v>
      </c>
      <c r="C1070" s="1">
        <v>45923</v>
      </c>
      <c r="D1070" t="s">
        <v>2744</v>
      </c>
      <c r="E1070" t="s">
        <v>4219</v>
      </c>
      <c r="F1070" t="s">
        <v>4566</v>
      </c>
      <c r="G1070" t="s">
        <v>4582</v>
      </c>
      <c r="H1070" t="s">
        <v>4587</v>
      </c>
      <c r="I1070" t="s">
        <v>4594</v>
      </c>
      <c r="J1070">
        <v>2</v>
      </c>
      <c r="K1070">
        <v>58.81</v>
      </c>
      <c r="L1070">
        <v>0</v>
      </c>
      <c r="M1070">
        <v>3.46</v>
      </c>
      <c r="N1070" t="s">
        <v>5463</v>
      </c>
      <c r="O1070" t="s">
        <v>5474</v>
      </c>
      <c r="P1070" t="s">
        <v>5477</v>
      </c>
      <c r="Q1070" s="4">
        <v>117.62</v>
      </c>
    </row>
    <row r="1071" spans="1:17" x14ac:dyDescent="0.3">
      <c r="A1071" t="s">
        <v>1053</v>
      </c>
      <c r="B1071" t="s">
        <v>1704</v>
      </c>
      <c r="C1071" s="1">
        <v>45622</v>
      </c>
      <c r="D1071" t="s">
        <v>3173</v>
      </c>
      <c r="E1071" t="s">
        <v>4220</v>
      </c>
      <c r="F1071" t="s">
        <v>4564</v>
      </c>
      <c r="G1071" t="s">
        <v>4578</v>
      </c>
      <c r="H1071" t="s">
        <v>4586</v>
      </c>
      <c r="I1071" t="s">
        <v>4599</v>
      </c>
      <c r="J1071">
        <v>1</v>
      </c>
      <c r="K1071">
        <v>251.58</v>
      </c>
      <c r="L1071">
        <v>0.15</v>
      </c>
      <c r="M1071">
        <v>12.65</v>
      </c>
      <c r="N1071" t="s">
        <v>5462</v>
      </c>
      <c r="O1071" t="s">
        <v>5481</v>
      </c>
      <c r="P1071" t="s">
        <v>5477</v>
      </c>
      <c r="Q1071" s="4">
        <v>213.84300000000002</v>
      </c>
    </row>
    <row r="1072" spans="1:17" x14ac:dyDescent="0.3">
      <c r="A1072" t="s">
        <v>1054</v>
      </c>
      <c r="B1072" t="s">
        <v>2341</v>
      </c>
      <c r="C1072" s="1">
        <v>45782</v>
      </c>
      <c r="D1072" t="s">
        <v>2705</v>
      </c>
      <c r="E1072" t="s">
        <v>4221</v>
      </c>
      <c r="F1072" t="s">
        <v>4549</v>
      </c>
      <c r="G1072" t="s">
        <v>4574</v>
      </c>
      <c r="H1072" t="s">
        <v>4585</v>
      </c>
      <c r="I1072" t="s">
        <v>4602</v>
      </c>
      <c r="J1072">
        <v>1</v>
      </c>
      <c r="K1072">
        <v>4.1500000000000004</v>
      </c>
      <c r="L1072">
        <v>0</v>
      </c>
      <c r="M1072">
        <v>2.06</v>
      </c>
      <c r="N1072" t="s">
        <v>5463</v>
      </c>
      <c r="O1072" t="s">
        <v>5471</v>
      </c>
      <c r="P1072" t="s">
        <v>5477</v>
      </c>
      <c r="Q1072" s="4">
        <v>4.1500000000000004</v>
      </c>
    </row>
    <row r="1073" spans="1:17" x14ac:dyDescent="0.3">
      <c r="A1073" t="s">
        <v>1055</v>
      </c>
      <c r="B1073" t="s">
        <v>2342</v>
      </c>
      <c r="C1073" s="1">
        <v>45984</v>
      </c>
      <c r="D1073" t="s">
        <v>3002</v>
      </c>
      <c r="E1073" t="s">
        <v>4222</v>
      </c>
      <c r="F1073" t="s">
        <v>4565</v>
      </c>
      <c r="G1073" t="s">
        <v>4575</v>
      </c>
      <c r="H1073" t="s">
        <v>4586</v>
      </c>
      <c r="I1073" t="s">
        <v>4597</v>
      </c>
      <c r="J1073">
        <v>5</v>
      </c>
      <c r="K1073">
        <v>90.82</v>
      </c>
      <c r="L1073">
        <v>0.15</v>
      </c>
      <c r="M1073">
        <v>5.92</v>
      </c>
      <c r="N1073" t="s">
        <v>5465</v>
      </c>
      <c r="O1073" t="s">
        <v>5481</v>
      </c>
      <c r="P1073" t="s">
        <v>5477</v>
      </c>
      <c r="Q1073" s="4">
        <v>385.98499999999996</v>
      </c>
    </row>
    <row r="1074" spans="1:17" x14ac:dyDescent="0.3">
      <c r="A1074" t="s">
        <v>694</v>
      </c>
      <c r="B1074" t="s">
        <v>2054</v>
      </c>
      <c r="C1074" s="1">
        <v>45865</v>
      </c>
      <c r="D1074" t="s">
        <v>2784</v>
      </c>
      <c r="E1074" t="s">
        <v>3886</v>
      </c>
      <c r="F1074" t="s">
        <v>4566</v>
      </c>
      <c r="G1074" t="s">
        <v>4577</v>
      </c>
      <c r="H1074" t="s">
        <v>4585</v>
      </c>
      <c r="I1074" t="s">
        <v>4602</v>
      </c>
      <c r="J1074">
        <v>3</v>
      </c>
      <c r="K1074">
        <v>4.2300000000000004</v>
      </c>
      <c r="L1074">
        <v>0</v>
      </c>
      <c r="M1074">
        <v>4.51</v>
      </c>
      <c r="N1074" t="s">
        <v>5468</v>
      </c>
      <c r="O1074" t="s">
        <v>5469</v>
      </c>
      <c r="P1074" t="s">
        <v>5475</v>
      </c>
      <c r="Q1074" s="4">
        <v>12.690000000000001</v>
      </c>
    </row>
    <row r="1075" spans="1:17" x14ac:dyDescent="0.3">
      <c r="A1075" t="s">
        <v>1056</v>
      </c>
      <c r="B1075" t="s">
        <v>2033</v>
      </c>
      <c r="C1075" s="1">
        <v>45481</v>
      </c>
      <c r="D1075" t="s">
        <v>3106</v>
      </c>
      <c r="E1075" t="s">
        <v>4223</v>
      </c>
      <c r="F1075" t="s">
        <v>4564</v>
      </c>
      <c r="G1075" t="s">
        <v>4573</v>
      </c>
      <c r="H1075" t="s">
        <v>4587</v>
      </c>
      <c r="I1075" t="s">
        <v>4600</v>
      </c>
      <c r="J1075">
        <v>1</v>
      </c>
      <c r="K1075">
        <v>13.52</v>
      </c>
      <c r="L1075">
        <v>0.1</v>
      </c>
      <c r="M1075">
        <v>0</v>
      </c>
      <c r="N1075" t="s">
        <v>5464</v>
      </c>
      <c r="O1075" t="s">
        <v>5481</v>
      </c>
      <c r="P1075" t="s">
        <v>5479</v>
      </c>
      <c r="Q1075" s="4">
        <v>12.167999999999999</v>
      </c>
    </row>
    <row r="1076" spans="1:17" x14ac:dyDescent="0.3">
      <c r="A1076" t="s">
        <v>1057</v>
      </c>
      <c r="B1076" t="s">
        <v>2343</v>
      </c>
      <c r="C1076" s="1">
        <v>45583</v>
      </c>
      <c r="D1076" t="s">
        <v>5497</v>
      </c>
      <c r="E1076" t="s">
        <v>4224</v>
      </c>
      <c r="F1076" t="s">
        <v>4565</v>
      </c>
      <c r="G1076" t="s">
        <v>4575</v>
      </c>
      <c r="H1076" t="s">
        <v>4587</v>
      </c>
      <c r="I1076" t="s">
        <v>4606</v>
      </c>
      <c r="J1076">
        <v>4</v>
      </c>
      <c r="K1076">
        <v>31.29</v>
      </c>
      <c r="L1076">
        <v>0.05</v>
      </c>
      <c r="M1076">
        <v>7.41</v>
      </c>
      <c r="N1076" t="s">
        <v>5464</v>
      </c>
      <c r="O1076" t="s">
        <v>5481</v>
      </c>
      <c r="P1076" t="s">
        <v>5477</v>
      </c>
      <c r="Q1076" s="4">
        <v>118.90199999999999</v>
      </c>
    </row>
    <row r="1077" spans="1:17" x14ac:dyDescent="0.3">
      <c r="A1077" t="s">
        <v>1058</v>
      </c>
      <c r="B1077" t="s">
        <v>1907</v>
      </c>
      <c r="C1077" s="1">
        <v>45623</v>
      </c>
      <c r="D1077" t="s">
        <v>2952</v>
      </c>
      <c r="E1077" t="s">
        <v>4225</v>
      </c>
      <c r="F1077" t="s">
        <v>4565</v>
      </c>
      <c r="G1077" t="s">
        <v>4579</v>
      </c>
      <c r="H1077" t="s">
        <v>4583</v>
      </c>
      <c r="I1077" t="s">
        <v>4588</v>
      </c>
      <c r="J1077">
        <v>5</v>
      </c>
      <c r="K1077">
        <v>40.549999999999997</v>
      </c>
      <c r="L1077">
        <v>0.1</v>
      </c>
      <c r="M1077">
        <v>5.0199999999999996</v>
      </c>
      <c r="N1077" t="s">
        <v>5466</v>
      </c>
      <c r="O1077" t="s">
        <v>5471</v>
      </c>
      <c r="P1077" t="s">
        <v>5477</v>
      </c>
      <c r="Q1077" s="4">
        <v>182.47499999999999</v>
      </c>
    </row>
    <row r="1078" spans="1:17" x14ac:dyDescent="0.3">
      <c r="A1078" t="s">
        <v>1059</v>
      </c>
      <c r="B1078" t="s">
        <v>2344</v>
      </c>
      <c r="C1078" s="1">
        <v>45835</v>
      </c>
      <c r="D1078" t="s">
        <v>2918</v>
      </c>
      <c r="E1078" t="s">
        <v>4226</v>
      </c>
      <c r="F1078" t="s">
        <v>4565</v>
      </c>
      <c r="G1078" t="s">
        <v>4575</v>
      </c>
      <c r="H1078" t="s">
        <v>4587</v>
      </c>
      <c r="I1078" t="s">
        <v>4606</v>
      </c>
      <c r="J1078">
        <v>1</v>
      </c>
      <c r="K1078">
        <v>30.37</v>
      </c>
      <c r="L1078">
        <v>0</v>
      </c>
      <c r="M1078">
        <v>0</v>
      </c>
      <c r="N1078" t="s">
        <v>5465</v>
      </c>
      <c r="O1078" t="s">
        <v>5471</v>
      </c>
      <c r="P1078" t="s">
        <v>5477</v>
      </c>
      <c r="Q1078" s="4">
        <v>30.37</v>
      </c>
    </row>
    <row r="1079" spans="1:17" x14ac:dyDescent="0.3">
      <c r="A1079" t="s">
        <v>1060</v>
      </c>
      <c r="B1079" t="s">
        <v>2345</v>
      </c>
      <c r="C1079" s="1">
        <v>45316</v>
      </c>
      <c r="D1079" t="s">
        <v>2990</v>
      </c>
      <c r="E1079" t="s">
        <v>4227</v>
      </c>
      <c r="F1079" t="s">
        <v>4564</v>
      </c>
      <c r="G1079" t="s">
        <v>4573</v>
      </c>
      <c r="H1079" t="s">
        <v>4587</v>
      </c>
      <c r="I1079" t="s">
        <v>4606</v>
      </c>
      <c r="J1079">
        <v>2</v>
      </c>
      <c r="K1079">
        <v>31.24</v>
      </c>
      <c r="L1079">
        <v>0.05</v>
      </c>
      <c r="M1079">
        <v>3.11</v>
      </c>
      <c r="N1079" t="s">
        <v>5466</v>
      </c>
      <c r="O1079" t="s">
        <v>5469</v>
      </c>
      <c r="P1079" t="s">
        <v>5479</v>
      </c>
      <c r="Q1079" s="4">
        <v>59.355999999999995</v>
      </c>
    </row>
    <row r="1080" spans="1:17" x14ac:dyDescent="0.3">
      <c r="A1080" t="s">
        <v>1061</v>
      </c>
      <c r="B1080" t="s">
        <v>2346</v>
      </c>
      <c r="C1080" s="1">
        <v>45532</v>
      </c>
      <c r="D1080" t="s">
        <v>2875</v>
      </c>
      <c r="E1080" t="s">
        <v>4228</v>
      </c>
      <c r="F1080" t="s">
        <v>4565</v>
      </c>
      <c r="G1080" t="s">
        <v>4576</v>
      </c>
      <c r="H1080" t="s">
        <v>4585</v>
      </c>
      <c r="I1080" t="s">
        <v>4592</v>
      </c>
      <c r="J1080">
        <v>5</v>
      </c>
      <c r="K1080">
        <v>6.37</v>
      </c>
      <c r="L1080">
        <v>0.05</v>
      </c>
      <c r="M1080">
        <v>8.3699999999999992</v>
      </c>
      <c r="N1080" t="s">
        <v>5465</v>
      </c>
      <c r="O1080" t="s">
        <v>5469</v>
      </c>
      <c r="P1080" t="s">
        <v>5475</v>
      </c>
      <c r="Q1080" s="4">
        <v>30.2575</v>
      </c>
    </row>
    <row r="1081" spans="1:17" x14ac:dyDescent="0.3">
      <c r="A1081" t="s">
        <v>1062</v>
      </c>
      <c r="B1081" t="s">
        <v>2347</v>
      </c>
      <c r="C1081" s="1">
        <v>45825</v>
      </c>
      <c r="D1081" t="s">
        <v>2766</v>
      </c>
      <c r="E1081" t="s">
        <v>4229</v>
      </c>
      <c r="F1081" t="s">
        <v>4569</v>
      </c>
      <c r="G1081" t="s">
        <v>4572</v>
      </c>
      <c r="H1081" t="s">
        <v>4586</v>
      </c>
      <c r="I1081" t="s">
        <v>4593</v>
      </c>
      <c r="J1081">
        <v>10</v>
      </c>
      <c r="K1081">
        <v>114.29</v>
      </c>
      <c r="L1081">
        <v>0.1</v>
      </c>
      <c r="M1081">
        <v>10.3</v>
      </c>
      <c r="N1081" t="s">
        <v>5468</v>
      </c>
      <c r="O1081" t="s">
        <v>5474</v>
      </c>
      <c r="P1081" t="s">
        <v>5477</v>
      </c>
      <c r="Q1081" s="4">
        <v>1028.6100000000001</v>
      </c>
    </row>
    <row r="1082" spans="1:17" x14ac:dyDescent="0.3">
      <c r="A1082" t="s">
        <v>1063</v>
      </c>
      <c r="B1082" t="s">
        <v>1735</v>
      </c>
      <c r="C1082" s="1">
        <v>45673</v>
      </c>
      <c r="D1082" t="s">
        <v>3008</v>
      </c>
      <c r="E1082" t="s">
        <v>4230</v>
      </c>
      <c r="F1082" t="s">
        <v>4569</v>
      </c>
      <c r="G1082" t="s">
        <v>4572</v>
      </c>
      <c r="H1082" t="s">
        <v>4586</v>
      </c>
      <c r="I1082" t="s">
        <v>4599</v>
      </c>
      <c r="J1082">
        <v>2</v>
      </c>
      <c r="K1082">
        <v>250.21</v>
      </c>
      <c r="L1082">
        <v>0.05</v>
      </c>
      <c r="M1082">
        <v>6.76</v>
      </c>
      <c r="N1082" t="s">
        <v>5464</v>
      </c>
      <c r="O1082" t="s">
        <v>5470</v>
      </c>
      <c r="P1082" t="s">
        <v>5477</v>
      </c>
      <c r="Q1082" s="4">
        <v>475.399</v>
      </c>
    </row>
    <row r="1083" spans="1:17" x14ac:dyDescent="0.3">
      <c r="A1083" t="s">
        <v>1064</v>
      </c>
      <c r="B1083" t="s">
        <v>2348</v>
      </c>
      <c r="C1083" s="1">
        <v>45744</v>
      </c>
      <c r="D1083" t="s">
        <v>3103</v>
      </c>
      <c r="E1083" t="s">
        <v>4231</v>
      </c>
      <c r="F1083" t="s">
        <v>4566</v>
      </c>
      <c r="G1083" t="s">
        <v>4582</v>
      </c>
      <c r="H1083" t="s">
        <v>4584</v>
      </c>
      <c r="I1083" t="s">
        <v>4607</v>
      </c>
      <c r="J1083">
        <v>4</v>
      </c>
      <c r="K1083">
        <v>24.73</v>
      </c>
      <c r="L1083">
        <v>0.15</v>
      </c>
      <c r="M1083">
        <v>7.66</v>
      </c>
      <c r="N1083" t="s">
        <v>5462</v>
      </c>
      <c r="O1083" t="s">
        <v>5481</v>
      </c>
      <c r="P1083" t="s">
        <v>5479</v>
      </c>
      <c r="Q1083" s="4">
        <v>84.081999999999994</v>
      </c>
    </row>
    <row r="1084" spans="1:17" x14ac:dyDescent="0.3">
      <c r="A1084" t="s">
        <v>1065</v>
      </c>
      <c r="B1084" t="s">
        <v>2349</v>
      </c>
      <c r="C1084" s="1">
        <v>45826</v>
      </c>
      <c r="D1084" t="s">
        <v>2885</v>
      </c>
      <c r="E1084" t="s">
        <v>4232</v>
      </c>
      <c r="F1084" t="s">
        <v>4565</v>
      </c>
      <c r="G1084" t="s">
        <v>4579</v>
      </c>
      <c r="H1084" t="s">
        <v>4584</v>
      </c>
      <c r="I1084" t="s">
        <v>4589</v>
      </c>
      <c r="J1084">
        <v>1</v>
      </c>
      <c r="K1084">
        <v>35.32</v>
      </c>
      <c r="L1084">
        <v>0</v>
      </c>
      <c r="M1084">
        <v>2.8</v>
      </c>
      <c r="N1084" t="s">
        <v>5467</v>
      </c>
      <c r="O1084" t="s">
        <v>5472</v>
      </c>
      <c r="P1084" t="s">
        <v>5477</v>
      </c>
      <c r="Q1084" s="4">
        <v>35.32</v>
      </c>
    </row>
    <row r="1085" spans="1:17" x14ac:dyDescent="0.3">
      <c r="A1085" t="s">
        <v>1066</v>
      </c>
      <c r="B1085" t="s">
        <v>2350</v>
      </c>
      <c r="C1085" s="1">
        <v>45992</v>
      </c>
      <c r="D1085" t="s">
        <v>2750</v>
      </c>
      <c r="E1085" t="s">
        <v>4233</v>
      </c>
      <c r="F1085" t="s">
        <v>4566</v>
      </c>
      <c r="G1085" t="s">
        <v>4577</v>
      </c>
      <c r="H1085" t="s">
        <v>4583</v>
      </c>
      <c r="I1085" t="s">
        <v>4588</v>
      </c>
      <c r="J1085">
        <v>3</v>
      </c>
      <c r="K1085">
        <v>39.67</v>
      </c>
      <c r="L1085">
        <v>0.1</v>
      </c>
      <c r="M1085">
        <v>0</v>
      </c>
      <c r="N1085" t="s">
        <v>5466</v>
      </c>
      <c r="O1085" t="s">
        <v>5472</v>
      </c>
      <c r="P1085" t="s">
        <v>5475</v>
      </c>
      <c r="Q1085" s="4">
        <v>107.10900000000001</v>
      </c>
    </row>
    <row r="1086" spans="1:17" x14ac:dyDescent="0.3">
      <c r="A1086" t="s">
        <v>1067</v>
      </c>
      <c r="B1086" t="s">
        <v>2351</v>
      </c>
      <c r="C1086" s="1">
        <v>45513</v>
      </c>
      <c r="D1086" t="s">
        <v>3145</v>
      </c>
      <c r="E1086" t="s">
        <v>5481</v>
      </c>
      <c r="F1086" t="s">
        <v>4564</v>
      </c>
      <c r="G1086" t="s">
        <v>4573</v>
      </c>
      <c r="H1086" t="s">
        <v>4584</v>
      </c>
      <c r="I1086" t="s">
        <v>4595</v>
      </c>
      <c r="J1086">
        <v>3</v>
      </c>
      <c r="K1086">
        <v>42.6</v>
      </c>
      <c r="L1086">
        <v>0</v>
      </c>
      <c r="M1086">
        <v>0.77</v>
      </c>
      <c r="N1086" t="s">
        <v>5463</v>
      </c>
      <c r="O1086" t="s">
        <v>5471</v>
      </c>
      <c r="P1086" t="s">
        <v>5476</v>
      </c>
      <c r="Q1086" s="4">
        <v>127.80000000000001</v>
      </c>
    </row>
    <row r="1087" spans="1:17" x14ac:dyDescent="0.3">
      <c r="A1087" t="s">
        <v>1068</v>
      </c>
      <c r="B1087" t="s">
        <v>1871</v>
      </c>
      <c r="C1087" s="1">
        <v>45301</v>
      </c>
      <c r="D1087" t="s">
        <v>2647</v>
      </c>
      <c r="E1087" t="s">
        <v>4234</v>
      </c>
      <c r="F1087" t="s">
        <v>4569</v>
      </c>
      <c r="G1087" t="s">
        <v>4581</v>
      </c>
      <c r="H1087" t="s">
        <v>4584</v>
      </c>
      <c r="I1087" t="s">
        <v>4589</v>
      </c>
      <c r="J1087">
        <v>2</v>
      </c>
      <c r="K1087">
        <v>34</v>
      </c>
      <c r="L1087">
        <v>0.1</v>
      </c>
      <c r="M1087">
        <v>7.13</v>
      </c>
      <c r="N1087" t="s">
        <v>5464</v>
      </c>
      <c r="O1087" t="s">
        <v>5472</v>
      </c>
      <c r="P1087" t="s">
        <v>5477</v>
      </c>
      <c r="Q1087" s="4">
        <v>61.2</v>
      </c>
    </row>
    <row r="1088" spans="1:17" x14ac:dyDescent="0.3">
      <c r="A1088" t="s">
        <v>1069</v>
      </c>
      <c r="B1088" t="s">
        <v>2352</v>
      </c>
      <c r="C1088" s="1">
        <v>45455</v>
      </c>
      <c r="D1088" t="s">
        <v>2974</v>
      </c>
      <c r="E1088" t="s">
        <v>4235</v>
      </c>
      <c r="F1088" t="s">
        <v>4564</v>
      </c>
      <c r="G1088" t="s">
        <v>4578</v>
      </c>
      <c r="H1088" t="s">
        <v>4587</v>
      </c>
      <c r="I1088" t="s">
        <v>4594</v>
      </c>
      <c r="J1088">
        <v>1</v>
      </c>
      <c r="K1088">
        <v>61.26</v>
      </c>
      <c r="L1088">
        <v>0.15</v>
      </c>
      <c r="M1088">
        <v>9.7200000000000006</v>
      </c>
      <c r="N1088" t="s">
        <v>5481</v>
      </c>
      <c r="O1088" t="s">
        <v>5470</v>
      </c>
      <c r="P1088" t="s">
        <v>5477</v>
      </c>
      <c r="Q1088" s="4">
        <v>52.070999999999998</v>
      </c>
    </row>
    <row r="1089" spans="1:17" x14ac:dyDescent="0.3">
      <c r="A1089" t="s">
        <v>1070</v>
      </c>
      <c r="B1089" t="s">
        <v>2353</v>
      </c>
      <c r="C1089" s="1">
        <v>45908</v>
      </c>
      <c r="D1089" t="s">
        <v>2673</v>
      </c>
      <c r="E1089" t="s">
        <v>4236</v>
      </c>
      <c r="F1089" t="s">
        <v>4564</v>
      </c>
      <c r="G1089" t="s">
        <v>4578</v>
      </c>
      <c r="H1089" t="s">
        <v>4585</v>
      </c>
      <c r="I1089" t="s">
        <v>4602</v>
      </c>
      <c r="J1089">
        <v>10</v>
      </c>
      <c r="K1089">
        <v>4.0999999999999996</v>
      </c>
      <c r="L1089">
        <v>0</v>
      </c>
      <c r="N1089" t="s">
        <v>5468</v>
      </c>
      <c r="O1089" t="s">
        <v>5474</v>
      </c>
      <c r="P1089" t="s">
        <v>5477</v>
      </c>
      <c r="Q1089" s="4">
        <v>41</v>
      </c>
    </row>
    <row r="1090" spans="1:17" x14ac:dyDescent="0.3">
      <c r="A1090" t="s">
        <v>1071</v>
      </c>
      <c r="B1090" t="s">
        <v>2354</v>
      </c>
      <c r="C1090" s="1">
        <v>45533</v>
      </c>
      <c r="D1090" t="s">
        <v>2632</v>
      </c>
      <c r="E1090" t="s">
        <v>4237</v>
      </c>
      <c r="F1090" t="s">
        <v>4566</v>
      </c>
      <c r="G1090" t="s">
        <v>4577</v>
      </c>
      <c r="H1090" t="s">
        <v>4584</v>
      </c>
      <c r="I1090" t="s">
        <v>4608</v>
      </c>
      <c r="J1090">
        <v>2</v>
      </c>
      <c r="K1090">
        <v>19.690000000000001</v>
      </c>
      <c r="L1090">
        <v>0</v>
      </c>
      <c r="M1090">
        <v>7.01</v>
      </c>
      <c r="N1090" t="s">
        <v>5464</v>
      </c>
      <c r="O1090" t="s">
        <v>5471</v>
      </c>
      <c r="P1090" t="s">
        <v>5477</v>
      </c>
      <c r="Q1090" s="4">
        <v>39.380000000000003</v>
      </c>
    </row>
    <row r="1091" spans="1:17" x14ac:dyDescent="0.3">
      <c r="A1091" t="s">
        <v>1072</v>
      </c>
      <c r="B1091" t="s">
        <v>2355</v>
      </c>
      <c r="C1091" s="1">
        <v>45512</v>
      </c>
      <c r="D1091" t="s">
        <v>2687</v>
      </c>
      <c r="E1091" t="s">
        <v>4238</v>
      </c>
      <c r="F1091" t="s">
        <v>4565</v>
      </c>
      <c r="G1091" t="s">
        <v>4575</v>
      </c>
      <c r="H1091" t="s">
        <v>4585</v>
      </c>
      <c r="I1091" t="s">
        <v>4591</v>
      </c>
      <c r="J1091">
        <v>5</v>
      </c>
      <c r="K1091">
        <v>8.19</v>
      </c>
      <c r="L1091">
        <v>0.1</v>
      </c>
      <c r="M1091">
        <v>0</v>
      </c>
      <c r="N1091" t="s">
        <v>5462</v>
      </c>
      <c r="O1091" t="s">
        <v>5473</v>
      </c>
      <c r="P1091" t="s">
        <v>5477</v>
      </c>
      <c r="Q1091" s="4">
        <v>36.854999999999997</v>
      </c>
    </row>
    <row r="1092" spans="1:17" x14ac:dyDescent="0.3">
      <c r="A1092" t="s">
        <v>1073</v>
      </c>
      <c r="B1092" t="s">
        <v>2356</v>
      </c>
      <c r="C1092" s="1">
        <v>45817</v>
      </c>
      <c r="D1092" t="s">
        <v>3043</v>
      </c>
      <c r="E1092" t="s">
        <v>4239</v>
      </c>
      <c r="F1092" t="s">
        <v>4569</v>
      </c>
      <c r="G1092" t="s">
        <v>4580</v>
      </c>
      <c r="H1092" t="s">
        <v>4586</v>
      </c>
      <c r="I1092" t="s">
        <v>4609</v>
      </c>
      <c r="J1092">
        <v>1</v>
      </c>
      <c r="K1092">
        <v>126.23</v>
      </c>
      <c r="L1092">
        <v>0</v>
      </c>
      <c r="M1092">
        <v>11.51</v>
      </c>
      <c r="N1092" t="s">
        <v>5467</v>
      </c>
      <c r="O1092" t="s">
        <v>5473</v>
      </c>
      <c r="P1092" t="s">
        <v>5477</v>
      </c>
      <c r="Q1092" s="4">
        <v>126.23</v>
      </c>
    </row>
    <row r="1093" spans="1:17" x14ac:dyDescent="0.3">
      <c r="A1093" t="s">
        <v>1074</v>
      </c>
      <c r="B1093" t="s">
        <v>2357</v>
      </c>
      <c r="C1093" s="1">
        <v>45760</v>
      </c>
      <c r="D1093" t="s">
        <v>3128</v>
      </c>
      <c r="E1093" t="s">
        <v>4240</v>
      </c>
      <c r="F1093" t="s">
        <v>4569</v>
      </c>
      <c r="G1093" t="s">
        <v>4580</v>
      </c>
      <c r="H1093" t="s">
        <v>4584</v>
      </c>
      <c r="I1093" t="s">
        <v>4603</v>
      </c>
      <c r="J1093">
        <v>2</v>
      </c>
      <c r="K1093">
        <v>9.44</v>
      </c>
      <c r="L1093">
        <v>0.05</v>
      </c>
      <c r="M1093">
        <v>14.23</v>
      </c>
      <c r="N1093" t="s">
        <v>5465</v>
      </c>
      <c r="O1093" t="s">
        <v>5481</v>
      </c>
      <c r="P1093" t="s">
        <v>5476</v>
      </c>
      <c r="Q1093" s="4">
        <v>17.936</v>
      </c>
    </row>
    <row r="1094" spans="1:17" x14ac:dyDescent="0.3">
      <c r="A1094" t="s">
        <v>1075</v>
      </c>
      <c r="B1094" t="s">
        <v>2358</v>
      </c>
      <c r="C1094" s="1">
        <v>46018</v>
      </c>
      <c r="D1094" t="s">
        <v>2853</v>
      </c>
      <c r="E1094" t="s">
        <v>4241</v>
      </c>
      <c r="F1094" t="s">
        <v>4566</v>
      </c>
      <c r="G1094" t="s">
        <v>4582</v>
      </c>
      <c r="H1094" t="s">
        <v>4587</v>
      </c>
      <c r="I1094" t="s">
        <v>4600</v>
      </c>
      <c r="J1094">
        <v>5</v>
      </c>
      <c r="K1094">
        <v>12.39</v>
      </c>
      <c r="L1094">
        <v>0.1</v>
      </c>
      <c r="M1094">
        <v>12.03</v>
      </c>
      <c r="N1094" t="s">
        <v>5467</v>
      </c>
      <c r="O1094" t="s">
        <v>5471</v>
      </c>
      <c r="P1094" t="s">
        <v>5479</v>
      </c>
      <c r="Q1094" s="4">
        <v>55.755000000000003</v>
      </c>
    </row>
    <row r="1095" spans="1:17" x14ac:dyDescent="0.3">
      <c r="A1095" t="s">
        <v>1076</v>
      </c>
      <c r="B1095" t="s">
        <v>2066</v>
      </c>
      <c r="C1095" s="1">
        <v>45501</v>
      </c>
      <c r="D1095" t="s">
        <v>2812</v>
      </c>
      <c r="E1095" t="s">
        <v>4242</v>
      </c>
      <c r="F1095" t="s">
        <v>4569</v>
      </c>
      <c r="G1095" t="s">
        <v>4581</v>
      </c>
      <c r="H1095" t="s">
        <v>4585</v>
      </c>
      <c r="I1095" t="s">
        <v>4602</v>
      </c>
      <c r="J1095">
        <v>5</v>
      </c>
      <c r="K1095">
        <v>4.18</v>
      </c>
      <c r="L1095">
        <v>0</v>
      </c>
      <c r="M1095">
        <v>9.73</v>
      </c>
      <c r="N1095" t="s">
        <v>5467</v>
      </c>
      <c r="O1095" t="s">
        <v>5472</v>
      </c>
      <c r="P1095" t="s">
        <v>5477</v>
      </c>
      <c r="Q1095" s="4">
        <v>20.9</v>
      </c>
    </row>
    <row r="1096" spans="1:17" x14ac:dyDescent="0.3">
      <c r="A1096" t="s">
        <v>1077</v>
      </c>
      <c r="B1096" t="s">
        <v>2359</v>
      </c>
      <c r="C1096" s="1">
        <v>45305</v>
      </c>
      <c r="D1096" t="s">
        <v>2802</v>
      </c>
      <c r="E1096" t="s">
        <v>4243</v>
      </c>
      <c r="F1096" t="s">
        <v>4565</v>
      </c>
      <c r="G1096" t="s">
        <v>4576</v>
      </c>
      <c r="H1096" t="s">
        <v>4584</v>
      </c>
      <c r="I1096" t="s">
        <v>4595</v>
      </c>
      <c r="J1096">
        <v>1</v>
      </c>
      <c r="K1096">
        <v>40.68</v>
      </c>
      <c r="L1096">
        <v>0</v>
      </c>
      <c r="M1096">
        <v>2.0499999999999998</v>
      </c>
      <c r="N1096" t="s">
        <v>5465</v>
      </c>
      <c r="O1096" t="s">
        <v>5481</v>
      </c>
      <c r="P1096" t="s">
        <v>5477</v>
      </c>
      <c r="Q1096" s="4">
        <v>40.68</v>
      </c>
    </row>
    <row r="1097" spans="1:17" x14ac:dyDescent="0.3">
      <c r="A1097" t="s">
        <v>1078</v>
      </c>
      <c r="B1097" t="s">
        <v>2360</v>
      </c>
      <c r="C1097" s="1">
        <v>45450</v>
      </c>
      <c r="D1097" t="s">
        <v>2740</v>
      </c>
      <c r="E1097" t="s">
        <v>4244</v>
      </c>
      <c r="F1097" t="s">
        <v>4564</v>
      </c>
      <c r="G1097" t="s">
        <v>4573</v>
      </c>
      <c r="H1097" t="s">
        <v>4583</v>
      </c>
      <c r="I1097" t="s">
        <v>4605</v>
      </c>
      <c r="J1097">
        <v>2</v>
      </c>
      <c r="K1097">
        <v>46.38</v>
      </c>
      <c r="L1097">
        <v>0</v>
      </c>
      <c r="M1097">
        <v>13.93</v>
      </c>
      <c r="N1097" t="s">
        <v>5468</v>
      </c>
      <c r="O1097" t="s">
        <v>5481</v>
      </c>
      <c r="P1097" t="s">
        <v>5477</v>
      </c>
      <c r="Q1097" s="4">
        <v>92.76</v>
      </c>
    </row>
    <row r="1098" spans="1:17" x14ac:dyDescent="0.3">
      <c r="A1098" t="s">
        <v>582</v>
      </c>
      <c r="B1098" t="s">
        <v>1953</v>
      </c>
      <c r="C1098" s="1">
        <v>45962</v>
      </c>
      <c r="D1098" t="s">
        <v>2739</v>
      </c>
      <c r="E1098" t="s">
        <v>3783</v>
      </c>
      <c r="F1098" t="s">
        <v>4564</v>
      </c>
      <c r="G1098" t="s">
        <v>4578</v>
      </c>
      <c r="H1098" t="s">
        <v>4584</v>
      </c>
      <c r="I1098" t="s">
        <v>4601</v>
      </c>
      <c r="J1098">
        <v>10</v>
      </c>
      <c r="K1098">
        <v>187.57</v>
      </c>
      <c r="L1098">
        <v>0</v>
      </c>
      <c r="M1098">
        <v>5.13</v>
      </c>
      <c r="N1098" t="s">
        <v>5464</v>
      </c>
      <c r="O1098" t="s">
        <v>5474</v>
      </c>
      <c r="P1098" t="s">
        <v>5477</v>
      </c>
      <c r="Q1098" s="4">
        <v>1875.6999999999998</v>
      </c>
    </row>
    <row r="1099" spans="1:17" x14ac:dyDescent="0.3">
      <c r="A1099" t="s">
        <v>1079</v>
      </c>
      <c r="B1099" t="s">
        <v>2361</v>
      </c>
      <c r="C1099" s="1">
        <v>45547</v>
      </c>
      <c r="D1099" t="s">
        <v>2719</v>
      </c>
      <c r="E1099" t="s">
        <v>5481</v>
      </c>
      <c r="F1099" t="s">
        <v>4569</v>
      </c>
      <c r="G1099" t="s">
        <v>4581</v>
      </c>
      <c r="H1099" t="s">
        <v>4584</v>
      </c>
      <c r="I1099" t="s">
        <v>4603</v>
      </c>
      <c r="J1099">
        <v>3</v>
      </c>
      <c r="K1099">
        <v>9.3000000000000007</v>
      </c>
      <c r="L1099">
        <v>0.05</v>
      </c>
      <c r="M1099">
        <v>14.2</v>
      </c>
      <c r="N1099" t="s">
        <v>5466</v>
      </c>
      <c r="O1099" t="s">
        <v>5471</v>
      </c>
      <c r="P1099" t="s">
        <v>5477</v>
      </c>
      <c r="Q1099" s="4">
        <v>26.505000000000003</v>
      </c>
    </row>
    <row r="1100" spans="1:17" x14ac:dyDescent="0.3">
      <c r="A1100" t="s">
        <v>1080</v>
      </c>
      <c r="B1100" t="s">
        <v>2362</v>
      </c>
      <c r="C1100" s="1">
        <v>45962</v>
      </c>
      <c r="D1100" t="s">
        <v>2949</v>
      </c>
      <c r="E1100" t="s">
        <v>4245</v>
      </c>
      <c r="F1100" t="s">
        <v>4565</v>
      </c>
      <c r="G1100" t="s">
        <v>4575</v>
      </c>
      <c r="H1100" t="s">
        <v>4585</v>
      </c>
      <c r="I1100" t="s">
        <v>4590</v>
      </c>
      <c r="J1100">
        <v>1</v>
      </c>
      <c r="K1100">
        <v>13.7</v>
      </c>
      <c r="L1100">
        <v>0.05</v>
      </c>
      <c r="M1100">
        <v>10.74</v>
      </c>
      <c r="N1100" t="s">
        <v>5465</v>
      </c>
      <c r="O1100" t="s">
        <v>5474</v>
      </c>
      <c r="P1100" t="s">
        <v>5477</v>
      </c>
      <c r="Q1100" s="4">
        <v>13.014999999999999</v>
      </c>
    </row>
    <row r="1101" spans="1:17" x14ac:dyDescent="0.3">
      <c r="A1101" t="s">
        <v>1081</v>
      </c>
      <c r="B1101" t="s">
        <v>2363</v>
      </c>
      <c r="C1101" s="1">
        <v>45672</v>
      </c>
      <c r="D1101" t="s">
        <v>2937</v>
      </c>
      <c r="E1101" t="s">
        <v>4246</v>
      </c>
      <c r="F1101" t="s">
        <v>4569</v>
      </c>
      <c r="G1101" t="s">
        <v>4581</v>
      </c>
      <c r="H1101" t="s">
        <v>4587</v>
      </c>
      <c r="I1101" t="s">
        <v>4606</v>
      </c>
      <c r="J1101">
        <v>1</v>
      </c>
      <c r="K1101">
        <v>30.2</v>
      </c>
      <c r="L1101">
        <v>0</v>
      </c>
      <c r="M1101">
        <v>3.24</v>
      </c>
      <c r="N1101" t="s">
        <v>5462</v>
      </c>
      <c r="O1101" t="s">
        <v>5474</v>
      </c>
      <c r="P1101" t="s">
        <v>5477</v>
      </c>
      <c r="Q1101" s="4">
        <v>30.2</v>
      </c>
    </row>
    <row r="1102" spans="1:17" x14ac:dyDescent="0.3">
      <c r="A1102" t="s">
        <v>1082</v>
      </c>
      <c r="B1102" t="s">
        <v>2364</v>
      </c>
      <c r="C1102" s="1">
        <v>45473</v>
      </c>
      <c r="D1102" t="s">
        <v>3178</v>
      </c>
      <c r="E1102" t="s">
        <v>4247</v>
      </c>
      <c r="F1102" t="s">
        <v>4549</v>
      </c>
      <c r="G1102" t="s">
        <v>4573</v>
      </c>
      <c r="H1102" t="s">
        <v>4583</v>
      </c>
      <c r="I1102" t="s">
        <v>4610</v>
      </c>
      <c r="J1102">
        <v>2</v>
      </c>
      <c r="K1102">
        <v>82.86</v>
      </c>
      <c r="L1102">
        <v>0.05</v>
      </c>
      <c r="M1102">
        <v>11.58</v>
      </c>
      <c r="N1102" t="s">
        <v>5464</v>
      </c>
      <c r="O1102" t="s">
        <v>5481</v>
      </c>
      <c r="P1102" t="s">
        <v>5477</v>
      </c>
      <c r="Q1102" s="4">
        <v>157.434</v>
      </c>
    </row>
    <row r="1103" spans="1:17" x14ac:dyDescent="0.3">
      <c r="A1103" t="s">
        <v>1083</v>
      </c>
      <c r="B1103" t="s">
        <v>2365</v>
      </c>
      <c r="C1103" s="1">
        <v>45556</v>
      </c>
      <c r="D1103" t="s">
        <v>2938</v>
      </c>
      <c r="E1103" t="s">
        <v>4248</v>
      </c>
      <c r="F1103" t="s">
        <v>4549</v>
      </c>
      <c r="G1103" t="s">
        <v>4573</v>
      </c>
      <c r="H1103" t="s">
        <v>4584</v>
      </c>
      <c r="I1103" t="s">
        <v>4607</v>
      </c>
      <c r="J1103">
        <v>2</v>
      </c>
      <c r="K1103">
        <v>26.17</v>
      </c>
      <c r="L1103">
        <v>0</v>
      </c>
      <c r="M1103">
        <v>14.81</v>
      </c>
      <c r="N1103" t="s">
        <v>5481</v>
      </c>
      <c r="O1103" t="s">
        <v>5470</v>
      </c>
      <c r="P1103" t="s">
        <v>5477</v>
      </c>
      <c r="Q1103" s="4">
        <v>52.34</v>
      </c>
    </row>
    <row r="1104" spans="1:17" x14ac:dyDescent="0.3">
      <c r="A1104" t="s">
        <v>1084</v>
      </c>
      <c r="B1104" t="s">
        <v>2366</v>
      </c>
      <c r="C1104" s="1">
        <v>45614</v>
      </c>
      <c r="D1104" t="s">
        <v>2746</v>
      </c>
      <c r="E1104" t="s">
        <v>4249</v>
      </c>
      <c r="F1104" t="s">
        <v>4569</v>
      </c>
      <c r="G1104" t="s">
        <v>4581</v>
      </c>
      <c r="H1104" t="s">
        <v>4587</v>
      </c>
      <c r="I1104" t="s">
        <v>4594</v>
      </c>
      <c r="J1104">
        <v>2</v>
      </c>
      <c r="K1104">
        <v>56.99</v>
      </c>
      <c r="L1104">
        <v>0</v>
      </c>
      <c r="M1104">
        <v>10.35</v>
      </c>
      <c r="N1104" t="s">
        <v>5462</v>
      </c>
      <c r="O1104" t="s">
        <v>5470</v>
      </c>
      <c r="P1104" t="s">
        <v>5477</v>
      </c>
      <c r="Q1104" s="4">
        <v>113.98</v>
      </c>
    </row>
    <row r="1105" spans="1:17" x14ac:dyDescent="0.3">
      <c r="A1105" t="s">
        <v>1085</v>
      </c>
      <c r="B1105" t="s">
        <v>2367</v>
      </c>
      <c r="C1105" s="1">
        <v>45410</v>
      </c>
      <c r="D1105" t="s">
        <v>2658</v>
      </c>
      <c r="E1105" t="s">
        <v>4250</v>
      </c>
      <c r="F1105" t="s">
        <v>4569</v>
      </c>
      <c r="G1105" t="s">
        <v>4572</v>
      </c>
      <c r="H1105" t="s">
        <v>4585</v>
      </c>
      <c r="I1105" t="s">
        <v>4602</v>
      </c>
      <c r="J1105">
        <v>1</v>
      </c>
      <c r="K1105">
        <v>4.2699999999999996</v>
      </c>
      <c r="L1105">
        <v>0</v>
      </c>
      <c r="N1105" t="s">
        <v>5464</v>
      </c>
      <c r="O1105" t="s">
        <v>5469</v>
      </c>
      <c r="P1105" t="s">
        <v>5477</v>
      </c>
      <c r="Q1105" s="4">
        <v>4.2699999999999996</v>
      </c>
    </row>
    <row r="1106" spans="1:17" x14ac:dyDescent="0.3">
      <c r="A1106" t="s">
        <v>1086</v>
      </c>
      <c r="B1106" t="s">
        <v>2368</v>
      </c>
      <c r="C1106" s="1">
        <v>45543</v>
      </c>
      <c r="D1106" t="s">
        <v>3137</v>
      </c>
      <c r="E1106" t="s">
        <v>4251</v>
      </c>
      <c r="F1106" t="s">
        <v>4566</v>
      </c>
      <c r="G1106" t="s">
        <v>4577</v>
      </c>
      <c r="H1106" t="s">
        <v>4586</v>
      </c>
      <c r="I1106" t="s">
        <v>4593</v>
      </c>
      <c r="J1106">
        <v>1</v>
      </c>
      <c r="K1106">
        <v>105.96</v>
      </c>
      <c r="L1106">
        <v>0.1</v>
      </c>
      <c r="M1106">
        <v>4.1100000000000003</v>
      </c>
      <c r="N1106" t="s">
        <v>5481</v>
      </c>
      <c r="O1106" t="s">
        <v>5474</v>
      </c>
      <c r="P1106" t="s">
        <v>5477</v>
      </c>
      <c r="Q1106" s="4">
        <v>95.36399999999999</v>
      </c>
    </row>
    <row r="1107" spans="1:17" x14ac:dyDescent="0.3">
      <c r="A1107" t="s">
        <v>1087</v>
      </c>
      <c r="B1107" t="s">
        <v>2369</v>
      </c>
      <c r="C1107" s="1">
        <v>45320</v>
      </c>
      <c r="D1107" t="s">
        <v>2685</v>
      </c>
      <c r="E1107" t="s">
        <v>5481</v>
      </c>
      <c r="F1107" t="s">
        <v>4564</v>
      </c>
      <c r="G1107" t="s">
        <v>4573</v>
      </c>
      <c r="H1107" t="s">
        <v>4586</v>
      </c>
      <c r="I1107" t="s">
        <v>4599</v>
      </c>
      <c r="J1107">
        <v>4</v>
      </c>
      <c r="K1107">
        <v>260.54000000000002</v>
      </c>
      <c r="L1107">
        <v>0.05</v>
      </c>
      <c r="M1107">
        <v>10.64</v>
      </c>
      <c r="N1107" t="s">
        <v>5466</v>
      </c>
      <c r="O1107" t="s">
        <v>5469</v>
      </c>
      <c r="P1107" t="s">
        <v>5475</v>
      </c>
      <c r="Q1107" s="4">
        <v>990.05200000000002</v>
      </c>
    </row>
    <row r="1108" spans="1:17" x14ac:dyDescent="0.3">
      <c r="A1108" t="s">
        <v>1088</v>
      </c>
      <c r="B1108" t="s">
        <v>2370</v>
      </c>
      <c r="C1108" s="1">
        <v>45304</v>
      </c>
      <c r="D1108" t="s">
        <v>2746</v>
      </c>
      <c r="E1108" t="s">
        <v>4252</v>
      </c>
      <c r="F1108" t="s">
        <v>4569</v>
      </c>
      <c r="G1108" t="s">
        <v>5481</v>
      </c>
      <c r="H1108" t="s">
        <v>4585</v>
      </c>
      <c r="I1108" t="s">
        <v>4592</v>
      </c>
      <c r="J1108">
        <v>3</v>
      </c>
      <c r="K1108">
        <v>6.43</v>
      </c>
      <c r="L1108">
        <v>0</v>
      </c>
      <c r="M1108">
        <v>10.5</v>
      </c>
      <c r="N1108" t="s">
        <v>5466</v>
      </c>
      <c r="O1108" t="s">
        <v>5470</v>
      </c>
      <c r="P1108" t="s">
        <v>5477</v>
      </c>
      <c r="Q1108" s="4">
        <v>19.29</v>
      </c>
    </row>
    <row r="1109" spans="1:17" x14ac:dyDescent="0.3">
      <c r="A1109" t="s">
        <v>1089</v>
      </c>
      <c r="B1109" t="s">
        <v>2371</v>
      </c>
      <c r="C1109" s="1">
        <v>45525</v>
      </c>
      <c r="D1109" t="s">
        <v>3013</v>
      </c>
      <c r="E1109" t="s">
        <v>4253</v>
      </c>
      <c r="F1109" t="s">
        <v>4549</v>
      </c>
      <c r="G1109" t="s">
        <v>4574</v>
      </c>
      <c r="H1109" t="s">
        <v>4586</v>
      </c>
      <c r="I1109" t="s">
        <v>4609</v>
      </c>
      <c r="J1109">
        <v>1</v>
      </c>
      <c r="K1109">
        <v>130.41</v>
      </c>
      <c r="L1109">
        <v>0</v>
      </c>
      <c r="M1109">
        <v>3.51</v>
      </c>
      <c r="N1109" t="s">
        <v>5465</v>
      </c>
      <c r="O1109" t="s">
        <v>5474</v>
      </c>
      <c r="P1109" t="s">
        <v>5477</v>
      </c>
      <c r="Q1109" s="4">
        <v>130.41</v>
      </c>
    </row>
    <row r="1110" spans="1:17" x14ac:dyDescent="0.3">
      <c r="A1110" t="s">
        <v>1090</v>
      </c>
      <c r="B1110" t="s">
        <v>2372</v>
      </c>
      <c r="C1110" s="1">
        <v>45581</v>
      </c>
      <c r="D1110" t="s">
        <v>2673</v>
      </c>
      <c r="E1110" t="s">
        <v>4254</v>
      </c>
      <c r="F1110" t="s">
        <v>4549</v>
      </c>
      <c r="G1110" t="s">
        <v>4574</v>
      </c>
      <c r="H1110" t="s">
        <v>4584</v>
      </c>
      <c r="I1110" t="s">
        <v>4607</v>
      </c>
      <c r="J1110">
        <v>3</v>
      </c>
      <c r="K1110">
        <v>23.9</v>
      </c>
      <c r="L1110">
        <v>0</v>
      </c>
      <c r="M1110">
        <v>11.02</v>
      </c>
      <c r="N1110" t="s">
        <v>5466</v>
      </c>
      <c r="O1110" t="s">
        <v>5470</v>
      </c>
      <c r="P1110" t="s">
        <v>5477</v>
      </c>
      <c r="Q1110" s="4">
        <v>71.699999999999989</v>
      </c>
    </row>
    <row r="1111" spans="1:17" x14ac:dyDescent="0.3">
      <c r="A1111" t="s">
        <v>1091</v>
      </c>
      <c r="B1111" t="s">
        <v>1477</v>
      </c>
      <c r="C1111" s="1">
        <v>45613</v>
      </c>
      <c r="D1111" t="s">
        <v>2814</v>
      </c>
      <c r="E1111" t="s">
        <v>4255</v>
      </c>
      <c r="F1111" t="s">
        <v>4569</v>
      </c>
      <c r="G1111" t="s">
        <v>4572</v>
      </c>
      <c r="H1111" t="s">
        <v>4584</v>
      </c>
      <c r="I1111" t="s">
        <v>4607</v>
      </c>
      <c r="J1111">
        <v>5</v>
      </c>
      <c r="K1111">
        <v>23.79</v>
      </c>
      <c r="L1111">
        <v>0</v>
      </c>
      <c r="M1111">
        <v>10.050000000000001</v>
      </c>
      <c r="N1111" t="s">
        <v>5462</v>
      </c>
      <c r="O1111" t="s">
        <v>5472</v>
      </c>
      <c r="P1111" t="s">
        <v>5477</v>
      </c>
      <c r="Q1111" s="4">
        <v>118.94999999999999</v>
      </c>
    </row>
    <row r="1112" spans="1:17" x14ac:dyDescent="0.3">
      <c r="A1112" t="s">
        <v>638</v>
      </c>
      <c r="B1112" t="s">
        <v>2004</v>
      </c>
      <c r="C1112" s="1">
        <v>45340</v>
      </c>
      <c r="D1112" t="s">
        <v>2763</v>
      </c>
      <c r="E1112" t="s">
        <v>3835</v>
      </c>
      <c r="F1112" t="s">
        <v>4549</v>
      </c>
      <c r="G1112" t="s">
        <v>4574</v>
      </c>
      <c r="H1112" t="s">
        <v>4584</v>
      </c>
      <c r="I1112" t="s">
        <v>4607</v>
      </c>
      <c r="J1112">
        <v>2</v>
      </c>
      <c r="K1112">
        <v>24.9</v>
      </c>
      <c r="L1112">
        <v>0.1</v>
      </c>
      <c r="M1112">
        <v>2.1</v>
      </c>
      <c r="N1112" t="s">
        <v>5463</v>
      </c>
      <c r="O1112" t="s">
        <v>5470</v>
      </c>
      <c r="P1112" t="s">
        <v>5479</v>
      </c>
      <c r="Q1112" s="4">
        <v>44.82</v>
      </c>
    </row>
    <row r="1113" spans="1:17" x14ac:dyDescent="0.3">
      <c r="A1113" t="s">
        <v>1092</v>
      </c>
      <c r="B1113" t="s">
        <v>2373</v>
      </c>
      <c r="C1113" s="1">
        <v>45993</v>
      </c>
      <c r="D1113" t="s">
        <v>2817</v>
      </c>
      <c r="E1113" t="s">
        <v>4256</v>
      </c>
      <c r="F1113" t="s">
        <v>4549</v>
      </c>
      <c r="G1113" t="s">
        <v>4574</v>
      </c>
      <c r="H1113" t="s">
        <v>4587</v>
      </c>
      <c r="I1113" t="s">
        <v>4600</v>
      </c>
      <c r="J1113">
        <v>4</v>
      </c>
      <c r="K1113">
        <v>13.46</v>
      </c>
      <c r="L1113">
        <v>0.15</v>
      </c>
      <c r="M1113">
        <v>11.04</v>
      </c>
      <c r="N1113" t="s">
        <v>5467</v>
      </c>
      <c r="O1113" t="s">
        <v>5470</v>
      </c>
      <c r="P1113" t="s">
        <v>5475</v>
      </c>
      <c r="Q1113" s="4">
        <v>45.764000000000003</v>
      </c>
    </row>
    <row r="1114" spans="1:17" x14ac:dyDescent="0.3">
      <c r="A1114" t="s">
        <v>1093</v>
      </c>
      <c r="B1114" t="s">
        <v>2374</v>
      </c>
      <c r="C1114" s="1">
        <v>45676</v>
      </c>
      <c r="D1114" t="s">
        <v>2845</v>
      </c>
      <c r="E1114" t="s">
        <v>4257</v>
      </c>
      <c r="F1114" t="s">
        <v>4566</v>
      </c>
      <c r="G1114" t="s">
        <v>4582</v>
      </c>
      <c r="H1114" t="s">
        <v>4585</v>
      </c>
      <c r="I1114" t="s">
        <v>4592</v>
      </c>
      <c r="J1114">
        <v>1</v>
      </c>
      <c r="K1114">
        <v>6.57</v>
      </c>
      <c r="L1114">
        <v>0</v>
      </c>
      <c r="M1114">
        <v>11.28</v>
      </c>
      <c r="N1114" t="s">
        <v>5463</v>
      </c>
      <c r="O1114" t="s">
        <v>5473</v>
      </c>
      <c r="P1114" t="s">
        <v>5477</v>
      </c>
      <c r="Q1114" s="4">
        <v>6.57</v>
      </c>
    </row>
    <row r="1115" spans="1:17" x14ac:dyDescent="0.3">
      <c r="A1115" t="s">
        <v>1094</v>
      </c>
      <c r="B1115" t="s">
        <v>2375</v>
      </c>
      <c r="C1115" s="1">
        <v>45854</v>
      </c>
      <c r="D1115" t="s">
        <v>2962</v>
      </c>
      <c r="E1115" t="s">
        <v>3704</v>
      </c>
      <c r="F1115" t="s">
        <v>4564</v>
      </c>
      <c r="G1115" t="s">
        <v>4578</v>
      </c>
      <c r="H1115" t="s">
        <v>5481</v>
      </c>
      <c r="I1115" t="s">
        <v>4604</v>
      </c>
      <c r="J1115">
        <v>5</v>
      </c>
      <c r="K1115">
        <v>21.57</v>
      </c>
      <c r="L1115">
        <v>0.15</v>
      </c>
      <c r="M1115">
        <v>0</v>
      </c>
      <c r="N1115" t="s">
        <v>5462</v>
      </c>
      <c r="O1115" t="s">
        <v>5470</v>
      </c>
      <c r="P1115" t="s">
        <v>5477</v>
      </c>
      <c r="Q1115" s="4">
        <v>91.672499999999999</v>
      </c>
    </row>
    <row r="1116" spans="1:17" x14ac:dyDescent="0.3">
      <c r="A1116" t="s">
        <v>1095</v>
      </c>
      <c r="B1116" t="s">
        <v>2376</v>
      </c>
      <c r="C1116" s="1">
        <v>45951</v>
      </c>
      <c r="D1116" t="s">
        <v>2767</v>
      </c>
      <c r="E1116" t="s">
        <v>5481</v>
      </c>
      <c r="F1116" t="s">
        <v>4566</v>
      </c>
      <c r="G1116" t="s">
        <v>4577</v>
      </c>
      <c r="H1116" t="s">
        <v>4586</v>
      </c>
      <c r="I1116" t="s">
        <v>4599</v>
      </c>
      <c r="J1116">
        <v>1</v>
      </c>
      <c r="K1116">
        <v>256.24</v>
      </c>
      <c r="L1116">
        <v>0.1</v>
      </c>
      <c r="M1116">
        <v>11.64</v>
      </c>
      <c r="N1116" t="s">
        <v>5464</v>
      </c>
      <c r="O1116" t="s">
        <v>5473</v>
      </c>
      <c r="P1116" t="s">
        <v>5476</v>
      </c>
      <c r="Q1116" s="4">
        <v>230.61600000000001</v>
      </c>
    </row>
    <row r="1117" spans="1:17" x14ac:dyDescent="0.3">
      <c r="A1117" t="s">
        <v>1096</v>
      </c>
      <c r="B1117" t="s">
        <v>1716</v>
      </c>
      <c r="C1117" s="1">
        <v>45742</v>
      </c>
      <c r="D1117" t="s">
        <v>2978</v>
      </c>
      <c r="E1117" t="s">
        <v>4258</v>
      </c>
      <c r="F1117" t="s">
        <v>4565</v>
      </c>
      <c r="G1117" t="s">
        <v>4575</v>
      </c>
      <c r="H1117" t="s">
        <v>4587</v>
      </c>
      <c r="I1117" t="s">
        <v>4594</v>
      </c>
      <c r="J1117">
        <v>2</v>
      </c>
      <c r="K1117">
        <v>59.6</v>
      </c>
      <c r="L1117">
        <v>0.1</v>
      </c>
      <c r="M1117">
        <v>4.5</v>
      </c>
      <c r="N1117" t="s">
        <v>5467</v>
      </c>
      <c r="O1117" t="s">
        <v>5469</v>
      </c>
      <c r="P1117" t="s">
        <v>5477</v>
      </c>
      <c r="Q1117" s="4">
        <v>107.28</v>
      </c>
    </row>
    <row r="1118" spans="1:17" x14ac:dyDescent="0.3">
      <c r="A1118" t="s">
        <v>1097</v>
      </c>
      <c r="B1118" t="s">
        <v>2377</v>
      </c>
      <c r="C1118" s="1">
        <v>45809</v>
      </c>
      <c r="D1118" t="s">
        <v>2752</v>
      </c>
      <c r="E1118" t="s">
        <v>4259</v>
      </c>
      <c r="F1118" t="s">
        <v>4569</v>
      </c>
      <c r="G1118" t="s">
        <v>4580</v>
      </c>
      <c r="H1118" t="s">
        <v>4586</v>
      </c>
      <c r="I1118" t="s">
        <v>4609</v>
      </c>
      <c r="J1118">
        <v>10</v>
      </c>
      <c r="K1118">
        <v>134.03</v>
      </c>
      <c r="L1118">
        <v>0</v>
      </c>
      <c r="M1118">
        <v>12.69</v>
      </c>
      <c r="N1118" t="s">
        <v>5466</v>
      </c>
      <c r="O1118" t="s">
        <v>5471</v>
      </c>
      <c r="P1118" t="s">
        <v>5476</v>
      </c>
      <c r="Q1118" s="4">
        <v>1340.3</v>
      </c>
    </row>
    <row r="1119" spans="1:17" x14ac:dyDescent="0.3">
      <c r="A1119" t="s">
        <v>1098</v>
      </c>
      <c r="B1119" t="s">
        <v>2378</v>
      </c>
      <c r="C1119" s="1">
        <v>45965</v>
      </c>
      <c r="D1119" t="s">
        <v>2914</v>
      </c>
      <c r="E1119" t="s">
        <v>5481</v>
      </c>
      <c r="F1119" t="s">
        <v>4549</v>
      </c>
      <c r="G1119" t="s">
        <v>4573</v>
      </c>
      <c r="H1119" t="s">
        <v>4583</v>
      </c>
      <c r="I1119" t="s">
        <v>4610</v>
      </c>
      <c r="J1119">
        <v>2</v>
      </c>
      <c r="K1119">
        <v>79.98</v>
      </c>
      <c r="L1119">
        <v>0.1</v>
      </c>
      <c r="M1119">
        <v>9.25</v>
      </c>
      <c r="N1119" t="s">
        <v>5462</v>
      </c>
      <c r="O1119" t="s">
        <v>5474</v>
      </c>
      <c r="P1119" t="s">
        <v>5477</v>
      </c>
      <c r="Q1119" s="4">
        <v>143.964</v>
      </c>
    </row>
    <row r="1120" spans="1:17" x14ac:dyDescent="0.3">
      <c r="A1120" t="s">
        <v>1099</v>
      </c>
      <c r="B1120" t="s">
        <v>2379</v>
      </c>
      <c r="C1120" s="1">
        <v>45965</v>
      </c>
      <c r="D1120" t="s">
        <v>2696</v>
      </c>
      <c r="E1120" t="s">
        <v>4260</v>
      </c>
      <c r="F1120" t="s">
        <v>4549</v>
      </c>
      <c r="G1120" t="s">
        <v>4574</v>
      </c>
      <c r="H1120" t="s">
        <v>4584</v>
      </c>
      <c r="I1120" t="s">
        <v>4607</v>
      </c>
      <c r="J1120">
        <v>2</v>
      </c>
      <c r="K1120">
        <v>25.52</v>
      </c>
      <c r="L1120">
        <v>0.15</v>
      </c>
      <c r="M1120">
        <v>7.06</v>
      </c>
      <c r="N1120" t="s">
        <v>5462</v>
      </c>
      <c r="O1120" t="s">
        <v>5471</v>
      </c>
      <c r="P1120" t="s">
        <v>5477</v>
      </c>
      <c r="Q1120" s="4">
        <v>43.384</v>
      </c>
    </row>
    <row r="1121" spans="1:17" x14ac:dyDescent="0.3">
      <c r="A1121" t="s">
        <v>1100</v>
      </c>
      <c r="B1121" t="s">
        <v>2380</v>
      </c>
      <c r="C1121" s="1">
        <v>45627</v>
      </c>
      <c r="D1121" t="s">
        <v>3181</v>
      </c>
      <c r="E1121" t="s">
        <v>4261</v>
      </c>
      <c r="F1121" t="s">
        <v>4564</v>
      </c>
      <c r="G1121" t="s">
        <v>4578</v>
      </c>
      <c r="H1121" t="s">
        <v>4583</v>
      </c>
      <c r="I1121" t="s">
        <v>4610</v>
      </c>
      <c r="J1121">
        <v>1</v>
      </c>
      <c r="K1121">
        <v>76.349999999999994</v>
      </c>
      <c r="L1121">
        <v>0</v>
      </c>
      <c r="M1121">
        <v>6.46</v>
      </c>
      <c r="N1121" t="s">
        <v>5464</v>
      </c>
      <c r="O1121" t="s">
        <v>5473</v>
      </c>
      <c r="P1121" t="s">
        <v>5477</v>
      </c>
      <c r="Q1121" s="4">
        <v>76.349999999999994</v>
      </c>
    </row>
    <row r="1122" spans="1:17" x14ac:dyDescent="0.3">
      <c r="A1122" t="s">
        <v>1101</v>
      </c>
      <c r="B1122" t="s">
        <v>2381</v>
      </c>
      <c r="C1122" s="1">
        <v>45697</v>
      </c>
      <c r="D1122" t="s">
        <v>2914</v>
      </c>
      <c r="E1122" t="s">
        <v>4262</v>
      </c>
      <c r="F1122" t="s">
        <v>4564</v>
      </c>
      <c r="G1122" t="s">
        <v>4573</v>
      </c>
      <c r="H1122" t="s">
        <v>4587</v>
      </c>
      <c r="I1122" t="s">
        <v>4594</v>
      </c>
      <c r="J1122">
        <v>4</v>
      </c>
      <c r="K1122">
        <v>61.88</v>
      </c>
      <c r="L1122">
        <v>0.05</v>
      </c>
      <c r="M1122">
        <v>12.74</v>
      </c>
      <c r="N1122" t="s">
        <v>5462</v>
      </c>
      <c r="O1122" t="s">
        <v>5474</v>
      </c>
      <c r="P1122" t="s">
        <v>5477</v>
      </c>
      <c r="Q1122" s="4">
        <v>235.14400000000001</v>
      </c>
    </row>
    <row r="1123" spans="1:17" x14ac:dyDescent="0.3">
      <c r="A1123" t="s">
        <v>1102</v>
      </c>
      <c r="B1123" t="s">
        <v>1753</v>
      </c>
      <c r="C1123" s="1">
        <v>45921</v>
      </c>
      <c r="D1123" t="s">
        <v>2941</v>
      </c>
      <c r="E1123" t="s">
        <v>4263</v>
      </c>
      <c r="F1123" t="s">
        <v>4549</v>
      </c>
      <c r="G1123" t="s">
        <v>4574</v>
      </c>
      <c r="H1123" t="s">
        <v>4586</v>
      </c>
      <c r="I1123" t="s">
        <v>4593</v>
      </c>
      <c r="J1123">
        <v>2</v>
      </c>
      <c r="K1123">
        <v>104.62</v>
      </c>
      <c r="L1123">
        <v>0.15</v>
      </c>
      <c r="M1123">
        <v>14.66</v>
      </c>
      <c r="N1123" t="s">
        <v>5481</v>
      </c>
      <c r="O1123" t="s">
        <v>5472</v>
      </c>
      <c r="P1123" t="s">
        <v>5475</v>
      </c>
      <c r="Q1123" s="4">
        <v>177.85400000000001</v>
      </c>
    </row>
    <row r="1124" spans="1:17" x14ac:dyDescent="0.3">
      <c r="A1124" t="s">
        <v>1103</v>
      </c>
      <c r="B1124" t="s">
        <v>2382</v>
      </c>
      <c r="C1124" s="1">
        <v>45904</v>
      </c>
      <c r="D1124" t="s">
        <v>2701</v>
      </c>
      <c r="E1124" t="s">
        <v>4264</v>
      </c>
      <c r="F1124" t="s">
        <v>4565</v>
      </c>
      <c r="G1124" t="s">
        <v>5481</v>
      </c>
      <c r="H1124" t="s">
        <v>4586</v>
      </c>
      <c r="I1124" t="s">
        <v>4609</v>
      </c>
      <c r="J1124">
        <v>1</v>
      </c>
      <c r="K1124">
        <v>134.84</v>
      </c>
      <c r="L1124">
        <v>0.15</v>
      </c>
      <c r="M1124">
        <v>14.54</v>
      </c>
      <c r="N1124" t="s">
        <v>5464</v>
      </c>
      <c r="O1124" t="s">
        <v>5472</v>
      </c>
      <c r="P1124" t="s">
        <v>5475</v>
      </c>
      <c r="Q1124" s="4">
        <v>114.614</v>
      </c>
    </row>
    <row r="1125" spans="1:17" x14ac:dyDescent="0.3">
      <c r="A1125" t="s">
        <v>1104</v>
      </c>
      <c r="B1125" t="s">
        <v>2383</v>
      </c>
      <c r="C1125" s="1">
        <v>45552</v>
      </c>
      <c r="D1125" t="s">
        <v>2728</v>
      </c>
      <c r="E1125" t="s">
        <v>4265</v>
      </c>
      <c r="F1125" t="s">
        <v>4566</v>
      </c>
      <c r="G1125" t="s">
        <v>4577</v>
      </c>
      <c r="H1125" t="s">
        <v>4583</v>
      </c>
      <c r="I1125" t="s">
        <v>4588</v>
      </c>
      <c r="J1125">
        <v>1</v>
      </c>
      <c r="K1125">
        <v>40.36</v>
      </c>
      <c r="L1125">
        <v>0.1</v>
      </c>
      <c r="M1125">
        <v>2.15</v>
      </c>
      <c r="N1125" t="s">
        <v>5463</v>
      </c>
      <c r="O1125" t="s">
        <v>5469</v>
      </c>
      <c r="P1125" t="s">
        <v>5479</v>
      </c>
      <c r="Q1125" s="4">
        <v>36.323999999999998</v>
      </c>
    </row>
    <row r="1126" spans="1:17" x14ac:dyDescent="0.3">
      <c r="A1126" t="s">
        <v>1105</v>
      </c>
      <c r="B1126" t="s">
        <v>2144</v>
      </c>
      <c r="C1126" s="1">
        <v>46012</v>
      </c>
      <c r="D1126" t="s">
        <v>3155</v>
      </c>
      <c r="E1126" t="s">
        <v>4266</v>
      </c>
      <c r="F1126" t="s">
        <v>4566</v>
      </c>
      <c r="G1126" t="s">
        <v>4577</v>
      </c>
      <c r="H1126" t="s">
        <v>4584</v>
      </c>
      <c r="I1126" t="s">
        <v>4589</v>
      </c>
      <c r="J1126">
        <v>1</v>
      </c>
      <c r="K1126">
        <v>35.799999999999997</v>
      </c>
      <c r="L1126">
        <v>0.15</v>
      </c>
      <c r="M1126">
        <v>8.75</v>
      </c>
      <c r="N1126" t="s">
        <v>5481</v>
      </c>
      <c r="O1126" t="s">
        <v>5473</v>
      </c>
      <c r="P1126" t="s">
        <v>5477</v>
      </c>
      <c r="Q1126" s="4">
        <v>30.429999999999996</v>
      </c>
    </row>
    <row r="1127" spans="1:17" x14ac:dyDescent="0.3">
      <c r="A1127" t="s">
        <v>1106</v>
      </c>
      <c r="B1127" t="s">
        <v>2384</v>
      </c>
      <c r="C1127" s="1">
        <v>45554</v>
      </c>
      <c r="D1127" t="s">
        <v>2703</v>
      </c>
      <c r="E1127" t="s">
        <v>4267</v>
      </c>
      <c r="F1127" t="s">
        <v>4565</v>
      </c>
      <c r="G1127" t="s">
        <v>4576</v>
      </c>
      <c r="H1127" t="s">
        <v>4587</v>
      </c>
      <c r="I1127" t="s">
        <v>4596</v>
      </c>
      <c r="J1127">
        <v>3</v>
      </c>
      <c r="K1127">
        <v>15.13</v>
      </c>
      <c r="L1127">
        <v>0.1</v>
      </c>
      <c r="M1127">
        <v>2.77</v>
      </c>
      <c r="N1127" t="s">
        <v>5468</v>
      </c>
      <c r="O1127" t="s">
        <v>5470</v>
      </c>
      <c r="P1127" t="s">
        <v>5477</v>
      </c>
      <c r="Q1127" s="4">
        <v>40.850999999999999</v>
      </c>
    </row>
    <row r="1128" spans="1:17" x14ac:dyDescent="0.3">
      <c r="A1128" t="s">
        <v>1107</v>
      </c>
      <c r="B1128" t="s">
        <v>2385</v>
      </c>
      <c r="C1128" s="1">
        <v>45857</v>
      </c>
      <c r="D1128" t="s">
        <v>2965</v>
      </c>
      <c r="E1128" t="s">
        <v>5481</v>
      </c>
      <c r="F1128" t="s">
        <v>4564</v>
      </c>
      <c r="G1128" t="s">
        <v>4578</v>
      </c>
      <c r="H1128" t="s">
        <v>4585</v>
      </c>
      <c r="I1128" t="s">
        <v>4592</v>
      </c>
      <c r="J1128">
        <v>1</v>
      </c>
      <c r="K1128">
        <v>6.39</v>
      </c>
      <c r="L1128">
        <v>0</v>
      </c>
      <c r="M1128">
        <v>12.48</v>
      </c>
      <c r="N1128" t="s">
        <v>5462</v>
      </c>
      <c r="O1128" t="s">
        <v>5469</v>
      </c>
      <c r="P1128" t="s">
        <v>5476</v>
      </c>
      <c r="Q1128" s="4">
        <v>6.39</v>
      </c>
    </row>
    <row r="1129" spans="1:17" x14ac:dyDescent="0.3">
      <c r="A1129" t="s">
        <v>1108</v>
      </c>
      <c r="B1129" t="s">
        <v>1600</v>
      </c>
      <c r="C1129" s="1">
        <v>45626</v>
      </c>
      <c r="D1129" t="s">
        <v>2999</v>
      </c>
      <c r="E1129" t="s">
        <v>4268</v>
      </c>
      <c r="F1129" t="s">
        <v>4569</v>
      </c>
      <c r="G1129" t="s">
        <v>4581</v>
      </c>
      <c r="H1129" t="s">
        <v>5481</v>
      </c>
      <c r="I1129" t="s">
        <v>4594</v>
      </c>
      <c r="J1129">
        <v>4</v>
      </c>
      <c r="K1129">
        <v>62.55</v>
      </c>
      <c r="L1129">
        <v>0</v>
      </c>
      <c r="M1129">
        <v>0</v>
      </c>
      <c r="N1129" t="s">
        <v>5467</v>
      </c>
      <c r="O1129" t="s">
        <v>5471</v>
      </c>
      <c r="P1129" t="s">
        <v>5477</v>
      </c>
      <c r="Q1129" s="4">
        <v>250.2</v>
      </c>
    </row>
    <row r="1130" spans="1:17" x14ac:dyDescent="0.3">
      <c r="A1130" t="s">
        <v>1109</v>
      </c>
      <c r="B1130" t="s">
        <v>2386</v>
      </c>
      <c r="C1130" s="1">
        <v>45306</v>
      </c>
      <c r="D1130" t="s">
        <v>2746</v>
      </c>
      <c r="E1130" t="s">
        <v>4269</v>
      </c>
      <c r="F1130" t="s">
        <v>4564</v>
      </c>
      <c r="G1130" t="s">
        <v>4573</v>
      </c>
      <c r="H1130" t="s">
        <v>4584</v>
      </c>
      <c r="I1130" t="s">
        <v>4589</v>
      </c>
      <c r="J1130">
        <v>1</v>
      </c>
      <c r="K1130">
        <v>34.24</v>
      </c>
      <c r="L1130">
        <v>0.1</v>
      </c>
      <c r="M1130">
        <v>11.19</v>
      </c>
      <c r="N1130" t="s">
        <v>5468</v>
      </c>
      <c r="O1130" t="s">
        <v>5471</v>
      </c>
      <c r="P1130" t="s">
        <v>5477</v>
      </c>
      <c r="Q1130" s="4">
        <v>30.816000000000003</v>
      </c>
    </row>
    <row r="1131" spans="1:17" x14ac:dyDescent="0.3">
      <c r="A1131" t="s">
        <v>1110</v>
      </c>
      <c r="B1131" t="s">
        <v>2387</v>
      </c>
      <c r="C1131" s="1">
        <v>45726</v>
      </c>
      <c r="D1131" t="s">
        <v>3184</v>
      </c>
      <c r="E1131" t="s">
        <v>4270</v>
      </c>
      <c r="F1131" t="s">
        <v>4566</v>
      </c>
      <c r="G1131" t="s">
        <v>4577</v>
      </c>
      <c r="H1131" t="s">
        <v>5481</v>
      </c>
      <c r="I1131" t="s">
        <v>4608</v>
      </c>
      <c r="J1131">
        <v>1</v>
      </c>
      <c r="K1131">
        <v>18.05</v>
      </c>
      <c r="L1131">
        <v>0.1</v>
      </c>
      <c r="M1131">
        <v>8.2799999999999994</v>
      </c>
      <c r="N1131" t="s">
        <v>5465</v>
      </c>
      <c r="O1131" t="s">
        <v>5471</v>
      </c>
      <c r="P1131" t="s">
        <v>5477</v>
      </c>
      <c r="Q1131" s="4">
        <v>16.245000000000001</v>
      </c>
    </row>
    <row r="1132" spans="1:17" x14ac:dyDescent="0.3">
      <c r="A1132" t="s">
        <v>1111</v>
      </c>
      <c r="B1132" t="s">
        <v>2388</v>
      </c>
      <c r="C1132" s="1">
        <v>45711</v>
      </c>
      <c r="D1132" t="s">
        <v>2660</v>
      </c>
      <c r="E1132" t="s">
        <v>4271</v>
      </c>
      <c r="F1132" t="s">
        <v>4566</v>
      </c>
      <c r="G1132" t="s">
        <v>4573</v>
      </c>
      <c r="H1132" t="s">
        <v>4586</v>
      </c>
      <c r="I1132" t="s">
        <v>4597</v>
      </c>
      <c r="J1132">
        <v>1</v>
      </c>
      <c r="K1132">
        <v>88.71</v>
      </c>
      <c r="L1132">
        <v>0</v>
      </c>
      <c r="M1132">
        <v>4.76</v>
      </c>
      <c r="N1132" t="s">
        <v>5466</v>
      </c>
      <c r="O1132" t="s">
        <v>5473</v>
      </c>
      <c r="P1132" t="s">
        <v>5477</v>
      </c>
      <c r="Q1132" s="4">
        <v>88.71</v>
      </c>
    </row>
    <row r="1133" spans="1:17" x14ac:dyDescent="0.3">
      <c r="A1133" t="s">
        <v>1112</v>
      </c>
      <c r="B1133" t="s">
        <v>2389</v>
      </c>
      <c r="C1133" s="1">
        <v>45614</v>
      </c>
      <c r="D1133" t="s">
        <v>3185</v>
      </c>
      <c r="E1133" t="s">
        <v>4272</v>
      </c>
      <c r="F1133" t="s">
        <v>4565</v>
      </c>
      <c r="G1133" t="s">
        <v>4579</v>
      </c>
      <c r="H1133" t="s">
        <v>4587</v>
      </c>
      <c r="I1133" t="s">
        <v>4606</v>
      </c>
      <c r="J1133">
        <v>2</v>
      </c>
      <c r="K1133">
        <v>30.21</v>
      </c>
      <c r="L1133">
        <v>0</v>
      </c>
      <c r="M1133">
        <v>12.66</v>
      </c>
      <c r="N1133" t="s">
        <v>5462</v>
      </c>
      <c r="O1133" t="s">
        <v>5470</v>
      </c>
      <c r="P1133" t="s">
        <v>5477</v>
      </c>
      <c r="Q1133" s="4">
        <v>60.42</v>
      </c>
    </row>
    <row r="1134" spans="1:17" x14ac:dyDescent="0.3">
      <c r="A1134" t="s">
        <v>1113</v>
      </c>
      <c r="B1134" t="s">
        <v>2390</v>
      </c>
      <c r="C1134" s="1">
        <v>45719</v>
      </c>
      <c r="D1134" t="s">
        <v>2818</v>
      </c>
      <c r="E1134" t="s">
        <v>4273</v>
      </c>
      <c r="F1134" t="s">
        <v>4566</v>
      </c>
      <c r="G1134" t="s">
        <v>4573</v>
      </c>
      <c r="H1134" t="s">
        <v>4586</v>
      </c>
      <c r="I1134" t="s">
        <v>4609</v>
      </c>
      <c r="J1134">
        <v>2</v>
      </c>
      <c r="K1134">
        <v>126.76</v>
      </c>
      <c r="L1134">
        <v>0.05</v>
      </c>
      <c r="M1134">
        <v>8.4700000000000006</v>
      </c>
      <c r="N1134" t="s">
        <v>5467</v>
      </c>
      <c r="O1134" t="s">
        <v>5469</v>
      </c>
      <c r="P1134" t="s">
        <v>5477</v>
      </c>
      <c r="Q1134" s="4">
        <v>240.84399999999999</v>
      </c>
    </row>
    <row r="1135" spans="1:17" x14ac:dyDescent="0.3">
      <c r="A1135" t="s">
        <v>1114</v>
      </c>
      <c r="B1135" t="s">
        <v>2391</v>
      </c>
      <c r="C1135" s="1">
        <v>45618</v>
      </c>
      <c r="D1135" t="s">
        <v>2980</v>
      </c>
      <c r="E1135" t="s">
        <v>4274</v>
      </c>
      <c r="F1135" t="s">
        <v>4549</v>
      </c>
      <c r="G1135" t="s">
        <v>4574</v>
      </c>
      <c r="H1135" t="s">
        <v>4587</v>
      </c>
      <c r="I1135" t="s">
        <v>4596</v>
      </c>
      <c r="J1135">
        <v>3</v>
      </c>
      <c r="K1135">
        <v>14.49</v>
      </c>
      <c r="L1135">
        <v>0.1</v>
      </c>
      <c r="M1135">
        <v>12.08</v>
      </c>
      <c r="N1135" t="s">
        <v>5467</v>
      </c>
      <c r="O1135" t="s">
        <v>5473</v>
      </c>
      <c r="P1135" t="s">
        <v>5477</v>
      </c>
      <c r="Q1135" s="4">
        <v>39.122999999999998</v>
      </c>
    </row>
    <row r="1136" spans="1:17" x14ac:dyDescent="0.3">
      <c r="A1136" t="s">
        <v>1115</v>
      </c>
      <c r="B1136" t="s">
        <v>2392</v>
      </c>
      <c r="C1136" s="1">
        <v>45712</v>
      </c>
      <c r="D1136" t="s">
        <v>3187</v>
      </c>
      <c r="E1136" t="s">
        <v>4275</v>
      </c>
      <c r="F1136" t="s">
        <v>4569</v>
      </c>
      <c r="G1136" t="s">
        <v>4572</v>
      </c>
      <c r="H1136" t="s">
        <v>4584</v>
      </c>
      <c r="I1136" t="s">
        <v>4595</v>
      </c>
      <c r="J1136">
        <v>1</v>
      </c>
      <c r="K1136">
        <v>41.2</v>
      </c>
      <c r="L1136">
        <v>0.1</v>
      </c>
      <c r="N1136" t="s">
        <v>5465</v>
      </c>
      <c r="O1136" t="s">
        <v>5481</v>
      </c>
      <c r="P1136" t="s">
        <v>5477</v>
      </c>
      <c r="Q1136" s="4">
        <v>37.080000000000005</v>
      </c>
    </row>
    <row r="1137" spans="1:17" x14ac:dyDescent="0.3">
      <c r="A1137" t="s">
        <v>1116</v>
      </c>
      <c r="B1137" t="s">
        <v>2393</v>
      </c>
      <c r="C1137" s="1">
        <v>45616</v>
      </c>
      <c r="D1137" t="s">
        <v>3043</v>
      </c>
      <c r="E1137" t="s">
        <v>4276</v>
      </c>
      <c r="F1137" t="s">
        <v>4569</v>
      </c>
      <c r="G1137" t="s">
        <v>4581</v>
      </c>
      <c r="H1137" t="s">
        <v>4584</v>
      </c>
      <c r="I1137" t="s">
        <v>4595</v>
      </c>
      <c r="J1137">
        <v>2</v>
      </c>
      <c r="K1137">
        <v>40.119999999999997</v>
      </c>
      <c r="L1137">
        <v>0</v>
      </c>
      <c r="M1137">
        <v>0.84</v>
      </c>
      <c r="N1137" t="s">
        <v>5468</v>
      </c>
      <c r="O1137" t="s">
        <v>5474</v>
      </c>
      <c r="P1137" t="s">
        <v>5477</v>
      </c>
      <c r="Q1137" s="4">
        <v>80.239999999999995</v>
      </c>
    </row>
    <row r="1138" spans="1:17" x14ac:dyDescent="0.3">
      <c r="A1138" t="s">
        <v>1117</v>
      </c>
      <c r="B1138" t="s">
        <v>2394</v>
      </c>
      <c r="C1138" s="1">
        <v>45557</v>
      </c>
      <c r="D1138" t="s">
        <v>3188</v>
      </c>
      <c r="E1138" t="s">
        <v>4277</v>
      </c>
      <c r="F1138" t="s">
        <v>4566</v>
      </c>
      <c r="G1138" t="s">
        <v>4573</v>
      </c>
      <c r="H1138" t="s">
        <v>4584</v>
      </c>
      <c r="I1138" t="s">
        <v>4607</v>
      </c>
      <c r="J1138">
        <v>10</v>
      </c>
      <c r="K1138">
        <v>25.57</v>
      </c>
      <c r="L1138">
        <v>0</v>
      </c>
      <c r="M1138">
        <v>5.31</v>
      </c>
      <c r="N1138" t="s">
        <v>5464</v>
      </c>
      <c r="O1138" t="s">
        <v>5470</v>
      </c>
      <c r="P1138" t="s">
        <v>5477</v>
      </c>
      <c r="Q1138" s="4">
        <v>255.7</v>
      </c>
    </row>
    <row r="1139" spans="1:17" x14ac:dyDescent="0.3">
      <c r="A1139" t="s">
        <v>229</v>
      </c>
      <c r="B1139" t="s">
        <v>1626</v>
      </c>
      <c r="C1139" s="1">
        <v>45564</v>
      </c>
      <c r="D1139" t="s">
        <v>3162</v>
      </c>
      <c r="E1139" t="s">
        <v>3461</v>
      </c>
      <c r="F1139" t="s">
        <v>4549</v>
      </c>
      <c r="G1139" t="s">
        <v>4573</v>
      </c>
      <c r="H1139" t="s">
        <v>4584</v>
      </c>
      <c r="I1139" t="s">
        <v>4608</v>
      </c>
      <c r="J1139">
        <v>1</v>
      </c>
      <c r="K1139">
        <v>18.55</v>
      </c>
      <c r="L1139">
        <v>0</v>
      </c>
      <c r="M1139">
        <v>9.07</v>
      </c>
      <c r="N1139" t="s">
        <v>5465</v>
      </c>
      <c r="O1139" t="s">
        <v>5472</v>
      </c>
      <c r="P1139" t="s">
        <v>5475</v>
      </c>
      <c r="Q1139" s="4">
        <v>18.55</v>
      </c>
    </row>
    <row r="1140" spans="1:17" x14ac:dyDescent="0.3">
      <c r="A1140" t="s">
        <v>1118</v>
      </c>
      <c r="B1140" t="s">
        <v>2395</v>
      </c>
      <c r="C1140" s="1">
        <v>45567</v>
      </c>
      <c r="D1140" t="s">
        <v>2731</v>
      </c>
      <c r="E1140" t="s">
        <v>4278</v>
      </c>
      <c r="F1140" t="s">
        <v>4565</v>
      </c>
      <c r="G1140" t="s">
        <v>4575</v>
      </c>
      <c r="H1140" t="s">
        <v>4585</v>
      </c>
      <c r="I1140" t="s">
        <v>4592</v>
      </c>
      <c r="J1140">
        <v>1</v>
      </c>
      <c r="K1140">
        <v>6.69</v>
      </c>
      <c r="L1140">
        <v>0</v>
      </c>
      <c r="M1140">
        <v>0</v>
      </c>
      <c r="N1140" t="s">
        <v>5468</v>
      </c>
      <c r="O1140" t="s">
        <v>5471</v>
      </c>
      <c r="P1140" t="s">
        <v>5477</v>
      </c>
      <c r="Q1140" s="4">
        <v>6.69</v>
      </c>
    </row>
    <row r="1141" spans="1:17" x14ac:dyDescent="0.3">
      <c r="A1141" t="s">
        <v>1119</v>
      </c>
      <c r="B1141" t="s">
        <v>2396</v>
      </c>
      <c r="C1141" s="1">
        <v>45635</v>
      </c>
      <c r="D1141" t="s">
        <v>2851</v>
      </c>
      <c r="E1141" t="s">
        <v>4279</v>
      </c>
      <c r="F1141" t="s">
        <v>4566</v>
      </c>
      <c r="G1141" t="s">
        <v>4573</v>
      </c>
      <c r="H1141" t="s">
        <v>4587</v>
      </c>
      <c r="I1141" t="s">
        <v>4596</v>
      </c>
      <c r="J1141">
        <v>2</v>
      </c>
      <c r="K1141">
        <v>15.03</v>
      </c>
      <c r="L1141">
        <v>0</v>
      </c>
      <c r="M1141">
        <v>3.94</v>
      </c>
      <c r="N1141" t="s">
        <v>5466</v>
      </c>
      <c r="O1141" t="s">
        <v>5473</v>
      </c>
      <c r="P1141" t="s">
        <v>5477</v>
      </c>
      <c r="Q1141" s="4">
        <v>30.06</v>
      </c>
    </row>
    <row r="1142" spans="1:17" x14ac:dyDescent="0.3">
      <c r="A1142" t="s">
        <v>1120</v>
      </c>
      <c r="B1142" t="s">
        <v>2121</v>
      </c>
      <c r="C1142" s="1">
        <v>45996</v>
      </c>
      <c r="D1142" t="s">
        <v>3189</v>
      </c>
      <c r="E1142" t="s">
        <v>5481</v>
      </c>
      <c r="F1142" t="s">
        <v>4569</v>
      </c>
      <c r="G1142" t="s">
        <v>4580</v>
      </c>
      <c r="H1142" t="s">
        <v>4585</v>
      </c>
      <c r="I1142" t="s">
        <v>4598</v>
      </c>
      <c r="J1142">
        <v>1</v>
      </c>
      <c r="K1142">
        <v>2.97</v>
      </c>
      <c r="L1142">
        <v>0.05</v>
      </c>
      <c r="M1142">
        <v>0</v>
      </c>
      <c r="N1142" t="s">
        <v>5465</v>
      </c>
      <c r="O1142" t="s">
        <v>5472</v>
      </c>
      <c r="P1142" t="s">
        <v>5477</v>
      </c>
      <c r="Q1142" s="4">
        <v>2.8214999999999999</v>
      </c>
    </row>
    <row r="1143" spans="1:17" x14ac:dyDescent="0.3">
      <c r="A1143" t="s">
        <v>1121</v>
      </c>
      <c r="B1143" t="s">
        <v>2397</v>
      </c>
      <c r="C1143" s="1">
        <v>45664</v>
      </c>
      <c r="D1143" t="s">
        <v>3190</v>
      </c>
      <c r="E1143" t="s">
        <v>4280</v>
      </c>
      <c r="F1143" t="s">
        <v>4565</v>
      </c>
      <c r="G1143" t="s">
        <v>4575</v>
      </c>
      <c r="H1143" t="s">
        <v>4583</v>
      </c>
      <c r="I1143" t="s">
        <v>4588</v>
      </c>
      <c r="J1143">
        <v>10</v>
      </c>
      <c r="K1143">
        <v>40.15</v>
      </c>
      <c r="L1143">
        <v>0</v>
      </c>
      <c r="M1143">
        <v>6.43</v>
      </c>
      <c r="N1143" t="s">
        <v>5465</v>
      </c>
      <c r="O1143" t="s">
        <v>5473</v>
      </c>
      <c r="P1143" t="s">
        <v>5477</v>
      </c>
      <c r="Q1143" s="4">
        <v>401.5</v>
      </c>
    </row>
    <row r="1144" spans="1:17" x14ac:dyDescent="0.3">
      <c r="A1144" t="s">
        <v>1122</v>
      </c>
      <c r="B1144" t="s">
        <v>2398</v>
      </c>
      <c r="C1144" s="1">
        <v>45329</v>
      </c>
      <c r="D1144" t="s">
        <v>2919</v>
      </c>
      <c r="E1144" t="s">
        <v>4281</v>
      </c>
      <c r="F1144" t="s">
        <v>4549</v>
      </c>
      <c r="G1144" t="s">
        <v>4573</v>
      </c>
      <c r="H1144" t="s">
        <v>4585</v>
      </c>
      <c r="I1144" t="s">
        <v>4590</v>
      </c>
      <c r="J1144">
        <v>1</v>
      </c>
      <c r="K1144">
        <v>14.19</v>
      </c>
      <c r="L1144">
        <v>0.05</v>
      </c>
      <c r="M1144">
        <v>0</v>
      </c>
      <c r="N1144" t="s">
        <v>5465</v>
      </c>
      <c r="O1144" t="s">
        <v>5469</v>
      </c>
      <c r="P1144" t="s">
        <v>5475</v>
      </c>
      <c r="Q1144" s="4">
        <v>13.480499999999999</v>
      </c>
    </row>
    <row r="1145" spans="1:17" x14ac:dyDescent="0.3">
      <c r="A1145" t="s">
        <v>1123</v>
      </c>
      <c r="B1145" t="s">
        <v>2399</v>
      </c>
      <c r="C1145" s="1">
        <v>45325</v>
      </c>
      <c r="D1145" t="s">
        <v>2794</v>
      </c>
      <c r="E1145" t="s">
        <v>4282</v>
      </c>
      <c r="F1145" t="s">
        <v>4549</v>
      </c>
      <c r="G1145" t="s">
        <v>4573</v>
      </c>
      <c r="H1145" t="s">
        <v>4586</v>
      </c>
      <c r="I1145" t="s">
        <v>4599</v>
      </c>
      <c r="J1145">
        <v>1</v>
      </c>
      <c r="K1145">
        <v>247.19</v>
      </c>
      <c r="L1145">
        <v>0.15</v>
      </c>
      <c r="M1145">
        <v>8.9</v>
      </c>
      <c r="N1145" t="s">
        <v>5467</v>
      </c>
      <c r="O1145" t="s">
        <v>5469</v>
      </c>
      <c r="P1145" t="s">
        <v>5477</v>
      </c>
      <c r="Q1145" s="4">
        <v>210.11150000000001</v>
      </c>
    </row>
    <row r="1146" spans="1:17" x14ac:dyDescent="0.3">
      <c r="A1146" t="s">
        <v>1124</v>
      </c>
      <c r="B1146" t="s">
        <v>2400</v>
      </c>
      <c r="C1146" s="1">
        <v>45714</v>
      </c>
      <c r="D1146" t="s">
        <v>3140</v>
      </c>
      <c r="E1146" t="s">
        <v>4283</v>
      </c>
      <c r="F1146" t="s">
        <v>4565</v>
      </c>
      <c r="G1146" t="s">
        <v>4579</v>
      </c>
      <c r="H1146" t="s">
        <v>4587</v>
      </c>
      <c r="I1146" t="s">
        <v>4594</v>
      </c>
      <c r="J1146">
        <v>2</v>
      </c>
      <c r="K1146">
        <v>57.02</v>
      </c>
      <c r="L1146">
        <v>0</v>
      </c>
      <c r="M1146">
        <v>9.35</v>
      </c>
      <c r="N1146" t="s">
        <v>5481</v>
      </c>
      <c r="O1146" t="s">
        <v>5472</v>
      </c>
      <c r="P1146" t="s">
        <v>5477</v>
      </c>
      <c r="Q1146" s="4">
        <v>114.04</v>
      </c>
    </row>
    <row r="1147" spans="1:17" x14ac:dyDescent="0.3">
      <c r="A1147" t="s">
        <v>1125</v>
      </c>
      <c r="B1147" t="s">
        <v>1807</v>
      </c>
      <c r="C1147" s="1">
        <v>45379</v>
      </c>
      <c r="D1147" t="s">
        <v>2779</v>
      </c>
      <c r="E1147" t="s">
        <v>4284</v>
      </c>
      <c r="F1147" t="s">
        <v>4564</v>
      </c>
      <c r="G1147" t="s">
        <v>4578</v>
      </c>
      <c r="H1147" t="s">
        <v>4583</v>
      </c>
      <c r="I1147" t="s">
        <v>4610</v>
      </c>
      <c r="J1147">
        <v>3</v>
      </c>
      <c r="K1147">
        <v>77.38</v>
      </c>
      <c r="L1147">
        <v>0</v>
      </c>
      <c r="N1147" t="s">
        <v>5464</v>
      </c>
      <c r="O1147" t="s">
        <v>5473</v>
      </c>
      <c r="P1147" t="s">
        <v>5476</v>
      </c>
      <c r="Q1147" s="4">
        <v>232.14</v>
      </c>
    </row>
    <row r="1148" spans="1:17" x14ac:dyDescent="0.3">
      <c r="A1148" t="s">
        <v>1126</v>
      </c>
      <c r="B1148" t="s">
        <v>2401</v>
      </c>
      <c r="C1148" s="1">
        <v>45432</v>
      </c>
      <c r="D1148" t="s">
        <v>2827</v>
      </c>
      <c r="E1148" t="s">
        <v>4285</v>
      </c>
      <c r="F1148" t="s">
        <v>4569</v>
      </c>
      <c r="G1148" t="s">
        <v>4572</v>
      </c>
      <c r="H1148" t="s">
        <v>4587</v>
      </c>
      <c r="I1148" t="s">
        <v>4596</v>
      </c>
      <c r="J1148">
        <v>4</v>
      </c>
      <c r="K1148">
        <v>14.5</v>
      </c>
      <c r="L1148">
        <v>0</v>
      </c>
      <c r="M1148">
        <v>2.76</v>
      </c>
      <c r="N1148" t="s">
        <v>5464</v>
      </c>
      <c r="O1148" t="s">
        <v>5469</v>
      </c>
      <c r="P1148" t="s">
        <v>5477</v>
      </c>
      <c r="Q1148" s="4">
        <v>58</v>
      </c>
    </row>
    <row r="1149" spans="1:17" x14ac:dyDescent="0.3">
      <c r="A1149" t="s">
        <v>1127</v>
      </c>
      <c r="B1149" t="s">
        <v>2402</v>
      </c>
      <c r="C1149" s="1">
        <v>45929</v>
      </c>
      <c r="D1149" t="s">
        <v>2979</v>
      </c>
      <c r="E1149" t="s">
        <v>4286</v>
      </c>
      <c r="F1149" t="s">
        <v>4549</v>
      </c>
      <c r="G1149" t="s">
        <v>4573</v>
      </c>
      <c r="H1149" t="s">
        <v>4585</v>
      </c>
      <c r="I1149" t="s">
        <v>4602</v>
      </c>
      <c r="J1149">
        <v>1</v>
      </c>
      <c r="K1149">
        <v>4.0599999999999996</v>
      </c>
      <c r="L1149">
        <v>0.05</v>
      </c>
      <c r="N1149" t="s">
        <v>5463</v>
      </c>
      <c r="O1149" t="s">
        <v>5473</v>
      </c>
      <c r="P1149" t="s">
        <v>5476</v>
      </c>
      <c r="Q1149" s="4">
        <v>3.8569999999999993</v>
      </c>
    </row>
    <row r="1150" spans="1:17" x14ac:dyDescent="0.3">
      <c r="A1150" t="s">
        <v>1128</v>
      </c>
      <c r="B1150" t="s">
        <v>2403</v>
      </c>
      <c r="C1150" s="1">
        <v>45454</v>
      </c>
      <c r="D1150" t="s">
        <v>2712</v>
      </c>
      <c r="E1150" t="s">
        <v>4287</v>
      </c>
      <c r="F1150" t="s">
        <v>4564</v>
      </c>
      <c r="G1150" t="s">
        <v>4573</v>
      </c>
      <c r="H1150" t="s">
        <v>4587</v>
      </c>
      <c r="I1150" t="s">
        <v>4600</v>
      </c>
      <c r="J1150">
        <v>5</v>
      </c>
      <c r="K1150">
        <v>12.5</v>
      </c>
      <c r="L1150">
        <v>0.05</v>
      </c>
      <c r="M1150">
        <v>3.76</v>
      </c>
      <c r="N1150" t="s">
        <v>5465</v>
      </c>
      <c r="O1150" t="s">
        <v>5471</v>
      </c>
      <c r="P1150" t="s">
        <v>5477</v>
      </c>
      <c r="Q1150" s="4">
        <v>59.375</v>
      </c>
    </row>
    <row r="1151" spans="1:17" x14ac:dyDescent="0.3">
      <c r="A1151" t="s">
        <v>1129</v>
      </c>
      <c r="B1151" t="s">
        <v>1619</v>
      </c>
      <c r="C1151" s="1">
        <v>45500</v>
      </c>
      <c r="D1151" t="s">
        <v>3199</v>
      </c>
      <c r="E1151" t="s">
        <v>4288</v>
      </c>
      <c r="F1151" t="s">
        <v>4549</v>
      </c>
      <c r="G1151" t="s">
        <v>4574</v>
      </c>
      <c r="H1151" t="s">
        <v>4584</v>
      </c>
      <c r="I1151" t="s">
        <v>4601</v>
      </c>
      <c r="J1151">
        <v>10</v>
      </c>
      <c r="K1151">
        <v>187.26</v>
      </c>
      <c r="L1151">
        <v>0.05</v>
      </c>
      <c r="M1151">
        <v>11.25</v>
      </c>
      <c r="N1151" t="s">
        <v>5462</v>
      </c>
      <c r="O1151" t="s">
        <v>5470</v>
      </c>
      <c r="P1151" t="s">
        <v>5477</v>
      </c>
      <c r="Q1151" s="4">
        <v>1778.9699999999998</v>
      </c>
    </row>
    <row r="1152" spans="1:17" x14ac:dyDescent="0.3">
      <c r="A1152" t="s">
        <v>644</v>
      </c>
      <c r="B1152" t="s">
        <v>2008</v>
      </c>
      <c r="C1152" s="1">
        <v>45664</v>
      </c>
      <c r="D1152" t="s">
        <v>2898</v>
      </c>
      <c r="E1152" t="s">
        <v>3841</v>
      </c>
      <c r="F1152" t="s">
        <v>4565</v>
      </c>
      <c r="G1152" t="s">
        <v>4575</v>
      </c>
      <c r="H1152" t="s">
        <v>4587</v>
      </c>
      <c r="I1152" t="s">
        <v>4606</v>
      </c>
      <c r="J1152">
        <v>1</v>
      </c>
      <c r="K1152">
        <v>29.59</v>
      </c>
      <c r="L1152">
        <v>0</v>
      </c>
      <c r="M1152">
        <v>14.41</v>
      </c>
      <c r="N1152" t="s">
        <v>5467</v>
      </c>
      <c r="O1152" t="s">
        <v>5470</v>
      </c>
      <c r="P1152" t="s">
        <v>5476</v>
      </c>
      <c r="Q1152" s="4">
        <v>29.59</v>
      </c>
    </row>
    <row r="1153" spans="1:17" x14ac:dyDescent="0.3">
      <c r="A1153" t="s">
        <v>1130</v>
      </c>
      <c r="B1153" t="s">
        <v>2404</v>
      </c>
      <c r="C1153" s="1">
        <v>45944</v>
      </c>
      <c r="D1153" t="s">
        <v>3084</v>
      </c>
      <c r="E1153" t="s">
        <v>4289</v>
      </c>
      <c r="F1153" t="s">
        <v>4564</v>
      </c>
      <c r="G1153" t="s">
        <v>4578</v>
      </c>
      <c r="H1153" t="s">
        <v>4585</v>
      </c>
      <c r="I1153" t="s">
        <v>4591</v>
      </c>
      <c r="J1153">
        <v>1</v>
      </c>
      <c r="K1153">
        <v>7.51</v>
      </c>
      <c r="L1153">
        <v>0</v>
      </c>
      <c r="M1153">
        <v>1.54</v>
      </c>
      <c r="N1153" t="s">
        <v>5481</v>
      </c>
      <c r="O1153" t="s">
        <v>5474</v>
      </c>
      <c r="P1153" t="s">
        <v>5477</v>
      </c>
      <c r="Q1153" s="4">
        <v>7.51</v>
      </c>
    </row>
    <row r="1154" spans="1:17" x14ac:dyDescent="0.3">
      <c r="A1154" t="s">
        <v>1131</v>
      </c>
      <c r="B1154" t="s">
        <v>2405</v>
      </c>
      <c r="C1154" s="1">
        <v>45493</v>
      </c>
      <c r="D1154" t="s">
        <v>3043</v>
      </c>
      <c r="E1154" t="s">
        <v>4290</v>
      </c>
      <c r="F1154" t="s">
        <v>4565</v>
      </c>
      <c r="G1154" t="s">
        <v>4579</v>
      </c>
      <c r="H1154" t="s">
        <v>4587</v>
      </c>
      <c r="I1154" t="s">
        <v>4600</v>
      </c>
      <c r="J1154">
        <v>4</v>
      </c>
      <c r="K1154">
        <v>13.06</v>
      </c>
      <c r="L1154">
        <v>0.1</v>
      </c>
      <c r="M1154">
        <v>11.6</v>
      </c>
      <c r="N1154" t="s">
        <v>5468</v>
      </c>
      <c r="O1154" t="s">
        <v>5474</v>
      </c>
      <c r="P1154" t="s">
        <v>5475</v>
      </c>
      <c r="Q1154" s="4">
        <v>47.016000000000005</v>
      </c>
    </row>
    <row r="1155" spans="1:17" x14ac:dyDescent="0.3">
      <c r="A1155" t="s">
        <v>1132</v>
      </c>
      <c r="B1155" t="s">
        <v>2406</v>
      </c>
      <c r="C1155" s="1">
        <v>45604</v>
      </c>
      <c r="D1155" t="s">
        <v>2851</v>
      </c>
      <c r="E1155" t="s">
        <v>4291</v>
      </c>
      <c r="F1155" t="s">
        <v>4569</v>
      </c>
      <c r="G1155" t="s">
        <v>4580</v>
      </c>
      <c r="H1155" t="s">
        <v>4584</v>
      </c>
      <c r="I1155" t="s">
        <v>4595</v>
      </c>
      <c r="J1155">
        <v>4</v>
      </c>
      <c r="K1155">
        <v>40.93</v>
      </c>
      <c r="L1155">
        <v>0.1</v>
      </c>
      <c r="M1155">
        <v>9.68</v>
      </c>
      <c r="N1155" t="s">
        <v>5466</v>
      </c>
      <c r="O1155" t="s">
        <v>5481</v>
      </c>
      <c r="P1155" t="s">
        <v>5479</v>
      </c>
      <c r="Q1155" s="4">
        <v>147.34800000000001</v>
      </c>
    </row>
    <row r="1156" spans="1:17" x14ac:dyDescent="0.3">
      <c r="A1156" t="s">
        <v>1133</v>
      </c>
      <c r="B1156" t="s">
        <v>2407</v>
      </c>
      <c r="C1156" s="1">
        <v>45942</v>
      </c>
      <c r="D1156" t="s">
        <v>3015</v>
      </c>
      <c r="E1156" t="s">
        <v>4292</v>
      </c>
      <c r="F1156" t="s">
        <v>4549</v>
      </c>
      <c r="G1156" t="s">
        <v>4574</v>
      </c>
      <c r="H1156" t="s">
        <v>4586</v>
      </c>
      <c r="I1156" t="s">
        <v>4599</v>
      </c>
      <c r="J1156">
        <v>1</v>
      </c>
      <c r="K1156">
        <v>248.26</v>
      </c>
      <c r="L1156">
        <v>0.1</v>
      </c>
      <c r="M1156">
        <v>8.5399999999999991</v>
      </c>
      <c r="N1156" t="s">
        <v>5468</v>
      </c>
      <c r="O1156" t="s">
        <v>5474</v>
      </c>
      <c r="P1156" t="s">
        <v>5475</v>
      </c>
      <c r="Q1156" s="4">
        <v>223.434</v>
      </c>
    </row>
    <row r="1157" spans="1:17" x14ac:dyDescent="0.3">
      <c r="A1157" t="s">
        <v>1134</v>
      </c>
      <c r="B1157" t="s">
        <v>2223</v>
      </c>
      <c r="C1157" s="1">
        <v>45569</v>
      </c>
      <c r="D1157" t="s">
        <v>2910</v>
      </c>
      <c r="E1157" t="s">
        <v>4293</v>
      </c>
      <c r="F1157" t="s">
        <v>4569</v>
      </c>
      <c r="G1157" t="s">
        <v>4580</v>
      </c>
      <c r="H1157" t="s">
        <v>4583</v>
      </c>
      <c r="I1157" t="s">
        <v>4604</v>
      </c>
      <c r="J1157">
        <v>5</v>
      </c>
      <c r="K1157">
        <v>23.31</v>
      </c>
      <c r="L1157">
        <v>0.05</v>
      </c>
      <c r="M1157">
        <v>7.61</v>
      </c>
      <c r="N1157" t="s">
        <v>5462</v>
      </c>
      <c r="O1157" t="s">
        <v>5471</v>
      </c>
      <c r="P1157" t="s">
        <v>5479</v>
      </c>
      <c r="Q1157" s="4">
        <v>110.7225</v>
      </c>
    </row>
    <row r="1158" spans="1:17" x14ac:dyDescent="0.3">
      <c r="A1158" t="s">
        <v>1135</v>
      </c>
      <c r="B1158" t="s">
        <v>2408</v>
      </c>
      <c r="C1158" s="1">
        <v>45386</v>
      </c>
      <c r="D1158" t="s">
        <v>2640</v>
      </c>
      <c r="E1158" t="s">
        <v>4294</v>
      </c>
      <c r="F1158" t="s">
        <v>4569</v>
      </c>
      <c r="G1158" t="s">
        <v>4581</v>
      </c>
      <c r="H1158" t="s">
        <v>4584</v>
      </c>
      <c r="I1158" t="s">
        <v>4607</v>
      </c>
      <c r="J1158">
        <v>10</v>
      </c>
      <c r="K1158">
        <v>24.78</v>
      </c>
      <c r="L1158">
        <v>0</v>
      </c>
      <c r="M1158">
        <v>0.77</v>
      </c>
      <c r="N1158" t="s">
        <v>5468</v>
      </c>
      <c r="O1158" t="s">
        <v>5471</v>
      </c>
      <c r="P1158" t="s">
        <v>5477</v>
      </c>
      <c r="Q1158" s="4">
        <v>247.8</v>
      </c>
    </row>
    <row r="1159" spans="1:17" x14ac:dyDescent="0.3">
      <c r="A1159" t="s">
        <v>1136</v>
      </c>
      <c r="B1159" t="s">
        <v>2409</v>
      </c>
      <c r="C1159" s="1">
        <v>45736</v>
      </c>
      <c r="D1159" t="s">
        <v>2629</v>
      </c>
      <c r="E1159" t="s">
        <v>5481</v>
      </c>
      <c r="F1159" t="s">
        <v>4569</v>
      </c>
      <c r="G1159" t="s">
        <v>4581</v>
      </c>
      <c r="H1159" t="s">
        <v>4586</v>
      </c>
      <c r="I1159" t="s">
        <v>4609</v>
      </c>
      <c r="J1159">
        <v>1</v>
      </c>
      <c r="K1159">
        <v>132.33000000000001</v>
      </c>
      <c r="L1159">
        <v>0</v>
      </c>
      <c r="M1159">
        <v>8.9600000000000009</v>
      </c>
      <c r="N1159" t="s">
        <v>5468</v>
      </c>
      <c r="O1159" t="s">
        <v>5469</v>
      </c>
      <c r="P1159" t="s">
        <v>5477</v>
      </c>
      <c r="Q1159" s="4">
        <v>132.33000000000001</v>
      </c>
    </row>
    <row r="1160" spans="1:17" x14ac:dyDescent="0.3">
      <c r="A1160" t="s">
        <v>497</v>
      </c>
      <c r="B1160" t="s">
        <v>1878</v>
      </c>
      <c r="C1160" s="1">
        <v>45946</v>
      </c>
      <c r="D1160" t="s">
        <v>2963</v>
      </c>
      <c r="E1160" t="s">
        <v>3707</v>
      </c>
      <c r="F1160" t="s">
        <v>4569</v>
      </c>
      <c r="G1160" t="s">
        <v>4581</v>
      </c>
      <c r="H1160" t="s">
        <v>4584</v>
      </c>
      <c r="I1160" t="s">
        <v>4603</v>
      </c>
      <c r="J1160">
        <v>5</v>
      </c>
      <c r="K1160">
        <v>9.0299999999999994</v>
      </c>
      <c r="L1160">
        <v>0.05</v>
      </c>
      <c r="M1160">
        <v>8.33</v>
      </c>
      <c r="N1160" t="s">
        <v>5464</v>
      </c>
      <c r="O1160" t="s">
        <v>5473</v>
      </c>
      <c r="P1160" t="s">
        <v>5477</v>
      </c>
      <c r="Q1160" s="4">
        <v>42.892499999999998</v>
      </c>
    </row>
    <row r="1161" spans="1:17" x14ac:dyDescent="0.3">
      <c r="A1161" t="s">
        <v>137</v>
      </c>
      <c r="B1161" t="s">
        <v>1535</v>
      </c>
      <c r="C1161" s="1">
        <v>45690</v>
      </c>
      <c r="D1161" t="s">
        <v>2733</v>
      </c>
      <c r="E1161" t="s">
        <v>3374</v>
      </c>
      <c r="F1161" t="s">
        <v>4565</v>
      </c>
      <c r="G1161" t="s">
        <v>4579</v>
      </c>
      <c r="H1161" t="s">
        <v>4584</v>
      </c>
      <c r="I1161" t="s">
        <v>4607</v>
      </c>
      <c r="J1161">
        <v>2</v>
      </c>
      <c r="K1161">
        <v>25.92</v>
      </c>
      <c r="L1161">
        <v>0</v>
      </c>
      <c r="M1161">
        <v>8.18</v>
      </c>
      <c r="N1161" t="s">
        <v>5463</v>
      </c>
      <c r="O1161" t="s">
        <v>5469</v>
      </c>
      <c r="P1161" t="s">
        <v>5476</v>
      </c>
      <c r="Q1161" s="4">
        <v>51.84</v>
      </c>
    </row>
    <row r="1162" spans="1:17" x14ac:dyDescent="0.3">
      <c r="A1162" t="s">
        <v>1137</v>
      </c>
      <c r="B1162" t="s">
        <v>2410</v>
      </c>
      <c r="C1162" s="1">
        <v>45486</v>
      </c>
      <c r="D1162" t="s">
        <v>2859</v>
      </c>
      <c r="E1162" t="s">
        <v>4295</v>
      </c>
      <c r="F1162" t="s">
        <v>4569</v>
      </c>
      <c r="G1162" t="s">
        <v>4581</v>
      </c>
      <c r="H1162" t="s">
        <v>4587</v>
      </c>
      <c r="I1162" t="s">
        <v>4594</v>
      </c>
      <c r="J1162">
        <v>2</v>
      </c>
      <c r="K1162">
        <v>62.87</v>
      </c>
      <c r="L1162">
        <v>0.05</v>
      </c>
      <c r="M1162">
        <v>2.02</v>
      </c>
      <c r="N1162" t="s">
        <v>5466</v>
      </c>
      <c r="O1162" t="s">
        <v>5469</v>
      </c>
      <c r="P1162" t="s">
        <v>5479</v>
      </c>
      <c r="Q1162" s="4">
        <v>119.45299999999999</v>
      </c>
    </row>
    <row r="1163" spans="1:17" x14ac:dyDescent="0.3">
      <c r="A1163" t="s">
        <v>1138</v>
      </c>
      <c r="B1163" t="s">
        <v>2411</v>
      </c>
      <c r="C1163" s="1">
        <v>45467</v>
      </c>
      <c r="D1163" t="s">
        <v>3004</v>
      </c>
      <c r="E1163" t="s">
        <v>4296</v>
      </c>
      <c r="F1163" t="s">
        <v>4565</v>
      </c>
      <c r="G1163" t="s">
        <v>4575</v>
      </c>
      <c r="H1163" t="s">
        <v>4584</v>
      </c>
      <c r="I1163" t="s">
        <v>4608</v>
      </c>
      <c r="J1163">
        <v>1</v>
      </c>
      <c r="K1163">
        <v>19.62</v>
      </c>
      <c r="L1163">
        <v>0.05</v>
      </c>
      <c r="M1163">
        <v>12.45</v>
      </c>
      <c r="N1163" t="s">
        <v>5481</v>
      </c>
      <c r="O1163" t="s">
        <v>5474</v>
      </c>
      <c r="P1163" t="s">
        <v>5476</v>
      </c>
      <c r="Q1163" s="4">
        <v>18.638999999999999</v>
      </c>
    </row>
    <row r="1164" spans="1:17" x14ac:dyDescent="0.3">
      <c r="A1164" t="s">
        <v>1139</v>
      </c>
      <c r="B1164" t="s">
        <v>2412</v>
      </c>
      <c r="C1164" s="1">
        <v>45705</v>
      </c>
      <c r="D1164" t="s">
        <v>3051</v>
      </c>
      <c r="E1164" t="s">
        <v>4297</v>
      </c>
      <c r="F1164" t="s">
        <v>4569</v>
      </c>
      <c r="G1164" t="s">
        <v>4572</v>
      </c>
      <c r="H1164" t="s">
        <v>4585</v>
      </c>
      <c r="I1164" t="s">
        <v>4602</v>
      </c>
      <c r="J1164">
        <v>1</v>
      </c>
      <c r="K1164">
        <v>4.17</v>
      </c>
      <c r="L1164">
        <v>0.15</v>
      </c>
      <c r="M1164">
        <v>12.23</v>
      </c>
      <c r="N1164" t="s">
        <v>5465</v>
      </c>
      <c r="O1164" t="s">
        <v>5471</v>
      </c>
      <c r="P1164" t="s">
        <v>5476</v>
      </c>
      <c r="Q1164" s="4">
        <v>3.5444999999999998</v>
      </c>
    </row>
    <row r="1165" spans="1:17" x14ac:dyDescent="0.3">
      <c r="A1165" t="s">
        <v>1140</v>
      </c>
      <c r="B1165" t="s">
        <v>2413</v>
      </c>
      <c r="C1165" s="1">
        <v>45910</v>
      </c>
      <c r="D1165" t="s">
        <v>3063</v>
      </c>
      <c r="E1165" t="s">
        <v>4298</v>
      </c>
      <c r="F1165" t="s">
        <v>4569</v>
      </c>
      <c r="G1165" t="s">
        <v>4572</v>
      </c>
      <c r="H1165" t="s">
        <v>4584</v>
      </c>
      <c r="I1165" t="s">
        <v>4608</v>
      </c>
      <c r="J1165">
        <v>5</v>
      </c>
      <c r="K1165">
        <v>18.09</v>
      </c>
      <c r="L1165">
        <v>0</v>
      </c>
      <c r="M1165">
        <v>10.38</v>
      </c>
      <c r="N1165" t="s">
        <v>5466</v>
      </c>
      <c r="O1165" t="s">
        <v>5481</v>
      </c>
      <c r="P1165" t="s">
        <v>5477</v>
      </c>
      <c r="Q1165" s="4">
        <v>90.45</v>
      </c>
    </row>
    <row r="1166" spans="1:17" x14ac:dyDescent="0.3">
      <c r="A1166" t="s">
        <v>1141</v>
      </c>
      <c r="B1166" t="s">
        <v>2098</v>
      </c>
      <c r="C1166" s="1">
        <v>45863</v>
      </c>
      <c r="D1166" t="s">
        <v>2851</v>
      </c>
      <c r="E1166" t="s">
        <v>4299</v>
      </c>
      <c r="F1166" t="s">
        <v>4566</v>
      </c>
      <c r="G1166" t="s">
        <v>4582</v>
      </c>
      <c r="H1166" t="s">
        <v>4584</v>
      </c>
      <c r="I1166" t="s">
        <v>4589</v>
      </c>
      <c r="J1166">
        <v>1</v>
      </c>
      <c r="K1166">
        <v>35.409999999999997</v>
      </c>
      <c r="L1166">
        <v>0</v>
      </c>
      <c r="M1166">
        <v>13.38</v>
      </c>
      <c r="N1166" t="s">
        <v>5463</v>
      </c>
      <c r="O1166" t="s">
        <v>5469</v>
      </c>
      <c r="P1166" t="s">
        <v>5476</v>
      </c>
      <c r="Q1166" s="4">
        <v>35.409999999999997</v>
      </c>
    </row>
    <row r="1167" spans="1:17" x14ac:dyDescent="0.3">
      <c r="A1167" t="s">
        <v>1142</v>
      </c>
      <c r="B1167" t="s">
        <v>1464</v>
      </c>
      <c r="C1167" s="1">
        <v>45546</v>
      </c>
      <c r="D1167" t="s">
        <v>3074</v>
      </c>
      <c r="E1167" t="s">
        <v>4300</v>
      </c>
      <c r="F1167" t="s">
        <v>4569</v>
      </c>
      <c r="G1167" t="s">
        <v>4572</v>
      </c>
      <c r="H1167" t="s">
        <v>4583</v>
      </c>
      <c r="I1167" t="s">
        <v>4610</v>
      </c>
      <c r="J1167">
        <v>1</v>
      </c>
      <c r="K1167">
        <v>77.52</v>
      </c>
      <c r="L1167">
        <v>0</v>
      </c>
      <c r="M1167">
        <v>0</v>
      </c>
      <c r="N1167" t="s">
        <v>5467</v>
      </c>
      <c r="O1167" t="s">
        <v>5473</v>
      </c>
      <c r="P1167" t="s">
        <v>5477</v>
      </c>
      <c r="Q1167" s="4">
        <v>77.52</v>
      </c>
    </row>
    <row r="1168" spans="1:17" x14ac:dyDescent="0.3">
      <c r="A1168" t="s">
        <v>1143</v>
      </c>
      <c r="B1168" t="s">
        <v>2414</v>
      </c>
      <c r="C1168" s="1">
        <v>45389</v>
      </c>
      <c r="D1168" t="s">
        <v>2997</v>
      </c>
      <c r="E1168" t="s">
        <v>4301</v>
      </c>
      <c r="F1168" t="s">
        <v>4566</v>
      </c>
      <c r="G1168" t="s">
        <v>4573</v>
      </c>
      <c r="H1168" t="s">
        <v>4583</v>
      </c>
      <c r="I1168" t="s">
        <v>4610</v>
      </c>
      <c r="J1168">
        <v>10</v>
      </c>
      <c r="K1168">
        <v>80.25</v>
      </c>
      <c r="L1168">
        <v>0</v>
      </c>
      <c r="M1168">
        <v>13.78</v>
      </c>
      <c r="N1168" t="s">
        <v>5462</v>
      </c>
      <c r="O1168" t="s">
        <v>5481</v>
      </c>
      <c r="P1168" t="s">
        <v>5477</v>
      </c>
      <c r="Q1168" s="4">
        <v>802.5</v>
      </c>
    </row>
    <row r="1169" spans="1:17" x14ac:dyDescent="0.3">
      <c r="A1169" t="s">
        <v>1144</v>
      </c>
      <c r="B1169" t="s">
        <v>2109</v>
      </c>
      <c r="C1169" s="1">
        <v>45443</v>
      </c>
      <c r="D1169" t="s">
        <v>2939</v>
      </c>
      <c r="E1169" t="s">
        <v>4302</v>
      </c>
      <c r="F1169" t="s">
        <v>4565</v>
      </c>
      <c r="G1169" t="s">
        <v>4576</v>
      </c>
      <c r="H1169" t="s">
        <v>4586</v>
      </c>
      <c r="I1169" t="s">
        <v>4609</v>
      </c>
      <c r="J1169">
        <v>2</v>
      </c>
      <c r="K1169">
        <v>130.94999999999999</v>
      </c>
      <c r="L1169">
        <v>0.05</v>
      </c>
      <c r="M1169">
        <v>10.220000000000001</v>
      </c>
      <c r="N1169" t="s">
        <v>5462</v>
      </c>
      <c r="O1169" t="s">
        <v>5474</v>
      </c>
      <c r="P1169" t="s">
        <v>5477</v>
      </c>
      <c r="Q1169" s="4">
        <v>248.80499999999998</v>
      </c>
    </row>
    <row r="1170" spans="1:17" x14ac:dyDescent="0.3">
      <c r="A1170" t="s">
        <v>1145</v>
      </c>
      <c r="B1170" t="s">
        <v>2415</v>
      </c>
      <c r="C1170" s="1">
        <v>45548</v>
      </c>
      <c r="D1170" t="s">
        <v>3196</v>
      </c>
      <c r="E1170" t="s">
        <v>4303</v>
      </c>
      <c r="F1170" t="s">
        <v>4566</v>
      </c>
      <c r="G1170" t="s">
        <v>4582</v>
      </c>
      <c r="H1170" t="s">
        <v>4584</v>
      </c>
      <c r="I1170" t="s">
        <v>4603</v>
      </c>
      <c r="J1170">
        <v>10</v>
      </c>
      <c r="K1170">
        <v>9.85</v>
      </c>
      <c r="L1170">
        <v>0</v>
      </c>
      <c r="M1170">
        <v>1.62</v>
      </c>
      <c r="N1170" t="s">
        <v>5464</v>
      </c>
      <c r="O1170" t="s">
        <v>5473</v>
      </c>
      <c r="P1170" t="s">
        <v>5477</v>
      </c>
      <c r="Q1170" s="4">
        <v>98.5</v>
      </c>
    </row>
    <row r="1171" spans="1:17" x14ac:dyDescent="0.3">
      <c r="A1171" t="s">
        <v>1146</v>
      </c>
      <c r="B1171" t="s">
        <v>2416</v>
      </c>
      <c r="C1171" s="1">
        <v>45754</v>
      </c>
      <c r="D1171" t="s">
        <v>2769</v>
      </c>
      <c r="E1171" t="s">
        <v>4304</v>
      </c>
      <c r="F1171" t="s">
        <v>4564</v>
      </c>
      <c r="G1171" t="s">
        <v>4573</v>
      </c>
      <c r="H1171" t="s">
        <v>4583</v>
      </c>
      <c r="I1171" t="s">
        <v>4610</v>
      </c>
      <c r="J1171">
        <v>1</v>
      </c>
      <c r="K1171">
        <v>83.41</v>
      </c>
      <c r="L1171">
        <v>0</v>
      </c>
      <c r="M1171">
        <v>13.91</v>
      </c>
      <c r="N1171" t="s">
        <v>5481</v>
      </c>
      <c r="O1171" t="s">
        <v>5470</v>
      </c>
      <c r="P1171" t="s">
        <v>5475</v>
      </c>
      <c r="Q1171" s="4">
        <v>83.41</v>
      </c>
    </row>
    <row r="1172" spans="1:17" x14ac:dyDescent="0.3">
      <c r="A1172" t="s">
        <v>1147</v>
      </c>
      <c r="B1172" t="s">
        <v>2417</v>
      </c>
      <c r="C1172" s="1">
        <v>45466</v>
      </c>
      <c r="D1172" t="s">
        <v>3003</v>
      </c>
      <c r="E1172" t="s">
        <v>4305</v>
      </c>
      <c r="F1172" t="s">
        <v>4569</v>
      </c>
      <c r="G1172" t="s">
        <v>5481</v>
      </c>
      <c r="H1172" t="s">
        <v>4586</v>
      </c>
      <c r="I1172" t="s">
        <v>4609</v>
      </c>
      <c r="J1172">
        <v>3</v>
      </c>
      <c r="K1172">
        <v>123.07</v>
      </c>
      <c r="L1172">
        <v>0</v>
      </c>
      <c r="M1172">
        <v>1.61</v>
      </c>
      <c r="N1172" t="s">
        <v>5462</v>
      </c>
      <c r="O1172" t="s">
        <v>5470</v>
      </c>
      <c r="P1172" t="s">
        <v>5477</v>
      </c>
      <c r="Q1172" s="4">
        <v>369.21</v>
      </c>
    </row>
    <row r="1173" spans="1:17" x14ac:dyDescent="0.3">
      <c r="A1173" t="s">
        <v>1148</v>
      </c>
      <c r="B1173" t="s">
        <v>2418</v>
      </c>
      <c r="C1173" s="1">
        <v>45913</v>
      </c>
      <c r="D1173" t="s">
        <v>2819</v>
      </c>
      <c r="E1173" t="s">
        <v>5481</v>
      </c>
      <c r="F1173" t="s">
        <v>4569</v>
      </c>
      <c r="G1173" t="s">
        <v>5481</v>
      </c>
      <c r="H1173" t="s">
        <v>4586</v>
      </c>
      <c r="I1173" t="s">
        <v>4599</v>
      </c>
      <c r="J1173">
        <v>5</v>
      </c>
      <c r="K1173">
        <v>236.78</v>
      </c>
      <c r="L1173">
        <v>0.1</v>
      </c>
      <c r="M1173">
        <v>12.13</v>
      </c>
      <c r="N1173" t="s">
        <v>5468</v>
      </c>
      <c r="O1173" t="s">
        <v>5470</v>
      </c>
      <c r="P1173" t="s">
        <v>5477</v>
      </c>
      <c r="Q1173" s="4">
        <v>1065.5100000000002</v>
      </c>
    </row>
    <row r="1174" spans="1:17" x14ac:dyDescent="0.3">
      <c r="A1174" t="s">
        <v>1149</v>
      </c>
      <c r="B1174" t="s">
        <v>2419</v>
      </c>
      <c r="C1174" s="1">
        <v>45307</v>
      </c>
      <c r="D1174" t="s">
        <v>3026</v>
      </c>
      <c r="E1174" t="s">
        <v>4306</v>
      </c>
      <c r="F1174" t="s">
        <v>4549</v>
      </c>
      <c r="G1174" t="s">
        <v>4573</v>
      </c>
      <c r="H1174" t="s">
        <v>4584</v>
      </c>
      <c r="I1174" t="s">
        <v>4601</v>
      </c>
      <c r="J1174">
        <v>1</v>
      </c>
      <c r="K1174">
        <v>190.75</v>
      </c>
      <c r="L1174">
        <v>0</v>
      </c>
      <c r="M1174">
        <v>12.61</v>
      </c>
      <c r="N1174" t="s">
        <v>5463</v>
      </c>
      <c r="O1174" t="s">
        <v>5470</v>
      </c>
      <c r="P1174" t="s">
        <v>5477</v>
      </c>
      <c r="Q1174" s="4">
        <v>190.75</v>
      </c>
    </row>
    <row r="1175" spans="1:17" x14ac:dyDescent="0.3">
      <c r="A1175" t="s">
        <v>1150</v>
      </c>
      <c r="B1175" t="s">
        <v>2420</v>
      </c>
      <c r="C1175" s="1">
        <v>45410</v>
      </c>
      <c r="D1175" t="s">
        <v>2928</v>
      </c>
      <c r="E1175" t="s">
        <v>4307</v>
      </c>
      <c r="F1175" t="s">
        <v>4549</v>
      </c>
      <c r="G1175" t="s">
        <v>4573</v>
      </c>
      <c r="H1175" t="s">
        <v>4583</v>
      </c>
      <c r="I1175" t="s">
        <v>4588</v>
      </c>
      <c r="J1175">
        <v>1</v>
      </c>
      <c r="K1175">
        <v>39.42</v>
      </c>
      <c r="L1175">
        <v>0.1</v>
      </c>
      <c r="M1175">
        <v>1.53</v>
      </c>
      <c r="N1175" t="s">
        <v>5466</v>
      </c>
      <c r="O1175" t="s">
        <v>5474</v>
      </c>
      <c r="P1175" t="s">
        <v>5475</v>
      </c>
      <c r="Q1175" s="4">
        <v>35.478000000000002</v>
      </c>
    </row>
    <row r="1176" spans="1:17" x14ac:dyDescent="0.3">
      <c r="A1176" t="s">
        <v>1151</v>
      </c>
      <c r="B1176" t="s">
        <v>2421</v>
      </c>
      <c r="C1176" s="1">
        <v>45896</v>
      </c>
      <c r="D1176" t="s">
        <v>2632</v>
      </c>
      <c r="E1176" t="s">
        <v>4308</v>
      </c>
      <c r="F1176" t="s">
        <v>4569</v>
      </c>
      <c r="G1176" t="s">
        <v>4572</v>
      </c>
      <c r="H1176" t="s">
        <v>4587</v>
      </c>
      <c r="I1176" t="s">
        <v>4594</v>
      </c>
      <c r="J1176">
        <v>1</v>
      </c>
      <c r="K1176">
        <v>57.83</v>
      </c>
      <c r="L1176">
        <v>0</v>
      </c>
      <c r="M1176">
        <v>0</v>
      </c>
      <c r="N1176" t="s">
        <v>5462</v>
      </c>
      <c r="O1176" t="s">
        <v>5473</v>
      </c>
      <c r="P1176" t="s">
        <v>5477</v>
      </c>
      <c r="Q1176" s="4">
        <v>57.83</v>
      </c>
    </row>
    <row r="1177" spans="1:17" x14ac:dyDescent="0.3">
      <c r="A1177" t="s">
        <v>1152</v>
      </c>
      <c r="B1177" t="s">
        <v>2422</v>
      </c>
      <c r="C1177" s="1">
        <v>45300</v>
      </c>
      <c r="D1177" t="s">
        <v>2708</v>
      </c>
      <c r="E1177" t="s">
        <v>4309</v>
      </c>
      <c r="F1177" t="s">
        <v>4549</v>
      </c>
      <c r="G1177" t="s">
        <v>4574</v>
      </c>
      <c r="H1177" t="s">
        <v>4587</v>
      </c>
      <c r="I1177" t="s">
        <v>4594</v>
      </c>
      <c r="J1177">
        <v>3</v>
      </c>
      <c r="K1177">
        <v>58.16</v>
      </c>
      <c r="L1177">
        <v>0.1</v>
      </c>
      <c r="M1177">
        <v>1.91</v>
      </c>
      <c r="N1177" t="s">
        <v>5462</v>
      </c>
      <c r="O1177" t="s">
        <v>5469</v>
      </c>
      <c r="P1177" t="s">
        <v>5475</v>
      </c>
      <c r="Q1177" s="4">
        <v>157.03199999999998</v>
      </c>
    </row>
    <row r="1178" spans="1:17" x14ac:dyDescent="0.3">
      <c r="A1178" t="s">
        <v>1153</v>
      </c>
      <c r="B1178" t="s">
        <v>1602</v>
      </c>
      <c r="C1178" s="1">
        <v>45771</v>
      </c>
      <c r="D1178" t="s">
        <v>2754</v>
      </c>
      <c r="E1178" t="s">
        <v>4310</v>
      </c>
      <c r="F1178" t="s">
        <v>4549</v>
      </c>
      <c r="G1178" t="s">
        <v>4574</v>
      </c>
      <c r="H1178" t="s">
        <v>4587</v>
      </c>
      <c r="I1178" t="s">
        <v>4606</v>
      </c>
      <c r="J1178">
        <v>1</v>
      </c>
      <c r="K1178">
        <v>28.94</v>
      </c>
      <c r="L1178">
        <v>0.1</v>
      </c>
      <c r="M1178">
        <v>0</v>
      </c>
      <c r="N1178" t="s">
        <v>5463</v>
      </c>
      <c r="O1178" t="s">
        <v>5472</v>
      </c>
      <c r="P1178" t="s">
        <v>5477</v>
      </c>
      <c r="Q1178" s="4">
        <v>26.046000000000003</v>
      </c>
    </row>
    <row r="1179" spans="1:17" x14ac:dyDescent="0.3">
      <c r="A1179" t="s">
        <v>1154</v>
      </c>
      <c r="B1179" t="s">
        <v>2423</v>
      </c>
      <c r="C1179" s="1">
        <v>45573</v>
      </c>
      <c r="D1179" t="s">
        <v>3072</v>
      </c>
      <c r="E1179" t="s">
        <v>4311</v>
      </c>
      <c r="F1179" t="s">
        <v>4565</v>
      </c>
      <c r="G1179" t="s">
        <v>4575</v>
      </c>
      <c r="H1179" t="s">
        <v>4584</v>
      </c>
      <c r="I1179" t="s">
        <v>4608</v>
      </c>
      <c r="J1179">
        <v>5</v>
      </c>
      <c r="K1179">
        <v>19.79</v>
      </c>
      <c r="L1179">
        <v>0</v>
      </c>
      <c r="M1179">
        <v>13.74</v>
      </c>
      <c r="N1179" t="s">
        <v>5462</v>
      </c>
      <c r="O1179" t="s">
        <v>5473</v>
      </c>
      <c r="P1179" t="s">
        <v>5477</v>
      </c>
      <c r="Q1179" s="4">
        <v>98.949999999999989</v>
      </c>
    </row>
    <row r="1180" spans="1:17" x14ac:dyDescent="0.3">
      <c r="A1180" t="s">
        <v>1155</v>
      </c>
      <c r="B1180" t="s">
        <v>2424</v>
      </c>
      <c r="C1180" s="1">
        <v>45486</v>
      </c>
      <c r="D1180" t="s">
        <v>2726</v>
      </c>
      <c r="E1180" t="s">
        <v>4312</v>
      </c>
      <c r="F1180" t="s">
        <v>4569</v>
      </c>
      <c r="G1180" t="s">
        <v>4572</v>
      </c>
      <c r="H1180" t="s">
        <v>4586</v>
      </c>
      <c r="I1180" t="s">
        <v>4597</v>
      </c>
      <c r="J1180">
        <v>2</v>
      </c>
      <c r="K1180">
        <v>91.91</v>
      </c>
      <c r="L1180">
        <v>0.05</v>
      </c>
      <c r="M1180">
        <v>0.02</v>
      </c>
      <c r="N1180" t="s">
        <v>5465</v>
      </c>
      <c r="O1180" t="s">
        <v>5481</v>
      </c>
      <c r="P1180" t="s">
        <v>5477</v>
      </c>
      <c r="Q1180" s="4">
        <v>174.62899999999999</v>
      </c>
    </row>
    <row r="1181" spans="1:17" x14ac:dyDescent="0.3">
      <c r="A1181" t="s">
        <v>1156</v>
      </c>
      <c r="B1181" t="s">
        <v>2425</v>
      </c>
      <c r="C1181" s="1">
        <v>45430</v>
      </c>
      <c r="D1181" t="s">
        <v>3120</v>
      </c>
      <c r="E1181" t="s">
        <v>4313</v>
      </c>
      <c r="F1181" t="s">
        <v>4549</v>
      </c>
      <c r="G1181" t="s">
        <v>4573</v>
      </c>
      <c r="H1181" t="s">
        <v>4584</v>
      </c>
      <c r="I1181" t="s">
        <v>4608</v>
      </c>
      <c r="J1181">
        <v>10</v>
      </c>
      <c r="K1181">
        <v>18.46</v>
      </c>
      <c r="L1181">
        <v>0.15</v>
      </c>
      <c r="M1181">
        <v>4.6500000000000004</v>
      </c>
      <c r="N1181" t="s">
        <v>5462</v>
      </c>
      <c r="O1181" t="s">
        <v>5474</v>
      </c>
      <c r="P1181" t="s">
        <v>5479</v>
      </c>
      <c r="Q1181" s="4">
        <v>156.91000000000003</v>
      </c>
    </row>
    <row r="1182" spans="1:17" x14ac:dyDescent="0.3">
      <c r="A1182" t="s">
        <v>1060</v>
      </c>
      <c r="B1182" t="s">
        <v>2345</v>
      </c>
      <c r="C1182" s="1">
        <v>45316</v>
      </c>
      <c r="D1182" t="s">
        <v>2990</v>
      </c>
      <c r="E1182" t="s">
        <v>4227</v>
      </c>
      <c r="F1182" t="s">
        <v>4564</v>
      </c>
      <c r="G1182" t="s">
        <v>4573</v>
      </c>
      <c r="H1182" t="s">
        <v>4587</v>
      </c>
      <c r="I1182" t="s">
        <v>4606</v>
      </c>
      <c r="J1182">
        <v>2</v>
      </c>
      <c r="K1182">
        <v>31.24</v>
      </c>
      <c r="L1182">
        <v>0.05</v>
      </c>
      <c r="M1182">
        <v>3.11</v>
      </c>
      <c r="N1182" t="s">
        <v>5466</v>
      </c>
      <c r="O1182" t="s">
        <v>5469</v>
      </c>
      <c r="P1182" t="s">
        <v>5479</v>
      </c>
      <c r="Q1182" s="4">
        <v>59.355999999999995</v>
      </c>
    </row>
    <row r="1183" spans="1:17" x14ac:dyDescent="0.3">
      <c r="A1183" t="s">
        <v>1157</v>
      </c>
      <c r="B1183" t="s">
        <v>1849</v>
      </c>
      <c r="C1183" s="1">
        <v>45731</v>
      </c>
      <c r="D1183" t="s">
        <v>3105</v>
      </c>
      <c r="E1183" t="s">
        <v>4314</v>
      </c>
      <c r="F1183" t="s">
        <v>4566</v>
      </c>
      <c r="G1183" t="s">
        <v>4573</v>
      </c>
      <c r="H1183" t="s">
        <v>4584</v>
      </c>
      <c r="I1183" t="s">
        <v>4589</v>
      </c>
      <c r="J1183">
        <v>1</v>
      </c>
      <c r="K1183">
        <v>33.93</v>
      </c>
      <c r="L1183">
        <v>0.1</v>
      </c>
      <c r="M1183">
        <v>3.07</v>
      </c>
      <c r="N1183" t="s">
        <v>5467</v>
      </c>
      <c r="O1183" t="s">
        <v>5472</v>
      </c>
      <c r="P1183" t="s">
        <v>5477</v>
      </c>
      <c r="Q1183" s="4">
        <v>30.536999999999999</v>
      </c>
    </row>
    <row r="1184" spans="1:17" x14ac:dyDescent="0.3">
      <c r="A1184" t="s">
        <v>1158</v>
      </c>
      <c r="B1184" t="s">
        <v>2073</v>
      </c>
      <c r="C1184" s="1">
        <v>45370</v>
      </c>
      <c r="D1184" t="s">
        <v>2634</v>
      </c>
      <c r="E1184" t="s">
        <v>4315</v>
      </c>
      <c r="F1184" t="s">
        <v>4565</v>
      </c>
      <c r="G1184" t="s">
        <v>4579</v>
      </c>
      <c r="H1184" t="s">
        <v>4587</v>
      </c>
      <c r="I1184" t="s">
        <v>4594</v>
      </c>
      <c r="J1184">
        <v>2</v>
      </c>
      <c r="K1184">
        <v>57.47</v>
      </c>
      <c r="L1184">
        <v>0</v>
      </c>
      <c r="M1184">
        <v>6.37</v>
      </c>
      <c r="N1184" t="s">
        <v>5466</v>
      </c>
      <c r="O1184" t="s">
        <v>5473</v>
      </c>
      <c r="P1184" t="s">
        <v>5479</v>
      </c>
      <c r="Q1184" s="4">
        <v>114.94</v>
      </c>
    </row>
    <row r="1185" spans="1:17" x14ac:dyDescent="0.3">
      <c r="A1185" t="s">
        <v>1159</v>
      </c>
      <c r="B1185" t="s">
        <v>2426</v>
      </c>
      <c r="C1185" s="1">
        <v>45302</v>
      </c>
      <c r="D1185" t="s">
        <v>3197</v>
      </c>
      <c r="E1185" t="s">
        <v>4316</v>
      </c>
      <c r="F1185" t="s">
        <v>4564</v>
      </c>
      <c r="G1185" t="s">
        <v>4578</v>
      </c>
      <c r="H1185" t="s">
        <v>4586</v>
      </c>
      <c r="I1185" t="s">
        <v>4599</v>
      </c>
      <c r="J1185">
        <v>5</v>
      </c>
      <c r="K1185">
        <v>237.18</v>
      </c>
      <c r="L1185">
        <v>0.15</v>
      </c>
      <c r="M1185">
        <v>2.92</v>
      </c>
      <c r="N1185" t="s">
        <v>5462</v>
      </c>
      <c r="O1185" t="s">
        <v>5472</v>
      </c>
      <c r="P1185" t="s">
        <v>5477</v>
      </c>
      <c r="Q1185" s="4">
        <v>1008.0150000000001</v>
      </c>
    </row>
    <row r="1186" spans="1:17" x14ac:dyDescent="0.3">
      <c r="A1186" t="s">
        <v>1160</v>
      </c>
      <c r="B1186" t="s">
        <v>2344</v>
      </c>
      <c r="C1186" s="1">
        <v>45835</v>
      </c>
      <c r="D1186" t="s">
        <v>3198</v>
      </c>
      <c r="E1186" t="s">
        <v>4317</v>
      </c>
      <c r="F1186" t="s">
        <v>4569</v>
      </c>
      <c r="G1186" t="s">
        <v>5481</v>
      </c>
      <c r="H1186" t="s">
        <v>4583</v>
      </c>
      <c r="I1186" t="s">
        <v>4605</v>
      </c>
      <c r="J1186">
        <v>1</v>
      </c>
      <c r="K1186">
        <v>42.94</v>
      </c>
      <c r="L1186">
        <v>0</v>
      </c>
      <c r="M1186">
        <v>6.03</v>
      </c>
      <c r="N1186" t="s">
        <v>5481</v>
      </c>
      <c r="O1186" t="s">
        <v>5469</v>
      </c>
      <c r="P1186" t="s">
        <v>5477</v>
      </c>
      <c r="Q1186" s="4">
        <v>42.94</v>
      </c>
    </row>
    <row r="1187" spans="1:17" x14ac:dyDescent="0.3">
      <c r="A1187" t="s">
        <v>1161</v>
      </c>
      <c r="B1187" t="s">
        <v>2427</v>
      </c>
      <c r="C1187" s="1">
        <v>45837</v>
      </c>
      <c r="D1187" t="s">
        <v>3199</v>
      </c>
      <c r="E1187" t="s">
        <v>4318</v>
      </c>
      <c r="F1187" t="s">
        <v>4569</v>
      </c>
      <c r="G1187" t="s">
        <v>4581</v>
      </c>
      <c r="H1187" t="s">
        <v>4583</v>
      </c>
      <c r="I1187" t="s">
        <v>4604</v>
      </c>
      <c r="J1187">
        <v>3</v>
      </c>
      <c r="K1187">
        <v>22</v>
      </c>
      <c r="L1187">
        <v>0.15</v>
      </c>
      <c r="M1187">
        <v>12</v>
      </c>
      <c r="N1187" t="s">
        <v>5466</v>
      </c>
      <c r="O1187" t="s">
        <v>5474</v>
      </c>
      <c r="P1187" t="s">
        <v>5477</v>
      </c>
      <c r="Q1187" s="4">
        <v>56.1</v>
      </c>
    </row>
    <row r="1188" spans="1:17" x14ac:dyDescent="0.3">
      <c r="A1188" t="s">
        <v>1162</v>
      </c>
      <c r="B1188" t="s">
        <v>1725</v>
      </c>
      <c r="C1188" s="1">
        <v>45667</v>
      </c>
      <c r="D1188" t="s">
        <v>2650</v>
      </c>
      <c r="E1188" t="s">
        <v>4319</v>
      </c>
      <c r="F1188" t="s">
        <v>4564</v>
      </c>
      <c r="G1188" t="s">
        <v>4573</v>
      </c>
      <c r="H1188" t="s">
        <v>5481</v>
      </c>
      <c r="I1188" t="s">
        <v>4596</v>
      </c>
      <c r="J1188">
        <v>5</v>
      </c>
      <c r="K1188">
        <v>14.79</v>
      </c>
      <c r="L1188">
        <v>0.1</v>
      </c>
      <c r="M1188">
        <v>3.29</v>
      </c>
      <c r="N1188" t="s">
        <v>5463</v>
      </c>
      <c r="O1188" t="s">
        <v>5481</v>
      </c>
      <c r="P1188" t="s">
        <v>5477</v>
      </c>
      <c r="Q1188" s="4">
        <v>66.554999999999993</v>
      </c>
    </row>
    <row r="1189" spans="1:17" x14ac:dyDescent="0.3">
      <c r="A1189" t="s">
        <v>1163</v>
      </c>
      <c r="B1189" t="s">
        <v>2428</v>
      </c>
      <c r="C1189" s="1">
        <v>45498</v>
      </c>
      <c r="D1189" t="s">
        <v>2764</v>
      </c>
      <c r="E1189" t="s">
        <v>5481</v>
      </c>
      <c r="F1189" t="s">
        <v>4565</v>
      </c>
      <c r="G1189" t="s">
        <v>4575</v>
      </c>
      <c r="H1189" t="s">
        <v>4584</v>
      </c>
      <c r="I1189" t="s">
        <v>4595</v>
      </c>
      <c r="J1189">
        <v>1</v>
      </c>
      <c r="K1189">
        <v>42.19</v>
      </c>
      <c r="L1189">
        <v>0.05</v>
      </c>
      <c r="M1189">
        <v>0.63</v>
      </c>
      <c r="N1189" t="s">
        <v>5462</v>
      </c>
      <c r="O1189" t="s">
        <v>5470</v>
      </c>
      <c r="P1189" t="s">
        <v>5476</v>
      </c>
      <c r="Q1189" s="4">
        <v>40.080499999999994</v>
      </c>
    </row>
    <row r="1190" spans="1:17" x14ac:dyDescent="0.3">
      <c r="A1190" t="s">
        <v>1164</v>
      </c>
      <c r="B1190" t="s">
        <v>2429</v>
      </c>
      <c r="C1190" s="1">
        <v>45654</v>
      </c>
      <c r="D1190" t="s">
        <v>2630</v>
      </c>
      <c r="E1190" t="s">
        <v>4320</v>
      </c>
      <c r="F1190" t="s">
        <v>4569</v>
      </c>
      <c r="G1190" t="s">
        <v>4581</v>
      </c>
      <c r="H1190" t="s">
        <v>4586</v>
      </c>
      <c r="I1190" t="s">
        <v>4593</v>
      </c>
      <c r="J1190">
        <v>10</v>
      </c>
      <c r="K1190">
        <v>109.3</v>
      </c>
      <c r="L1190">
        <v>0</v>
      </c>
      <c r="M1190">
        <v>8.44</v>
      </c>
      <c r="N1190" t="s">
        <v>5467</v>
      </c>
      <c r="O1190" t="s">
        <v>5481</v>
      </c>
      <c r="P1190" t="s">
        <v>5477</v>
      </c>
      <c r="Q1190" s="4">
        <v>1093</v>
      </c>
    </row>
    <row r="1191" spans="1:17" x14ac:dyDescent="0.3">
      <c r="A1191" t="s">
        <v>1165</v>
      </c>
      <c r="B1191" t="s">
        <v>2430</v>
      </c>
      <c r="C1191" s="1">
        <v>45910</v>
      </c>
      <c r="D1191" t="s">
        <v>2754</v>
      </c>
      <c r="E1191" t="s">
        <v>4321</v>
      </c>
      <c r="F1191" t="s">
        <v>4564</v>
      </c>
      <c r="G1191" t="s">
        <v>4573</v>
      </c>
      <c r="H1191" t="s">
        <v>4587</v>
      </c>
      <c r="I1191" t="s">
        <v>4606</v>
      </c>
      <c r="J1191">
        <v>2</v>
      </c>
      <c r="K1191">
        <v>31.1</v>
      </c>
      <c r="L1191">
        <v>0</v>
      </c>
      <c r="M1191">
        <v>3.59</v>
      </c>
      <c r="N1191" t="s">
        <v>5465</v>
      </c>
      <c r="O1191" t="s">
        <v>5481</v>
      </c>
      <c r="P1191" t="s">
        <v>5479</v>
      </c>
      <c r="Q1191" s="4">
        <v>62.2</v>
      </c>
    </row>
    <row r="1192" spans="1:17" x14ac:dyDescent="0.3">
      <c r="A1192" t="s">
        <v>1166</v>
      </c>
      <c r="B1192" t="s">
        <v>2431</v>
      </c>
      <c r="C1192" s="1">
        <v>45879</v>
      </c>
      <c r="D1192" t="s">
        <v>3014</v>
      </c>
      <c r="E1192" t="s">
        <v>5481</v>
      </c>
      <c r="F1192" t="s">
        <v>4569</v>
      </c>
      <c r="G1192" t="s">
        <v>4581</v>
      </c>
      <c r="H1192" t="s">
        <v>4586</v>
      </c>
      <c r="I1192" t="s">
        <v>4609</v>
      </c>
      <c r="J1192">
        <v>5</v>
      </c>
      <c r="K1192">
        <v>126.07</v>
      </c>
      <c r="L1192">
        <v>0</v>
      </c>
      <c r="M1192">
        <v>13.57</v>
      </c>
      <c r="N1192" t="s">
        <v>5468</v>
      </c>
      <c r="O1192" t="s">
        <v>5473</v>
      </c>
      <c r="P1192" t="s">
        <v>5477</v>
      </c>
      <c r="Q1192" s="4">
        <v>630.34999999999991</v>
      </c>
    </row>
    <row r="1193" spans="1:17" x14ac:dyDescent="0.3">
      <c r="A1193" t="s">
        <v>45</v>
      </c>
      <c r="B1193" t="s">
        <v>1445</v>
      </c>
      <c r="C1193" s="1">
        <v>45418</v>
      </c>
      <c r="D1193" t="s">
        <v>2796</v>
      </c>
      <c r="E1193" t="s">
        <v>3292</v>
      </c>
      <c r="F1193" t="s">
        <v>4569</v>
      </c>
      <c r="G1193" t="s">
        <v>4580</v>
      </c>
      <c r="H1193" t="s">
        <v>4586</v>
      </c>
      <c r="I1193" t="s">
        <v>4599</v>
      </c>
      <c r="J1193">
        <v>1</v>
      </c>
      <c r="K1193">
        <v>246.56</v>
      </c>
      <c r="L1193">
        <v>0.1</v>
      </c>
      <c r="M1193">
        <v>9.85</v>
      </c>
      <c r="N1193" t="s">
        <v>5463</v>
      </c>
      <c r="O1193" t="s">
        <v>5473</v>
      </c>
      <c r="P1193" t="s">
        <v>5476</v>
      </c>
      <c r="Q1193" s="4">
        <v>221.904</v>
      </c>
    </row>
    <row r="1194" spans="1:17" x14ac:dyDescent="0.3">
      <c r="A1194" t="s">
        <v>1167</v>
      </c>
      <c r="B1194" t="s">
        <v>2432</v>
      </c>
      <c r="C1194" s="1">
        <v>45671</v>
      </c>
      <c r="D1194" t="s">
        <v>2674</v>
      </c>
      <c r="E1194" t="s">
        <v>4322</v>
      </c>
      <c r="F1194" t="s">
        <v>4565</v>
      </c>
      <c r="G1194" t="s">
        <v>4579</v>
      </c>
      <c r="H1194" t="s">
        <v>4585</v>
      </c>
      <c r="I1194" t="s">
        <v>4602</v>
      </c>
      <c r="J1194">
        <v>1</v>
      </c>
      <c r="K1194">
        <v>4.07</v>
      </c>
      <c r="L1194">
        <v>0</v>
      </c>
      <c r="M1194">
        <v>2.02</v>
      </c>
      <c r="N1194" t="s">
        <v>5462</v>
      </c>
      <c r="O1194" t="s">
        <v>5481</v>
      </c>
      <c r="P1194" t="s">
        <v>5477</v>
      </c>
      <c r="Q1194" s="4">
        <v>4.07</v>
      </c>
    </row>
    <row r="1195" spans="1:17" x14ac:dyDescent="0.3">
      <c r="A1195" t="s">
        <v>1168</v>
      </c>
      <c r="B1195" t="s">
        <v>2433</v>
      </c>
      <c r="C1195" s="1">
        <v>45393</v>
      </c>
      <c r="D1195" t="s">
        <v>3003</v>
      </c>
      <c r="E1195" t="s">
        <v>4323</v>
      </c>
      <c r="F1195" t="s">
        <v>4566</v>
      </c>
      <c r="G1195" t="s">
        <v>4582</v>
      </c>
      <c r="H1195" t="s">
        <v>4584</v>
      </c>
      <c r="I1195" t="s">
        <v>4608</v>
      </c>
      <c r="J1195">
        <v>1</v>
      </c>
      <c r="K1195">
        <v>18.29</v>
      </c>
      <c r="L1195">
        <v>0</v>
      </c>
      <c r="M1195">
        <v>4.5199999999999996</v>
      </c>
      <c r="N1195" t="s">
        <v>5481</v>
      </c>
      <c r="O1195" t="s">
        <v>5481</v>
      </c>
      <c r="P1195" t="s">
        <v>5477</v>
      </c>
      <c r="Q1195" s="4">
        <v>18.29</v>
      </c>
    </row>
    <row r="1196" spans="1:17" x14ac:dyDescent="0.3">
      <c r="A1196" t="s">
        <v>1169</v>
      </c>
      <c r="B1196" t="s">
        <v>2434</v>
      </c>
      <c r="C1196" s="1">
        <v>45644</v>
      </c>
      <c r="D1196" t="s">
        <v>2966</v>
      </c>
      <c r="E1196" t="s">
        <v>4324</v>
      </c>
      <c r="F1196" t="s">
        <v>4549</v>
      </c>
      <c r="G1196" t="s">
        <v>4573</v>
      </c>
      <c r="H1196" t="s">
        <v>4586</v>
      </c>
      <c r="I1196" t="s">
        <v>4599</v>
      </c>
      <c r="J1196">
        <v>3</v>
      </c>
      <c r="K1196">
        <v>253.53</v>
      </c>
      <c r="L1196">
        <v>0.1</v>
      </c>
      <c r="N1196" t="s">
        <v>5467</v>
      </c>
      <c r="O1196" t="s">
        <v>5474</v>
      </c>
      <c r="P1196" t="s">
        <v>5477</v>
      </c>
      <c r="Q1196" s="4">
        <v>684.53100000000006</v>
      </c>
    </row>
    <row r="1197" spans="1:17" x14ac:dyDescent="0.3">
      <c r="A1197" t="s">
        <v>1170</v>
      </c>
      <c r="B1197" t="s">
        <v>2435</v>
      </c>
      <c r="C1197" s="1">
        <v>45403</v>
      </c>
      <c r="D1197" t="s">
        <v>2754</v>
      </c>
      <c r="E1197" t="s">
        <v>4325</v>
      </c>
      <c r="F1197" t="s">
        <v>4569</v>
      </c>
      <c r="G1197" t="s">
        <v>4581</v>
      </c>
      <c r="H1197" t="s">
        <v>4584</v>
      </c>
      <c r="I1197" t="s">
        <v>4595</v>
      </c>
      <c r="J1197">
        <v>2</v>
      </c>
      <c r="K1197">
        <v>43.78</v>
      </c>
      <c r="L1197">
        <v>0.05</v>
      </c>
      <c r="M1197">
        <v>3.64</v>
      </c>
      <c r="N1197" t="s">
        <v>5463</v>
      </c>
      <c r="O1197" t="s">
        <v>5471</v>
      </c>
      <c r="P1197" t="s">
        <v>5477</v>
      </c>
      <c r="Q1197" s="4">
        <v>83.182000000000002</v>
      </c>
    </row>
    <row r="1198" spans="1:17" x14ac:dyDescent="0.3">
      <c r="A1198" t="s">
        <v>1171</v>
      </c>
      <c r="B1198" t="s">
        <v>2436</v>
      </c>
      <c r="C1198" s="1">
        <v>45948</v>
      </c>
      <c r="D1198" t="s">
        <v>2768</v>
      </c>
      <c r="E1198" t="s">
        <v>4326</v>
      </c>
      <c r="F1198" t="s">
        <v>4564</v>
      </c>
      <c r="G1198" t="s">
        <v>4573</v>
      </c>
      <c r="H1198" t="s">
        <v>4583</v>
      </c>
      <c r="I1198" t="s">
        <v>4604</v>
      </c>
      <c r="J1198">
        <v>10</v>
      </c>
      <c r="K1198">
        <v>23.04</v>
      </c>
      <c r="L1198">
        <v>0</v>
      </c>
      <c r="M1198">
        <v>7.71</v>
      </c>
      <c r="N1198" t="s">
        <v>5462</v>
      </c>
      <c r="O1198" t="s">
        <v>5469</v>
      </c>
      <c r="P1198" t="s">
        <v>5476</v>
      </c>
      <c r="Q1198" s="4">
        <v>230.39999999999998</v>
      </c>
    </row>
    <row r="1199" spans="1:17" x14ac:dyDescent="0.3">
      <c r="A1199" t="s">
        <v>1172</v>
      </c>
      <c r="B1199" t="s">
        <v>2437</v>
      </c>
      <c r="C1199" s="1">
        <v>45591</v>
      </c>
      <c r="D1199" t="s">
        <v>3091</v>
      </c>
      <c r="E1199" t="s">
        <v>4327</v>
      </c>
      <c r="F1199" t="s">
        <v>4549</v>
      </c>
      <c r="G1199" t="s">
        <v>4574</v>
      </c>
      <c r="H1199" t="s">
        <v>4587</v>
      </c>
      <c r="I1199" t="s">
        <v>4594</v>
      </c>
      <c r="J1199">
        <v>3</v>
      </c>
      <c r="K1199">
        <v>61.36</v>
      </c>
      <c r="L1199">
        <v>0</v>
      </c>
      <c r="M1199">
        <v>10.25</v>
      </c>
      <c r="N1199" t="s">
        <v>5463</v>
      </c>
      <c r="O1199" t="s">
        <v>5472</v>
      </c>
      <c r="P1199" t="s">
        <v>5477</v>
      </c>
      <c r="Q1199" s="4">
        <v>184.07999999999998</v>
      </c>
    </row>
    <row r="1200" spans="1:17" x14ac:dyDescent="0.3">
      <c r="A1200" t="s">
        <v>1173</v>
      </c>
      <c r="B1200" t="s">
        <v>2438</v>
      </c>
      <c r="C1200" s="1">
        <v>45686</v>
      </c>
      <c r="D1200" t="s">
        <v>3021</v>
      </c>
      <c r="E1200" t="s">
        <v>4328</v>
      </c>
      <c r="F1200" t="s">
        <v>4549</v>
      </c>
      <c r="G1200" t="s">
        <v>4574</v>
      </c>
      <c r="H1200" t="s">
        <v>4583</v>
      </c>
      <c r="I1200" t="s">
        <v>4604</v>
      </c>
      <c r="J1200">
        <v>1</v>
      </c>
      <c r="K1200">
        <v>22.49</v>
      </c>
      <c r="L1200">
        <v>0.05</v>
      </c>
      <c r="M1200">
        <v>0.51</v>
      </c>
      <c r="N1200" t="s">
        <v>5465</v>
      </c>
      <c r="O1200" t="s">
        <v>5469</v>
      </c>
      <c r="P1200" t="s">
        <v>5477</v>
      </c>
      <c r="Q1200" s="4">
        <v>21.365499999999997</v>
      </c>
    </row>
    <row r="1201" spans="1:17" x14ac:dyDescent="0.3">
      <c r="A1201" t="s">
        <v>1174</v>
      </c>
      <c r="B1201" t="s">
        <v>2439</v>
      </c>
      <c r="C1201" s="1">
        <v>46005</v>
      </c>
      <c r="D1201" t="s">
        <v>3205</v>
      </c>
      <c r="E1201" t="s">
        <v>4329</v>
      </c>
      <c r="F1201" t="s">
        <v>4566</v>
      </c>
      <c r="G1201" t="s">
        <v>4573</v>
      </c>
      <c r="H1201" t="s">
        <v>4587</v>
      </c>
      <c r="I1201" t="s">
        <v>4596</v>
      </c>
      <c r="J1201">
        <v>1</v>
      </c>
      <c r="K1201">
        <v>14.66</v>
      </c>
      <c r="L1201">
        <v>0</v>
      </c>
      <c r="M1201">
        <v>5.65</v>
      </c>
      <c r="N1201" t="s">
        <v>5481</v>
      </c>
      <c r="O1201" t="s">
        <v>5474</v>
      </c>
      <c r="P1201" t="s">
        <v>5477</v>
      </c>
      <c r="Q1201" s="4">
        <v>14.66</v>
      </c>
    </row>
    <row r="1202" spans="1:17" x14ac:dyDescent="0.3">
      <c r="A1202" t="s">
        <v>1175</v>
      </c>
      <c r="B1202" t="s">
        <v>2440</v>
      </c>
      <c r="C1202" s="1">
        <v>45828</v>
      </c>
      <c r="D1202" t="s">
        <v>2919</v>
      </c>
      <c r="E1202" t="s">
        <v>4330</v>
      </c>
      <c r="F1202" t="s">
        <v>4565</v>
      </c>
      <c r="G1202" t="s">
        <v>4579</v>
      </c>
      <c r="H1202" t="s">
        <v>4584</v>
      </c>
      <c r="I1202" t="s">
        <v>4601</v>
      </c>
      <c r="J1202">
        <v>1</v>
      </c>
      <c r="K1202">
        <v>190.02</v>
      </c>
      <c r="L1202">
        <v>0</v>
      </c>
      <c r="M1202">
        <v>0</v>
      </c>
      <c r="N1202" t="s">
        <v>5468</v>
      </c>
      <c r="O1202" t="s">
        <v>5472</v>
      </c>
      <c r="P1202" t="s">
        <v>5477</v>
      </c>
      <c r="Q1202" s="4">
        <v>190.02</v>
      </c>
    </row>
    <row r="1203" spans="1:17" x14ac:dyDescent="0.3">
      <c r="A1203" t="s">
        <v>1176</v>
      </c>
      <c r="B1203" t="s">
        <v>2441</v>
      </c>
      <c r="C1203" s="1">
        <v>45394</v>
      </c>
      <c r="D1203" t="s">
        <v>3018</v>
      </c>
      <c r="E1203" t="s">
        <v>4331</v>
      </c>
      <c r="F1203" t="s">
        <v>4564</v>
      </c>
      <c r="G1203" t="s">
        <v>4578</v>
      </c>
      <c r="H1203" t="s">
        <v>4584</v>
      </c>
      <c r="I1203" t="s">
        <v>4595</v>
      </c>
      <c r="J1203">
        <v>3</v>
      </c>
      <c r="K1203">
        <v>41.31</v>
      </c>
      <c r="L1203">
        <v>0</v>
      </c>
      <c r="M1203">
        <v>11.72</v>
      </c>
      <c r="N1203" t="s">
        <v>5467</v>
      </c>
      <c r="O1203" t="s">
        <v>5472</v>
      </c>
      <c r="P1203" t="s">
        <v>5477</v>
      </c>
      <c r="Q1203" s="4">
        <v>123.93</v>
      </c>
    </row>
    <row r="1204" spans="1:17" x14ac:dyDescent="0.3">
      <c r="A1204" t="s">
        <v>1177</v>
      </c>
      <c r="B1204" t="s">
        <v>2442</v>
      </c>
      <c r="C1204" s="1">
        <v>45811</v>
      </c>
      <c r="D1204" t="s">
        <v>3190</v>
      </c>
      <c r="E1204" t="s">
        <v>4332</v>
      </c>
      <c r="F1204" t="s">
        <v>4566</v>
      </c>
      <c r="G1204" t="s">
        <v>4582</v>
      </c>
      <c r="H1204" t="s">
        <v>4586</v>
      </c>
      <c r="I1204" t="s">
        <v>4593</v>
      </c>
      <c r="J1204">
        <v>1</v>
      </c>
      <c r="K1204">
        <v>110.37</v>
      </c>
      <c r="L1204">
        <v>0.15</v>
      </c>
      <c r="M1204">
        <v>2.44</v>
      </c>
      <c r="N1204" t="s">
        <v>5465</v>
      </c>
      <c r="O1204" t="s">
        <v>5474</v>
      </c>
      <c r="P1204" t="s">
        <v>5479</v>
      </c>
      <c r="Q1204" s="4">
        <v>93.814499999999995</v>
      </c>
    </row>
    <row r="1205" spans="1:17" x14ac:dyDescent="0.3">
      <c r="A1205" t="s">
        <v>1178</v>
      </c>
      <c r="B1205" t="s">
        <v>2443</v>
      </c>
      <c r="C1205" s="1">
        <v>45511</v>
      </c>
      <c r="D1205" t="s">
        <v>3207</v>
      </c>
      <c r="E1205" t="s">
        <v>4333</v>
      </c>
      <c r="F1205" t="s">
        <v>4549</v>
      </c>
      <c r="G1205" t="s">
        <v>4574</v>
      </c>
      <c r="H1205" t="s">
        <v>4585</v>
      </c>
      <c r="I1205" t="s">
        <v>4591</v>
      </c>
      <c r="J1205">
        <v>2</v>
      </c>
      <c r="K1205">
        <v>8</v>
      </c>
      <c r="L1205">
        <v>0</v>
      </c>
      <c r="M1205">
        <v>1.25</v>
      </c>
      <c r="N1205" t="s">
        <v>5465</v>
      </c>
      <c r="O1205" t="s">
        <v>5471</v>
      </c>
      <c r="P1205" t="s">
        <v>5477</v>
      </c>
      <c r="Q1205" s="4">
        <v>16</v>
      </c>
    </row>
    <row r="1206" spans="1:17" x14ac:dyDescent="0.3">
      <c r="A1206" t="s">
        <v>1179</v>
      </c>
      <c r="B1206" t="s">
        <v>2444</v>
      </c>
      <c r="C1206" s="1">
        <v>45919</v>
      </c>
      <c r="D1206" t="s">
        <v>2835</v>
      </c>
      <c r="E1206" t="s">
        <v>4334</v>
      </c>
      <c r="F1206" t="s">
        <v>4566</v>
      </c>
      <c r="G1206" t="s">
        <v>4577</v>
      </c>
      <c r="H1206" t="s">
        <v>4583</v>
      </c>
      <c r="I1206" t="s">
        <v>4588</v>
      </c>
      <c r="J1206">
        <v>1</v>
      </c>
      <c r="K1206">
        <v>41.48</v>
      </c>
      <c r="L1206">
        <v>0.05</v>
      </c>
      <c r="M1206">
        <v>11.32</v>
      </c>
      <c r="N1206" t="s">
        <v>5462</v>
      </c>
      <c r="O1206" t="s">
        <v>5469</v>
      </c>
      <c r="P1206" t="s">
        <v>5477</v>
      </c>
      <c r="Q1206" s="4">
        <v>39.405999999999992</v>
      </c>
    </row>
    <row r="1207" spans="1:17" x14ac:dyDescent="0.3">
      <c r="A1207" t="s">
        <v>1180</v>
      </c>
      <c r="B1207" t="s">
        <v>2445</v>
      </c>
      <c r="C1207" s="1">
        <v>45561</v>
      </c>
      <c r="D1207" t="s">
        <v>2957</v>
      </c>
      <c r="E1207" t="s">
        <v>4335</v>
      </c>
      <c r="F1207" t="s">
        <v>4549</v>
      </c>
      <c r="G1207" t="s">
        <v>4574</v>
      </c>
      <c r="H1207" t="s">
        <v>4583</v>
      </c>
      <c r="I1207" t="s">
        <v>4610</v>
      </c>
      <c r="J1207">
        <v>1</v>
      </c>
      <c r="K1207">
        <v>83.76</v>
      </c>
      <c r="L1207">
        <v>0</v>
      </c>
      <c r="M1207">
        <v>13.69</v>
      </c>
      <c r="N1207" t="s">
        <v>5462</v>
      </c>
      <c r="O1207" t="s">
        <v>5481</v>
      </c>
      <c r="P1207" t="s">
        <v>5477</v>
      </c>
      <c r="Q1207" s="4">
        <v>83.76</v>
      </c>
    </row>
    <row r="1208" spans="1:17" x14ac:dyDescent="0.3">
      <c r="A1208" t="s">
        <v>1181</v>
      </c>
      <c r="B1208" t="s">
        <v>1725</v>
      </c>
      <c r="C1208" s="1">
        <v>45667</v>
      </c>
      <c r="D1208" t="s">
        <v>2847</v>
      </c>
      <c r="E1208" t="s">
        <v>4336</v>
      </c>
      <c r="F1208" t="s">
        <v>4569</v>
      </c>
      <c r="G1208" t="s">
        <v>4572</v>
      </c>
      <c r="H1208" t="s">
        <v>4587</v>
      </c>
      <c r="I1208" t="s">
        <v>4596</v>
      </c>
      <c r="J1208">
        <v>3</v>
      </c>
      <c r="K1208">
        <v>14.39</v>
      </c>
      <c r="L1208">
        <v>0.15</v>
      </c>
      <c r="M1208">
        <v>12.51</v>
      </c>
      <c r="N1208" t="s">
        <v>5465</v>
      </c>
      <c r="O1208" t="s">
        <v>5473</v>
      </c>
      <c r="P1208" t="s">
        <v>5479</v>
      </c>
      <c r="Q1208" s="4">
        <v>36.694499999999998</v>
      </c>
    </row>
    <row r="1209" spans="1:17" x14ac:dyDescent="0.3">
      <c r="A1209" t="s">
        <v>1182</v>
      </c>
      <c r="B1209" t="s">
        <v>2446</v>
      </c>
      <c r="C1209" s="1">
        <v>45649</v>
      </c>
      <c r="D1209" t="s">
        <v>3109</v>
      </c>
      <c r="E1209" t="s">
        <v>4337</v>
      </c>
      <c r="F1209" t="s">
        <v>4564</v>
      </c>
      <c r="G1209" t="s">
        <v>4573</v>
      </c>
      <c r="H1209" t="s">
        <v>4583</v>
      </c>
      <c r="I1209" t="s">
        <v>4588</v>
      </c>
      <c r="J1209">
        <v>1</v>
      </c>
      <c r="K1209">
        <v>41.14</v>
      </c>
      <c r="L1209">
        <v>0.05</v>
      </c>
      <c r="M1209">
        <v>0.63</v>
      </c>
      <c r="N1209" t="s">
        <v>5467</v>
      </c>
      <c r="O1209" t="s">
        <v>5471</v>
      </c>
      <c r="P1209" t="s">
        <v>5477</v>
      </c>
      <c r="Q1209" s="4">
        <v>39.082999999999998</v>
      </c>
    </row>
    <row r="1210" spans="1:17" x14ac:dyDescent="0.3">
      <c r="A1210" t="s">
        <v>1183</v>
      </c>
      <c r="B1210" t="s">
        <v>2447</v>
      </c>
      <c r="C1210" s="1">
        <v>46017</v>
      </c>
      <c r="D1210" t="s">
        <v>2771</v>
      </c>
      <c r="E1210" t="s">
        <v>4338</v>
      </c>
      <c r="F1210" t="s">
        <v>4569</v>
      </c>
      <c r="G1210" t="s">
        <v>4572</v>
      </c>
      <c r="H1210" t="s">
        <v>4586</v>
      </c>
      <c r="I1210" t="s">
        <v>4609</v>
      </c>
      <c r="J1210">
        <v>3</v>
      </c>
      <c r="K1210">
        <v>123.95</v>
      </c>
      <c r="L1210">
        <v>0.15</v>
      </c>
      <c r="M1210">
        <v>12.1</v>
      </c>
      <c r="N1210" t="s">
        <v>5463</v>
      </c>
      <c r="O1210" t="s">
        <v>5472</v>
      </c>
      <c r="P1210" t="s">
        <v>5476</v>
      </c>
      <c r="Q1210" s="4">
        <v>316.07249999999999</v>
      </c>
    </row>
    <row r="1211" spans="1:17" x14ac:dyDescent="0.3">
      <c r="A1211" t="s">
        <v>1184</v>
      </c>
      <c r="B1211" t="s">
        <v>2448</v>
      </c>
      <c r="C1211" s="1">
        <v>45893</v>
      </c>
      <c r="D1211" t="s">
        <v>2784</v>
      </c>
      <c r="E1211" t="s">
        <v>4339</v>
      </c>
      <c r="F1211" t="s">
        <v>4564</v>
      </c>
      <c r="G1211" t="s">
        <v>4573</v>
      </c>
      <c r="H1211" t="s">
        <v>4583</v>
      </c>
      <c r="I1211" t="s">
        <v>4588</v>
      </c>
      <c r="J1211">
        <v>5</v>
      </c>
      <c r="K1211">
        <v>39.450000000000003</v>
      </c>
      <c r="L1211">
        <v>0</v>
      </c>
      <c r="M1211">
        <v>6.87</v>
      </c>
      <c r="N1211" t="s">
        <v>5464</v>
      </c>
      <c r="O1211" t="s">
        <v>5481</v>
      </c>
      <c r="P1211" t="s">
        <v>5479</v>
      </c>
      <c r="Q1211" s="4">
        <v>197.25</v>
      </c>
    </row>
    <row r="1212" spans="1:17" x14ac:dyDescent="0.3">
      <c r="A1212" t="s">
        <v>1185</v>
      </c>
      <c r="B1212" t="s">
        <v>2449</v>
      </c>
      <c r="C1212" s="1">
        <v>46022</v>
      </c>
      <c r="D1212" t="s">
        <v>2937</v>
      </c>
      <c r="E1212" t="s">
        <v>5481</v>
      </c>
      <c r="F1212" t="s">
        <v>4565</v>
      </c>
      <c r="G1212" t="s">
        <v>4576</v>
      </c>
      <c r="H1212" t="s">
        <v>4587</v>
      </c>
      <c r="I1212" t="s">
        <v>4596</v>
      </c>
      <c r="J1212">
        <v>1</v>
      </c>
      <c r="K1212">
        <v>14.84</v>
      </c>
      <c r="L1212">
        <v>0</v>
      </c>
      <c r="M1212">
        <v>0</v>
      </c>
      <c r="N1212" t="s">
        <v>5466</v>
      </c>
      <c r="O1212" t="s">
        <v>5474</v>
      </c>
      <c r="P1212" t="s">
        <v>5477</v>
      </c>
      <c r="Q1212" s="4">
        <v>14.84</v>
      </c>
    </row>
    <row r="1213" spans="1:17" x14ac:dyDescent="0.3">
      <c r="A1213" t="s">
        <v>1186</v>
      </c>
      <c r="B1213" t="s">
        <v>2450</v>
      </c>
      <c r="C1213" s="1">
        <v>45431</v>
      </c>
      <c r="D1213" t="s">
        <v>2928</v>
      </c>
      <c r="E1213" t="s">
        <v>5481</v>
      </c>
      <c r="F1213" t="s">
        <v>4566</v>
      </c>
      <c r="G1213" t="s">
        <v>4577</v>
      </c>
      <c r="H1213" t="s">
        <v>4585</v>
      </c>
      <c r="I1213" t="s">
        <v>4592</v>
      </c>
      <c r="J1213">
        <v>4</v>
      </c>
      <c r="K1213">
        <v>6.59</v>
      </c>
      <c r="L1213">
        <v>0</v>
      </c>
      <c r="M1213">
        <v>5.77</v>
      </c>
      <c r="N1213" t="s">
        <v>5468</v>
      </c>
      <c r="O1213" t="s">
        <v>5474</v>
      </c>
      <c r="P1213" t="s">
        <v>5479</v>
      </c>
      <c r="Q1213" s="4">
        <v>26.36</v>
      </c>
    </row>
    <row r="1214" spans="1:17" x14ac:dyDescent="0.3">
      <c r="A1214" t="s">
        <v>1187</v>
      </c>
      <c r="B1214" t="s">
        <v>2302</v>
      </c>
      <c r="C1214" s="1">
        <v>45345</v>
      </c>
      <c r="D1214" t="s">
        <v>2760</v>
      </c>
      <c r="E1214" t="s">
        <v>4340</v>
      </c>
      <c r="F1214" t="s">
        <v>4565</v>
      </c>
      <c r="G1214" t="s">
        <v>4579</v>
      </c>
      <c r="H1214" t="s">
        <v>4587</v>
      </c>
      <c r="I1214" t="s">
        <v>4594</v>
      </c>
      <c r="J1214">
        <v>1</v>
      </c>
      <c r="K1214">
        <v>58.42</v>
      </c>
      <c r="L1214">
        <v>0.05</v>
      </c>
      <c r="M1214">
        <v>4.5199999999999996</v>
      </c>
      <c r="N1214" t="s">
        <v>5463</v>
      </c>
      <c r="O1214" t="s">
        <v>5473</v>
      </c>
      <c r="P1214" t="s">
        <v>5476</v>
      </c>
      <c r="Q1214" s="4">
        <v>55.499000000000002</v>
      </c>
    </row>
    <row r="1215" spans="1:17" x14ac:dyDescent="0.3">
      <c r="A1215" t="s">
        <v>1188</v>
      </c>
      <c r="B1215" t="s">
        <v>2451</v>
      </c>
      <c r="C1215" s="1">
        <v>46018</v>
      </c>
      <c r="D1215" t="s">
        <v>2775</v>
      </c>
      <c r="E1215" t="s">
        <v>5481</v>
      </c>
      <c r="F1215" t="s">
        <v>4569</v>
      </c>
      <c r="G1215" t="s">
        <v>4581</v>
      </c>
      <c r="H1215" t="s">
        <v>4587</v>
      </c>
      <c r="I1215" t="s">
        <v>4606</v>
      </c>
      <c r="J1215">
        <v>1</v>
      </c>
      <c r="K1215">
        <v>30.1</v>
      </c>
      <c r="L1215">
        <v>0.05</v>
      </c>
      <c r="M1215">
        <v>0.6</v>
      </c>
      <c r="N1215" t="s">
        <v>5468</v>
      </c>
      <c r="O1215" t="s">
        <v>5473</v>
      </c>
      <c r="P1215" t="s">
        <v>5475</v>
      </c>
      <c r="Q1215" s="4">
        <v>28.594999999999999</v>
      </c>
    </row>
    <row r="1216" spans="1:17" x14ac:dyDescent="0.3">
      <c r="A1216" t="s">
        <v>1189</v>
      </c>
      <c r="B1216" t="s">
        <v>2452</v>
      </c>
      <c r="C1216" s="1">
        <v>45405</v>
      </c>
      <c r="D1216" t="s">
        <v>2698</v>
      </c>
      <c r="E1216" t="s">
        <v>4341</v>
      </c>
      <c r="F1216" t="s">
        <v>4569</v>
      </c>
      <c r="G1216" t="s">
        <v>4572</v>
      </c>
      <c r="H1216" t="s">
        <v>4586</v>
      </c>
      <c r="I1216" t="s">
        <v>4597</v>
      </c>
      <c r="J1216">
        <v>2</v>
      </c>
      <c r="K1216">
        <v>87.09</v>
      </c>
      <c r="L1216">
        <v>0.1</v>
      </c>
      <c r="M1216">
        <v>0</v>
      </c>
      <c r="N1216" t="s">
        <v>5466</v>
      </c>
      <c r="O1216" t="s">
        <v>5481</v>
      </c>
      <c r="P1216" t="s">
        <v>5477</v>
      </c>
      <c r="Q1216" s="4">
        <v>156.762</v>
      </c>
    </row>
    <row r="1217" spans="1:17" x14ac:dyDescent="0.3">
      <c r="A1217" t="s">
        <v>568</v>
      </c>
      <c r="B1217" t="s">
        <v>1942</v>
      </c>
      <c r="C1217" s="1">
        <v>45823</v>
      </c>
      <c r="D1217" t="s">
        <v>3198</v>
      </c>
      <c r="E1217" t="s">
        <v>3772</v>
      </c>
      <c r="F1217" t="s">
        <v>4549</v>
      </c>
      <c r="G1217" t="s">
        <v>4574</v>
      </c>
      <c r="H1217" t="s">
        <v>4587</v>
      </c>
      <c r="I1217" t="s">
        <v>4594</v>
      </c>
      <c r="J1217">
        <v>2</v>
      </c>
      <c r="K1217">
        <v>58.02</v>
      </c>
      <c r="L1217">
        <v>0.05</v>
      </c>
      <c r="M1217">
        <v>13.01</v>
      </c>
      <c r="N1217" t="s">
        <v>5465</v>
      </c>
      <c r="O1217" t="s">
        <v>5473</v>
      </c>
      <c r="P1217" t="s">
        <v>5477</v>
      </c>
      <c r="Q1217" s="4">
        <v>110.238</v>
      </c>
    </row>
    <row r="1218" spans="1:17" x14ac:dyDescent="0.3">
      <c r="A1218" t="s">
        <v>1190</v>
      </c>
      <c r="B1218" t="s">
        <v>2343</v>
      </c>
      <c r="C1218" s="1">
        <v>45583</v>
      </c>
      <c r="D1218" t="s">
        <v>3003</v>
      </c>
      <c r="E1218" t="s">
        <v>5481</v>
      </c>
      <c r="F1218" t="s">
        <v>4549</v>
      </c>
      <c r="G1218" t="s">
        <v>4574</v>
      </c>
      <c r="H1218" t="s">
        <v>4585</v>
      </c>
      <c r="I1218" t="s">
        <v>4602</v>
      </c>
      <c r="J1218">
        <v>1</v>
      </c>
      <c r="K1218">
        <v>4.33</v>
      </c>
      <c r="L1218">
        <v>0</v>
      </c>
      <c r="M1218">
        <v>0</v>
      </c>
      <c r="N1218" t="s">
        <v>5467</v>
      </c>
      <c r="O1218" t="s">
        <v>5471</v>
      </c>
      <c r="P1218" t="s">
        <v>5477</v>
      </c>
      <c r="Q1218" s="4">
        <v>4.33</v>
      </c>
    </row>
    <row r="1219" spans="1:17" x14ac:dyDescent="0.3">
      <c r="A1219" t="s">
        <v>1191</v>
      </c>
      <c r="B1219" t="s">
        <v>2005</v>
      </c>
      <c r="C1219" s="1">
        <v>45423</v>
      </c>
      <c r="D1219" t="s">
        <v>2703</v>
      </c>
      <c r="E1219" t="s">
        <v>4342</v>
      </c>
      <c r="F1219" t="s">
        <v>4549</v>
      </c>
      <c r="G1219" t="s">
        <v>4573</v>
      </c>
      <c r="H1219" t="s">
        <v>4587</v>
      </c>
      <c r="I1219" t="s">
        <v>4600</v>
      </c>
      <c r="J1219">
        <v>10</v>
      </c>
      <c r="K1219">
        <v>13.03</v>
      </c>
      <c r="L1219">
        <v>0.1</v>
      </c>
      <c r="M1219">
        <v>9.09</v>
      </c>
      <c r="N1219" t="s">
        <v>5465</v>
      </c>
      <c r="O1219" t="s">
        <v>5470</v>
      </c>
      <c r="P1219" t="s">
        <v>5476</v>
      </c>
      <c r="Q1219" s="4">
        <v>117.26999999999998</v>
      </c>
    </row>
    <row r="1220" spans="1:17" x14ac:dyDescent="0.3">
      <c r="A1220" t="s">
        <v>1192</v>
      </c>
      <c r="B1220" t="s">
        <v>2453</v>
      </c>
      <c r="C1220" s="1">
        <v>45594</v>
      </c>
      <c r="D1220" t="s">
        <v>2863</v>
      </c>
      <c r="E1220" t="s">
        <v>4343</v>
      </c>
      <c r="F1220" t="s">
        <v>4564</v>
      </c>
      <c r="G1220" t="s">
        <v>4573</v>
      </c>
      <c r="H1220" t="s">
        <v>4584</v>
      </c>
      <c r="I1220" t="s">
        <v>4601</v>
      </c>
      <c r="J1220">
        <v>1</v>
      </c>
      <c r="K1220">
        <v>183.25</v>
      </c>
      <c r="L1220">
        <v>0.05</v>
      </c>
      <c r="M1220">
        <v>5.38</v>
      </c>
      <c r="N1220" t="s">
        <v>5481</v>
      </c>
      <c r="O1220" t="s">
        <v>5469</v>
      </c>
      <c r="P1220" t="s">
        <v>5477</v>
      </c>
      <c r="Q1220" s="4">
        <v>174.08750000000001</v>
      </c>
    </row>
    <row r="1221" spans="1:17" x14ac:dyDescent="0.3">
      <c r="A1221" t="s">
        <v>1193</v>
      </c>
      <c r="B1221" t="s">
        <v>2454</v>
      </c>
      <c r="C1221" s="1">
        <v>45966</v>
      </c>
      <c r="D1221" t="s">
        <v>3016</v>
      </c>
      <c r="E1221" t="s">
        <v>4344</v>
      </c>
      <c r="F1221" t="s">
        <v>4564</v>
      </c>
      <c r="G1221" t="s">
        <v>4573</v>
      </c>
      <c r="H1221" t="s">
        <v>4587</v>
      </c>
      <c r="I1221" t="s">
        <v>4594</v>
      </c>
      <c r="J1221">
        <v>10</v>
      </c>
      <c r="K1221">
        <v>61.23</v>
      </c>
      <c r="L1221">
        <v>0.05</v>
      </c>
      <c r="M1221">
        <v>6.17</v>
      </c>
      <c r="N1221" t="s">
        <v>5466</v>
      </c>
      <c r="O1221" t="s">
        <v>5469</v>
      </c>
      <c r="P1221" t="s">
        <v>5475</v>
      </c>
      <c r="Q1221" s="4">
        <v>581.68499999999995</v>
      </c>
    </row>
    <row r="1222" spans="1:17" x14ac:dyDescent="0.3">
      <c r="A1222" t="s">
        <v>1194</v>
      </c>
      <c r="B1222" t="s">
        <v>2455</v>
      </c>
      <c r="C1222" s="1">
        <v>45614</v>
      </c>
      <c r="D1222" t="s">
        <v>5498</v>
      </c>
      <c r="E1222" t="s">
        <v>4345</v>
      </c>
      <c r="F1222" t="s">
        <v>4549</v>
      </c>
      <c r="G1222" t="s">
        <v>4573</v>
      </c>
      <c r="H1222" t="s">
        <v>4585</v>
      </c>
      <c r="I1222" t="s">
        <v>4598</v>
      </c>
      <c r="J1222">
        <v>5</v>
      </c>
      <c r="K1222">
        <v>3.19</v>
      </c>
      <c r="L1222">
        <v>0.1</v>
      </c>
      <c r="M1222">
        <v>10.24</v>
      </c>
      <c r="N1222" t="s">
        <v>5467</v>
      </c>
      <c r="O1222" t="s">
        <v>5469</v>
      </c>
      <c r="P1222" t="s">
        <v>5477</v>
      </c>
      <c r="Q1222" s="4">
        <v>14.355</v>
      </c>
    </row>
    <row r="1223" spans="1:17" x14ac:dyDescent="0.3">
      <c r="A1223" t="s">
        <v>1195</v>
      </c>
      <c r="B1223" t="s">
        <v>2456</v>
      </c>
      <c r="C1223" s="1">
        <v>45906</v>
      </c>
      <c r="D1223" t="s">
        <v>3075</v>
      </c>
      <c r="E1223" t="s">
        <v>4346</v>
      </c>
      <c r="F1223" t="s">
        <v>4564</v>
      </c>
      <c r="G1223" t="s">
        <v>4578</v>
      </c>
      <c r="H1223" t="s">
        <v>4583</v>
      </c>
      <c r="I1223" t="s">
        <v>4610</v>
      </c>
      <c r="J1223">
        <v>2</v>
      </c>
      <c r="K1223">
        <v>76.33</v>
      </c>
      <c r="L1223">
        <v>0</v>
      </c>
      <c r="M1223">
        <v>7.6</v>
      </c>
      <c r="N1223" t="s">
        <v>5466</v>
      </c>
      <c r="O1223" t="s">
        <v>5470</v>
      </c>
      <c r="P1223" t="s">
        <v>5477</v>
      </c>
      <c r="Q1223" s="4">
        <v>152.66</v>
      </c>
    </row>
    <row r="1224" spans="1:17" x14ac:dyDescent="0.3">
      <c r="A1224" t="s">
        <v>1196</v>
      </c>
      <c r="B1224" t="s">
        <v>2428</v>
      </c>
      <c r="C1224" s="1">
        <v>45498</v>
      </c>
      <c r="D1224" t="s">
        <v>3082</v>
      </c>
      <c r="E1224" t="s">
        <v>4347</v>
      </c>
      <c r="F1224" t="s">
        <v>4564</v>
      </c>
      <c r="G1224" t="s">
        <v>4573</v>
      </c>
      <c r="H1224" t="s">
        <v>4586</v>
      </c>
      <c r="I1224" t="s">
        <v>4593</v>
      </c>
      <c r="J1224">
        <v>5</v>
      </c>
      <c r="K1224">
        <v>104.55</v>
      </c>
      <c r="L1224">
        <v>0</v>
      </c>
      <c r="M1224">
        <v>12.42</v>
      </c>
      <c r="N1224" t="s">
        <v>5467</v>
      </c>
      <c r="O1224" t="s">
        <v>5469</v>
      </c>
      <c r="P1224" t="s">
        <v>5477</v>
      </c>
      <c r="Q1224" s="4">
        <v>522.75</v>
      </c>
    </row>
    <row r="1225" spans="1:17" x14ac:dyDescent="0.3">
      <c r="A1225" t="s">
        <v>1197</v>
      </c>
      <c r="B1225" t="s">
        <v>2457</v>
      </c>
      <c r="C1225" s="1">
        <v>45759</v>
      </c>
      <c r="D1225" t="s">
        <v>2640</v>
      </c>
      <c r="E1225" t="s">
        <v>4348</v>
      </c>
      <c r="F1225" t="s">
        <v>4569</v>
      </c>
      <c r="G1225" t="s">
        <v>4580</v>
      </c>
      <c r="H1225" t="s">
        <v>4585</v>
      </c>
      <c r="I1225" t="s">
        <v>4602</v>
      </c>
      <c r="J1225">
        <v>1</v>
      </c>
      <c r="K1225">
        <v>4.05</v>
      </c>
      <c r="L1225">
        <v>0</v>
      </c>
      <c r="M1225">
        <v>9.91</v>
      </c>
      <c r="N1225" t="s">
        <v>5468</v>
      </c>
      <c r="O1225" t="s">
        <v>5471</v>
      </c>
      <c r="P1225" t="s">
        <v>5477</v>
      </c>
      <c r="Q1225" s="4">
        <v>4.05</v>
      </c>
    </row>
    <row r="1226" spans="1:17" x14ac:dyDescent="0.3">
      <c r="A1226" t="s">
        <v>1198</v>
      </c>
      <c r="B1226" t="s">
        <v>2458</v>
      </c>
      <c r="C1226" s="1">
        <v>45451</v>
      </c>
      <c r="D1226" t="s">
        <v>3026</v>
      </c>
      <c r="E1226" t="s">
        <v>4349</v>
      </c>
      <c r="F1226" t="s">
        <v>4564</v>
      </c>
      <c r="G1226" t="s">
        <v>4578</v>
      </c>
      <c r="H1226" t="s">
        <v>4587</v>
      </c>
      <c r="I1226" t="s">
        <v>4606</v>
      </c>
      <c r="J1226">
        <v>10</v>
      </c>
      <c r="K1226">
        <v>29.53</v>
      </c>
      <c r="L1226">
        <v>0</v>
      </c>
      <c r="M1226">
        <v>8.51</v>
      </c>
      <c r="N1226" t="s">
        <v>5462</v>
      </c>
      <c r="O1226" t="s">
        <v>5469</v>
      </c>
      <c r="P1226" t="s">
        <v>5475</v>
      </c>
      <c r="Q1226" s="4">
        <v>295.3</v>
      </c>
    </row>
    <row r="1227" spans="1:17" x14ac:dyDescent="0.3">
      <c r="A1227" t="s">
        <v>1199</v>
      </c>
      <c r="B1227" t="s">
        <v>2459</v>
      </c>
      <c r="C1227" s="1">
        <v>45945</v>
      </c>
      <c r="D1227" t="s">
        <v>2728</v>
      </c>
      <c r="E1227" t="s">
        <v>4350</v>
      </c>
      <c r="F1227" t="s">
        <v>4566</v>
      </c>
      <c r="G1227" t="s">
        <v>4582</v>
      </c>
      <c r="H1227" t="s">
        <v>4585</v>
      </c>
      <c r="I1227" t="s">
        <v>4591</v>
      </c>
      <c r="J1227">
        <v>3</v>
      </c>
      <c r="K1227">
        <v>8.19</v>
      </c>
      <c r="L1227">
        <v>0.15</v>
      </c>
      <c r="M1227">
        <v>3.36</v>
      </c>
      <c r="N1227" t="s">
        <v>5463</v>
      </c>
      <c r="O1227" t="s">
        <v>5481</v>
      </c>
      <c r="P1227" t="s">
        <v>5477</v>
      </c>
      <c r="Q1227" s="4">
        <v>20.884499999999999</v>
      </c>
    </row>
    <row r="1228" spans="1:17" x14ac:dyDescent="0.3">
      <c r="A1228" t="s">
        <v>1200</v>
      </c>
      <c r="B1228" t="s">
        <v>2460</v>
      </c>
      <c r="C1228" s="1">
        <v>45383</v>
      </c>
      <c r="D1228" t="s">
        <v>2771</v>
      </c>
      <c r="E1228" t="s">
        <v>4351</v>
      </c>
      <c r="F1228" t="s">
        <v>4549</v>
      </c>
      <c r="G1228" t="s">
        <v>4574</v>
      </c>
      <c r="H1228" t="s">
        <v>4587</v>
      </c>
      <c r="I1228" t="s">
        <v>4600</v>
      </c>
      <c r="J1228">
        <v>3</v>
      </c>
      <c r="K1228">
        <v>12.85</v>
      </c>
      <c r="L1228">
        <v>0</v>
      </c>
      <c r="M1228">
        <v>12.58</v>
      </c>
      <c r="N1228" t="s">
        <v>5462</v>
      </c>
      <c r="O1228" t="s">
        <v>5481</v>
      </c>
      <c r="P1228" t="s">
        <v>5477</v>
      </c>
      <c r="Q1228" s="4">
        <v>38.549999999999997</v>
      </c>
    </row>
    <row r="1229" spans="1:17" x14ac:dyDescent="0.3">
      <c r="A1229" t="s">
        <v>951</v>
      </c>
      <c r="B1229" t="s">
        <v>2262</v>
      </c>
      <c r="C1229" s="1">
        <v>45839</v>
      </c>
      <c r="D1229" t="s">
        <v>2758</v>
      </c>
      <c r="E1229" t="s">
        <v>4122</v>
      </c>
      <c r="F1229" t="s">
        <v>4564</v>
      </c>
      <c r="G1229" t="s">
        <v>5481</v>
      </c>
      <c r="H1229" t="s">
        <v>4587</v>
      </c>
      <c r="I1229" t="s">
        <v>4596</v>
      </c>
      <c r="J1229">
        <v>2</v>
      </c>
      <c r="K1229">
        <v>14.97</v>
      </c>
      <c r="L1229">
        <v>0</v>
      </c>
      <c r="M1229">
        <v>0</v>
      </c>
      <c r="N1229" t="s">
        <v>5466</v>
      </c>
      <c r="O1229" t="s">
        <v>5481</v>
      </c>
      <c r="P1229" t="s">
        <v>5479</v>
      </c>
      <c r="Q1229" s="4">
        <v>29.94</v>
      </c>
    </row>
    <row r="1230" spans="1:17" x14ac:dyDescent="0.3">
      <c r="A1230" t="s">
        <v>1201</v>
      </c>
      <c r="B1230" t="s">
        <v>2461</v>
      </c>
      <c r="C1230" s="1">
        <v>45540</v>
      </c>
      <c r="D1230" t="s">
        <v>2875</v>
      </c>
      <c r="E1230" t="s">
        <v>4352</v>
      </c>
      <c r="F1230" t="s">
        <v>4569</v>
      </c>
      <c r="G1230" t="s">
        <v>4580</v>
      </c>
      <c r="H1230" t="s">
        <v>4586</v>
      </c>
      <c r="I1230" t="s">
        <v>4597</v>
      </c>
      <c r="J1230">
        <v>1</v>
      </c>
      <c r="K1230">
        <v>86.41</v>
      </c>
      <c r="L1230">
        <v>0</v>
      </c>
      <c r="M1230">
        <v>6.29</v>
      </c>
      <c r="N1230" t="s">
        <v>5463</v>
      </c>
      <c r="O1230" t="s">
        <v>5474</v>
      </c>
      <c r="P1230" t="s">
        <v>5475</v>
      </c>
      <c r="Q1230" s="4">
        <v>86.41</v>
      </c>
    </row>
    <row r="1231" spans="1:17" x14ac:dyDescent="0.3">
      <c r="A1231" t="s">
        <v>1202</v>
      </c>
      <c r="B1231" t="s">
        <v>2462</v>
      </c>
      <c r="C1231" s="1">
        <v>45620</v>
      </c>
      <c r="D1231" t="s">
        <v>2819</v>
      </c>
      <c r="E1231" t="s">
        <v>4353</v>
      </c>
      <c r="F1231" t="s">
        <v>4566</v>
      </c>
      <c r="G1231" t="s">
        <v>4573</v>
      </c>
      <c r="H1231" t="s">
        <v>4584</v>
      </c>
      <c r="I1231" t="s">
        <v>4595</v>
      </c>
      <c r="J1231">
        <v>2</v>
      </c>
      <c r="K1231">
        <v>42.94</v>
      </c>
      <c r="L1231">
        <v>0.05</v>
      </c>
      <c r="M1231">
        <v>12.13</v>
      </c>
      <c r="N1231" t="s">
        <v>5462</v>
      </c>
      <c r="O1231" t="s">
        <v>5469</v>
      </c>
      <c r="P1231" t="s">
        <v>5477</v>
      </c>
      <c r="Q1231" s="4">
        <v>81.585999999999999</v>
      </c>
    </row>
    <row r="1232" spans="1:17" x14ac:dyDescent="0.3">
      <c r="A1232" t="s">
        <v>107</v>
      </c>
      <c r="B1232" t="s">
        <v>1507</v>
      </c>
      <c r="C1232" s="1">
        <v>45816</v>
      </c>
      <c r="D1232" t="s">
        <v>2710</v>
      </c>
      <c r="E1232" t="s">
        <v>3349</v>
      </c>
      <c r="F1232" t="s">
        <v>4564</v>
      </c>
      <c r="G1232" t="s">
        <v>4578</v>
      </c>
      <c r="H1232" t="s">
        <v>4584</v>
      </c>
      <c r="I1232" t="s">
        <v>4607</v>
      </c>
      <c r="J1232">
        <v>1</v>
      </c>
      <c r="K1232">
        <v>26.08</v>
      </c>
      <c r="L1232">
        <v>0.1</v>
      </c>
      <c r="M1232">
        <v>6.46</v>
      </c>
      <c r="N1232" t="s">
        <v>5463</v>
      </c>
      <c r="O1232" t="s">
        <v>5470</v>
      </c>
      <c r="P1232" t="s">
        <v>5475</v>
      </c>
      <c r="Q1232" s="4">
        <v>23.471999999999998</v>
      </c>
    </row>
    <row r="1233" spans="1:17" x14ac:dyDescent="0.3">
      <c r="A1233" t="s">
        <v>1203</v>
      </c>
      <c r="B1233" t="s">
        <v>2463</v>
      </c>
      <c r="C1233" s="1">
        <v>45356</v>
      </c>
      <c r="D1233" t="s">
        <v>2844</v>
      </c>
      <c r="E1233" t="s">
        <v>4354</v>
      </c>
      <c r="F1233" t="s">
        <v>4565</v>
      </c>
      <c r="G1233" t="s">
        <v>4579</v>
      </c>
      <c r="H1233" t="s">
        <v>4585</v>
      </c>
      <c r="I1233" t="s">
        <v>4591</v>
      </c>
      <c r="J1233">
        <v>2</v>
      </c>
      <c r="K1233">
        <v>7.91</v>
      </c>
      <c r="L1233">
        <v>0.1</v>
      </c>
      <c r="M1233">
        <v>0.34</v>
      </c>
      <c r="N1233" t="s">
        <v>5467</v>
      </c>
      <c r="O1233" t="s">
        <v>5471</v>
      </c>
      <c r="P1233" t="s">
        <v>5477</v>
      </c>
      <c r="Q1233" s="4">
        <v>14.238000000000001</v>
      </c>
    </row>
    <row r="1234" spans="1:17" x14ac:dyDescent="0.3">
      <c r="A1234" t="s">
        <v>1204</v>
      </c>
      <c r="B1234" t="s">
        <v>2464</v>
      </c>
      <c r="C1234" s="1">
        <v>45971</v>
      </c>
      <c r="D1234" t="s">
        <v>2671</v>
      </c>
      <c r="E1234" t="s">
        <v>4355</v>
      </c>
      <c r="F1234" t="s">
        <v>4569</v>
      </c>
      <c r="G1234" t="s">
        <v>4580</v>
      </c>
      <c r="H1234" t="s">
        <v>4585</v>
      </c>
      <c r="I1234" t="s">
        <v>4592</v>
      </c>
      <c r="J1234">
        <v>1</v>
      </c>
      <c r="K1234">
        <v>6.48</v>
      </c>
      <c r="L1234">
        <v>0.1</v>
      </c>
      <c r="M1234">
        <v>13.25</v>
      </c>
      <c r="N1234" t="s">
        <v>5467</v>
      </c>
      <c r="O1234" t="s">
        <v>5469</v>
      </c>
      <c r="P1234" t="s">
        <v>5476</v>
      </c>
      <c r="Q1234" s="4">
        <v>5.8320000000000007</v>
      </c>
    </row>
    <row r="1235" spans="1:17" x14ac:dyDescent="0.3">
      <c r="A1235" t="s">
        <v>1205</v>
      </c>
      <c r="B1235" t="s">
        <v>1431</v>
      </c>
      <c r="C1235" s="1">
        <v>45299</v>
      </c>
      <c r="D1235" t="s">
        <v>2668</v>
      </c>
      <c r="E1235" t="s">
        <v>4356</v>
      </c>
      <c r="F1235" t="s">
        <v>4565</v>
      </c>
      <c r="G1235" t="s">
        <v>4579</v>
      </c>
      <c r="H1235" t="s">
        <v>4586</v>
      </c>
      <c r="I1235" t="s">
        <v>4593</v>
      </c>
      <c r="J1235">
        <v>2</v>
      </c>
      <c r="K1235">
        <v>114.24</v>
      </c>
      <c r="L1235">
        <v>0.05</v>
      </c>
      <c r="M1235">
        <v>11.58</v>
      </c>
      <c r="N1235" t="s">
        <v>5463</v>
      </c>
      <c r="O1235" t="s">
        <v>5471</v>
      </c>
      <c r="P1235" t="s">
        <v>5477</v>
      </c>
      <c r="Q1235" s="4">
        <v>217.05599999999998</v>
      </c>
    </row>
    <row r="1236" spans="1:17" x14ac:dyDescent="0.3">
      <c r="A1236" t="s">
        <v>1206</v>
      </c>
      <c r="B1236" t="s">
        <v>2182</v>
      </c>
      <c r="C1236" s="1">
        <v>45739</v>
      </c>
      <c r="D1236" t="s">
        <v>3040</v>
      </c>
      <c r="E1236" t="s">
        <v>4357</v>
      </c>
      <c r="F1236" t="s">
        <v>4566</v>
      </c>
      <c r="G1236" t="s">
        <v>4573</v>
      </c>
      <c r="H1236" t="s">
        <v>4583</v>
      </c>
      <c r="I1236" t="s">
        <v>4605</v>
      </c>
      <c r="J1236">
        <v>3</v>
      </c>
      <c r="K1236">
        <v>45.72</v>
      </c>
      <c r="L1236">
        <v>0.1</v>
      </c>
      <c r="M1236">
        <v>13.14</v>
      </c>
      <c r="N1236" t="s">
        <v>5464</v>
      </c>
      <c r="O1236" t="s">
        <v>5474</v>
      </c>
      <c r="P1236" t="s">
        <v>5477</v>
      </c>
      <c r="Q1236" s="4">
        <v>123.444</v>
      </c>
    </row>
    <row r="1237" spans="1:17" x14ac:dyDescent="0.3">
      <c r="A1237" t="s">
        <v>1207</v>
      </c>
      <c r="B1237" t="s">
        <v>2465</v>
      </c>
      <c r="C1237" s="1">
        <v>45717</v>
      </c>
      <c r="D1237" t="s">
        <v>2684</v>
      </c>
      <c r="E1237" t="s">
        <v>4358</v>
      </c>
      <c r="F1237" t="s">
        <v>4569</v>
      </c>
      <c r="G1237" t="s">
        <v>4580</v>
      </c>
      <c r="H1237" t="s">
        <v>4584</v>
      </c>
      <c r="I1237" t="s">
        <v>4603</v>
      </c>
      <c r="J1237">
        <v>3</v>
      </c>
      <c r="K1237">
        <v>9.43</v>
      </c>
      <c r="L1237">
        <v>0</v>
      </c>
      <c r="M1237">
        <v>9</v>
      </c>
      <c r="N1237" t="s">
        <v>5468</v>
      </c>
      <c r="O1237" t="s">
        <v>5473</v>
      </c>
      <c r="P1237" t="s">
        <v>5476</v>
      </c>
      <c r="Q1237" s="4">
        <v>28.29</v>
      </c>
    </row>
    <row r="1238" spans="1:17" x14ac:dyDescent="0.3">
      <c r="A1238" t="s">
        <v>1208</v>
      </c>
      <c r="B1238" t="s">
        <v>2466</v>
      </c>
      <c r="C1238" s="1">
        <v>45572</v>
      </c>
      <c r="D1238" t="s">
        <v>2705</v>
      </c>
      <c r="E1238" t="s">
        <v>5481</v>
      </c>
      <c r="F1238" t="s">
        <v>4569</v>
      </c>
      <c r="G1238" t="s">
        <v>4572</v>
      </c>
      <c r="H1238" t="s">
        <v>4583</v>
      </c>
      <c r="I1238" t="s">
        <v>4604</v>
      </c>
      <c r="J1238">
        <v>2</v>
      </c>
      <c r="K1238">
        <v>22.47</v>
      </c>
      <c r="L1238">
        <v>0.15</v>
      </c>
      <c r="N1238" t="s">
        <v>5464</v>
      </c>
      <c r="O1238" t="s">
        <v>5469</v>
      </c>
      <c r="P1238" t="s">
        <v>5477</v>
      </c>
      <c r="Q1238" s="4">
        <v>38.198999999999998</v>
      </c>
    </row>
    <row r="1239" spans="1:17" x14ac:dyDescent="0.3">
      <c r="A1239" t="s">
        <v>1209</v>
      </c>
      <c r="B1239" t="s">
        <v>2467</v>
      </c>
      <c r="C1239" s="1">
        <v>45747</v>
      </c>
      <c r="D1239" t="s">
        <v>3016</v>
      </c>
      <c r="E1239" t="s">
        <v>4359</v>
      </c>
      <c r="F1239" t="s">
        <v>4564</v>
      </c>
      <c r="G1239" t="s">
        <v>4573</v>
      </c>
      <c r="H1239" t="s">
        <v>4584</v>
      </c>
      <c r="I1239" t="s">
        <v>4601</v>
      </c>
      <c r="J1239">
        <v>5</v>
      </c>
      <c r="K1239">
        <v>186.22</v>
      </c>
      <c r="L1239">
        <v>0.05</v>
      </c>
      <c r="M1239">
        <v>7.64</v>
      </c>
      <c r="N1239" t="s">
        <v>5481</v>
      </c>
      <c r="O1239" t="s">
        <v>5481</v>
      </c>
      <c r="P1239" t="s">
        <v>5477</v>
      </c>
      <c r="Q1239" s="4">
        <v>884.54499999999996</v>
      </c>
    </row>
    <row r="1240" spans="1:17" x14ac:dyDescent="0.3">
      <c r="A1240" t="s">
        <v>1210</v>
      </c>
      <c r="B1240" t="s">
        <v>2468</v>
      </c>
      <c r="C1240" s="1">
        <v>45894</v>
      </c>
      <c r="D1240" t="s">
        <v>3214</v>
      </c>
      <c r="E1240" t="s">
        <v>4360</v>
      </c>
      <c r="F1240" t="s">
        <v>4565</v>
      </c>
      <c r="G1240" t="s">
        <v>4579</v>
      </c>
      <c r="H1240" t="s">
        <v>4587</v>
      </c>
      <c r="I1240" t="s">
        <v>4594</v>
      </c>
      <c r="J1240">
        <v>4</v>
      </c>
      <c r="K1240">
        <v>58.12</v>
      </c>
      <c r="L1240">
        <v>0.05</v>
      </c>
      <c r="M1240">
        <v>12.2</v>
      </c>
      <c r="N1240" t="s">
        <v>5464</v>
      </c>
      <c r="O1240" t="s">
        <v>5470</v>
      </c>
      <c r="P1240" t="s">
        <v>5479</v>
      </c>
      <c r="Q1240" s="4">
        <v>220.85599999999997</v>
      </c>
    </row>
    <row r="1241" spans="1:17" x14ac:dyDescent="0.3">
      <c r="A1241" t="s">
        <v>1211</v>
      </c>
      <c r="B1241" t="s">
        <v>2038</v>
      </c>
      <c r="C1241" s="1">
        <v>45468</v>
      </c>
      <c r="D1241" t="s">
        <v>2715</v>
      </c>
      <c r="E1241" t="s">
        <v>4361</v>
      </c>
      <c r="F1241" t="s">
        <v>4566</v>
      </c>
      <c r="G1241" t="s">
        <v>4573</v>
      </c>
      <c r="H1241" t="s">
        <v>4585</v>
      </c>
      <c r="I1241" t="s">
        <v>4598</v>
      </c>
      <c r="J1241">
        <v>1</v>
      </c>
      <c r="K1241">
        <v>3.19</v>
      </c>
      <c r="L1241">
        <v>0.1</v>
      </c>
      <c r="M1241">
        <v>0</v>
      </c>
      <c r="N1241" t="s">
        <v>5463</v>
      </c>
      <c r="O1241" t="s">
        <v>5481</v>
      </c>
      <c r="P1241" t="s">
        <v>5477</v>
      </c>
      <c r="Q1241" s="4">
        <v>2.871</v>
      </c>
    </row>
    <row r="1242" spans="1:17" x14ac:dyDescent="0.3">
      <c r="A1242" t="s">
        <v>1212</v>
      </c>
      <c r="B1242" t="s">
        <v>2469</v>
      </c>
      <c r="C1242" s="1">
        <v>45967</v>
      </c>
      <c r="D1242" t="s">
        <v>2818</v>
      </c>
      <c r="E1242" t="s">
        <v>4362</v>
      </c>
      <c r="F1242" t="s">
        <v>4566</v>
      </c>
      <c r="G1242" t="s">
        <v>4573</v>
      </c>
      <c r="H1242" t="s">
        <v>4585</v>
      </c>
      <c r="I1242" t="s">
        <v>4590</v>
      </c>
      <c r="J1242">
        <v>5</v>
      </c>
      <c r="K1242">
        <v>14.21</v>
      </c>
      <c r="L1242">
        <v>0</v>
      </c>
      <c r="M1242">
        <v>0</v>
      </c>
      <c r="N1242" t="s">
        <v>5464</v>
      </c>
      <c r="O1242" t="s">
        <v>5470</v>
      </c>
      <c r="P1242" t="s">
        <v>5477</v>
      </c>
      <c r="Q1242" s="4">
        <v>71.050000000000011</v>
      </c>
    </row>
    <row r="1243" spans="1:17" x14ac:dyDescent="0.3">
      <c r="A1243" t="s">
        <v>1213</v>
      </c>
      <c r="B1243" t="s">
        <v>1467</v>
      </c>
      <c r="C1243" s="1">
        <v>45662</v>
      </c>
      <c r="D1243" t="s">
        <v>2948</v>
      </c>
      <c r="E1243" t="s">
        <v>4363</v>
      </c>
      <c r="F1243" t="s">
        <v>4549</v>
      </c>
      <c r="G1243" t="s">
        <v>4574</v>
      </c>
      <c r="H1243" t="s">
        <v>4583</v>
      </c>
      <c r="I1243" t="s">
        <v>4604</v>
      </c>
      <c r="J1243">
        <v>4</v>
      </c>
      <c r="K1243">
        <v>21.82</v>
      </c>
      <c r="L1243">
        <v>0.05</v>
      </c>
      <c r="M1243">
        <v>4.16</v>
      </c>
      <c r="N1243" t="s">
        <v>5462</v>
      </c>
      <c r="O1243" t="s">
        <v>5474</v>
      </c>
      <c r="P1243" t="s">
        <v>5477</v>
      </c>
      <c r="Q1243" s="4">
        <v>82.915999999999997</v>
      </c>
    </row>
    <row r="1244" spans="1:17" x14ac:dyDescent="0.3">
      <c r="A1244" t="s">
        <v>251</v>
      </c>
      <c r="B1244" t="s">
        <v>1646</v>
      </c>
      <c r="C1244" s="1">
        <v>45432</v>
      </c>
      <c r="D1244" t="s">
        <v>2726</v>
      </c>
      <c r="E1244" t="s">
        <v>3483</v>
      </c>
      <c r="F1244" t="s">
        <v>4565</v>
      </c>
      <c r="G1244" t="s">
        <v>4575</v>
      </c>
      <c r="H1244" t="s">
        <v>4585</v>
      </c>
      <c r="I1244" t="s">
        <v>4592</v>
      </c>
      <c r="J1244">
        <v>1</v>
      </c>
      <c r="K1244">
        <v>6.68</v>
      </c>
      <c r="L1244">
        <v>0</v>
      </c>
      <c r="M1244">
        <v>9.9700000000000006</v>
      </c>
      <c r="N1244" t="s">
        <v>5465</v>
      </c>
      <c r="O1244" t="s">
        <v>5472</v>
      </c>
      <c r="P1244" t="s">
        <v>5477</v>
      </c>
      <c r="Q1244" s="4">
        <v>6.68</v>
      </c>
    </row>
    <row r="1245" spans="1:17" x14ac:dyDescent="0.3">
      <c r="A1245" t="s">
        <v>1214</v>
      </c>
      <c r="B1245" t="s">
        <v>1864</v>
      </c>
      <c r="C1245" s="1">
        <v>45746</v>
      </c>
      <c r="D1245" t="s">
        <v>3173</v>
      </c>
      <c r="E1245" t="s">
        <v>4364</v>
      </c>
      <c r="F1245" t="s">
        <v>4565</v>
      </c>
      <c r="G1245" t="s">
        <v>4576</v>
      </c>
      <c r="H1245" t="s">
        <v>4585</v>
      </c>
      <c r="I1245" t="s">
        <v>4590</v>
      </c>
      <c r="J1245">
        <v>10</v>
      </c>
      <c r="K1245">
        <v>14.57</v>
      </c>
      <c r="L1245">
        <v>0.15</v>
      </c>
      <c r="M1245">
        <v>14.6</v>
      </c>
      <c r="N1245" t="s">
        <v>5481</v>
      </c>
      <c r="O1245" t="s">
        <v>5472</v>
      </c>
      <c r="P1245" t="s">
        <v>5477</v>
      </c>
      <c r="Q1245" s="4">
        <v>123.84499999999998</v>
      </c>
    </row>
    <row r="1246" spans="1:17" x14ac:dyDescent="0.3">
      <c r="A1246" t="s">
        <v>1215</v>
      </c>
      <c r="B1246" t="s">
        <v>2470</v>
      </c>
      <c r="C1246" s="1">
        <v>45441</v>
      </c>
      <c r="D1246" t="s">
        <v>3085</v>
      </c>
      <c r="E1246" t="s">
        <v>4365</v>
      </c>
      <c r="F1246" t="s">
        <v>4549</v>
      </c>
      <c r="G1246" t="s">
        <v>4574</v>
      </c>
      <c r="H1246" t="s">
        <v>4584</v>
      </c>
      <c r="I1246" t="s">
        <v>4589</v>
      </c>
      <c r="J1246">
        <v>1</v>
      </c>
      <c r="K1246">
        <v>35.799999999999997</v>
      </c>
      <c r="L1246">
        <v>0.05</v>
      </c>
      <c r="M1246">
        <v>1.36</v>
      </c>
      <c r="N1246" t="s">
        <v>5467</v>
      </c>
      <c r="O1246" t="s">
        <v>5473</v>
      </c>
      <c r="P1246" t="s">
        <v>5476</v>
      </c>
      <c r="Q1246" s="4">
        <v>34.01</v>
      </c>
    </row>
    <row r="1247" spans="1:17" x14ac:dyDescent="0.3">
      <c r="A1247" t="s">
        <v>1216</v>
      </c>
      <c r="B1247" t="s">
        <v>1851</v>
      </c>
      <c r="C1247" s="1">
        <v>45442</v>
      </c>
      <c r="D1247" t="s">
        <v>2928</v>
      </c>
      <c r="E1247" t="s">
        <v>4366</v>
      </c>
      <c r="F1247" t="s">
        <v>4565</v>
      </c>
      <c r="G1247" t="s">
        <v>4579</v>
      </c>
      <c r="H1247" t="s">
        <v>4583</v>
      </c>
      <c r="I1247" t="s">
        <v>4605</v>
      </c>
      <c r="J1247">
        <v>5</v>
      </c>
      <c r="K1247">
        <v>44.95</v>
      </c>
      <c r="L1247">
        <v>0</v>
      </c>
      <c r="M1247">
        <v>11.04</v>
      </c>
      <c r="N1247" t="s">
        <v>5481</v>
      </c>
      <c r="O1247" t="s">
        <v>5473</v>
      </c>
      <c r="P1247" t="s">
        <v>5475</v>
      </c>
      <c r="Q1247" s="4">
        <v>224.75</v>
      </c>
    </row>
    <row r="1248" spans="1:17" x14ac:dyDescent="0.3">
      <c r="A1248" t="s">
        <v>29</v>
      </c>
      <c r="B1248" t="s">
        <v>1429</v>
      </c>
      <c r="C1248" s="1">
        <v>46015</v>
      </c>
      <c r="D1248" t="s">
        <v>2853</v>
      </c>
      <c r="E1248" t="s">
        <v>3276</v>
      </c>
      <c r="F1248" t="s">
        <v>4565</v>
      </c>
      <c r="G1248" t="s">
        <v>4579</v>
      </c>
      <c r="H1248" t="s">
        <v>4585</v>
      </c>
      <c r="I1248" t="s">
        <v>4590</v>
      </c>
      <c r="J1248">
        <v>1</v>
      </c>
      <c r="K1248">
        <v>13.36</v>
      </c>
      <c r="L1248">
        <v>0.1</v>
      </c>
      <c r="M1248">
        <v>6.24</v>
      </c>
      <c r="N1248" t="s">
        <v>5481</v>
      </c>
      <c r="O1248" t="s">
        <v>5471</v>
      </c>
      <c r="P1248" t="s">
        <v>5477</v>
      </c>
      <c r="Q1248" s="4">
        <v>12.023999999999999</v>
      </c>
    </row>
    <row r="1249" spans="1:17" x14ac:dyDescent="0.3">
      <c r="A1249" t="s">
        <v>1217</v>
      </c>
      <c r="B1249" t="s">
        <v>2471</v>
      </c>
      <c r="C1249" s="1">
        <v>45317</v>
      </c>
      <c r="D1249" t="s">
        <v>2850</v>
      </c>
      <c r="E1249" t="s">
        <v>4367</v>
      </c>
      <c r="F1249" t="s">
        <v>4566</v>
      </c>
      <c r="G1249" t="s">
        <v>4582</v>
      </c>
      <c r="H1249" t="s">
        <v>4585</v>
      </c>
      <c r="I1249" t="s">
        <v>4592</v>
      </c>
      <c r="J1249">
        <v>4</v>
      </c>
      <c r="K1249">
        <v>6.56</v>
      </c>
      <c r="L1249">
        <v>0</v>
      </c>
      <c r="M1249">
        <v>5.5</v>
      </c>
      <c r="N1249" t="s">
        <v>5462</v>
      </c>
      <c r="O1249" t="s">
        <v>5470</v>
      </c>
      <c r="P1249" t="s">
        <v>5477</v>
      </c>
      <c r="Q1249" s="4">
        <v>26.24</v>
      </c>
    </row>
    <row r="1250" spans="1:17" x14ac:dyDescent="0.3">
      <c r="A1250" t="s">
        <v>1218</v>
      </c>
      <c r="B1250" t="s">
        <v>2472</v>
      </c>
      <c r="C1250" s="1">
        <v>45806</v>
      </c>
      <c r="D1250" t="s">
        <v>3098</v>
      </c>
      <c r="E1250" t="s">
        <v>4368</v>
      </c>
      <c r="F1250" t="s">
        <v>4564</v>
      </c>
      <c r="G1250" t="s">
        <v>4573</v>
      </c>
      <c r="H1250" t="s">
        <v>4585</v>
      </c>
      <c r="I1250" t="s">
        <v>4598</v>
      </c>
      <c r="J1250">
        <v>1</v>
      </c>
      <c r="K1250">
        <v>3.08</v>
      </c>
      <c r="L1250">
        <v>0.1</v>
      </c>
      <c r="M1250">
        <v>1.22</v>
      </c>
      <c r="N1250" t="s">
        <v>5463</v>
      </c>
      <c r="O1250" t="s">
        <v>5469</v>
      </c>
      <c r="P1250" t="s">
        <v>5475</v>
      </c>
      <c r="Q1250" s="4">
        <v>2.7720000000000002</v>
      </c>
    </row>
    <row r="1251" spans="1:17" x14ac:dyDescent="0.3">
      <c r="A1251" t="s">
        <v>1219</v>
      </c>
      <c r="B1251" t="s">
        <v>2473</v>
      </c>
      <c r="C1251" s="1">
        <v>45557</v>
      </c>
      <c r="D1251" t="s">
        <v>3040</v>
      </c>
      <c r="E1251" t="s">
        <v>4369</v>
      </c>
      <c r="F1251" t="s">
        <v>4564</v>
      </c>
      <c r="G1251" t="s">
        <v>4573</v>
      </c>
      <c r="H1251" t="s">
        <v>4587</v>
      </c>
      <c r="I1251" t="s">
        <v>4600</v>
      </c>
      <c r="J1251">
        <v>4</v>
      </c>
      <c r="K1251">
        <v>12.52</v>
      </c>
      <c r="L1251">
        <v>0.15</v>
      </c>
      <c r="M1251">
        <v>0.38</v>
      </c>
      <c r="N1251" t="s">
        <v>5481</v>
      </c>
      <c r="O1251" t="s">
        <v>5469</v>
      </c>
      <c r="P1251" t="s">
        <v>5476</v>
      </c>
      <c r="Q1251" s="4">
        <v>42.567999999999998</v>
      </c>
    </row>
    <row r="1252" spans="1:17" x14ac:dyDescent="0.3">
      <c r="A1252" t="s">
        <v>1220</v>
      </c>
      <c r="B1252" t="s">
        <v>2474</v>
      </c>
      <c r="C1252" s="1">
        <v>45297</v>
      </c>
      <c r="D1252" t="s">
        <v>3057</v>
      </c>
      <c r="E1252" t="s">
        <v>4370</v>
      </c>
      <c r="F1252" t="s">
        <v>4565</v>
      </c>
      <c r="G1252" t="s">
        <v>4576</v>
      </c>
      <c r="H1252" t="s">
        <v>4586</v>
      </c>
      <c r="I1252" t="s">
        <v>4593</v>
      </c>
      <c r="J1252">
        <v>1</v>
      </c>
      <c r="K1252">
        <v>106.26</v>
      </c>
      <c r="L1252">
        <v>0.1</v>
      </c>
      <c r="N1252" t="s">
        <v>5465</v>
      </c>
      <c r="O1252" t="s">
        <v>5473</v>
      </c>
      <c r="P1252" t="s">
        <v>5477</v>
      </c>
      <c r="Q1252" s="4">
        <v>95.634</v>
      </c>
    </row>
    <row r="1253" spans="1:17" x14ac:dyDescent="0.3">
      <c r="A1253" t="s">
        <v>1221</v>
      </c>
      <c r="B1253" t="s">
        <v>2475</v>
      </c>
      <c r="C1253" s="1">
        <v>45453</v>
      </c>
      <c r="D1253" t="s">
        <v>2839</v>
      </c>
      <c r="E1253" t="s">
        <v>4371</v>
      </c>
      <c r="F1253" t="s">
        <v>4565</v>
      </c>
      <c r="G1253" t="s">
        <v>4575</v>
      </c>
      <c r="H1253" t="s">
        <v>4585</v>
      </c>
      <c r="I1253" t="s">
        <v>4598</v>
      </c>
      <c r="J1253">
        <v>1</v>
      </c>
      <c r="K1253">
        <v>3.01</v>
      </c>
      <c r="L1253">
        <v>0</v>
      </c>
      <c r="M1253">
        <v>0</v>
      </c>
      <c r="N1253" t="s">
        <v>5464</v>
      </c>
      <c r="O1253" t="s">
        <v>5469</v>
      </c>
      <c r="P1253" t="s">
        <v>5477</v>
      </c>
      <c r="Q1253" s="4">
        <v>3.01</v>
      </c>
    </row>
    <row r="1254" spans="1:17" x14ac:dyDescent="0.3">
      <c r="A1254" t="s">
        <v>1222</v>
      </c>
      <c r="B1254" t="s">
        <v>2476</v>
      </c>
      <c r="C1254" s="1">
        <v>45343</v>
      </c>
      <c r="D1254" t="s">
        <v>3084</v>
      </c>
      <c r="E1254" t="s">
        <v>4372</v>
      </c>
      <c r="F1254" t="s">
        <v>4569</v>
      </c>
      <c r="G1254" t="s">
        <v>4572</v>
      </c>
      <c r="H1254" t="s">
        <v>4583</v>
      </c>
      <c r="I1254" t="s">
        <v>4610</v>
      </c>
      <c r="J1254">
        <v>1</v>
      </c>
      <c r="K1254">
        <v>83.33</v>
      </c>
      <c r="L1254">
        <v>0</v>
      </c>
      <c r="M1254">
        <v>10.87</v>
      </c>
      <c r="N1254" t="s">
        <v>5481</v>
      </c>
      <c r="O1254" t="s">
        <v>5469</v>
      </c>
      <c r="P1254" t="s">
        <v>5476</v>
      </c>
      <c r="Q1254" s="4">
        <v>83.33</v>
      </c>
    </row>
    <row r="1255" spans="1:17" x14ac:dyDescent="0.3">
      <c r="A1255" t="s">
        <v>1223</v>
      </c>
      <c r="B1255" t="s">
        <v>2477</v>
      </c>
      <c r="C1255" s="1">
        <v>45958</v>
      </c>
      <c r="D1255" t="s">
        <v>2965</v>
      </c>
      <c r="E1255" t="s">
        <v>5481</v>
      </c>
      <c r="F1255" t="s">
        <v>4549</v>
      </c>
      <c r="G1255" t="s">
        <v>4573</v>
      </c>
      <c r="H1255" t="s">
        <v>4584</v>
      </c>
      <c r="I1255" t="s">
        <v>4595</v>
      </c>
      <c r="J1255">
        <v>1</v>
      </c>
      <c r="K1255">
        <v>40.869999999999997</v>
      </c>
      <c r="L1255">
        <v>0.1</v>
      </c>
      <c r="M1255">
        <v>2.11</v>
      </c>
      <c r="N1255" t="s">
        <v>5462</v>
      </c>
      <c r="O1255" t="s">
        <v>5473</v>
      </c>
      <c r="P1255" t="s">
        <v>5477</v>
      </c>
      <c r="Q1255" s="4">
        <v>36.783000000000001</v>
      </c>
    </row>
    <row r="1256" spans="1:17" x14ac:dyDescent="0.3">
      <c r="A1256" t="s">
        <v>1224</v>
      </c>
      <c r="B1256" t="s">
        <v>2478</v>
      </c>
      <c r="C1256" s="1">
        <v>45967</v>
      </c>
      <c r="D1256" t="s">
        <v>2986</v>
      </c>
      <c r="E1256" t="s">
        <v>4373</v>
      </c>
      <c r="F1256" t="s">
        <v>4549</v>
      </c>
      <c r="G1256" t="s">
        <v>4574</v>
      </c>
      <c r="H1256" t="s">
        <v>4585</v>
      </c>
      <c r="I1256" t="s">
        <v>4591</v>
      </c>
      <c r="J1256">
        <v>10</v>
      </c>
      <c r="K1256">
        <v>7.52</v>
      </c>
      <c r="L1256">
        <v>0.05</v>
      </c>
      <c r="M1256">
        <v>14.15</v>
      </c>
      <c r="N1256" t="s">
        <v>5467</v>
      </c>
      <c r="O1256" t="s">
        <v>5471</v>
      </c>
      <c r="P1256" t="s">
        <v>5477</v>
      </c>
      <c r="Q1256" s="4">
        <v>71.439999999999984</v>
      </c>
    </row>
    <row r="1257" spans="1:17" x14ac:dyDescent="0.3">
      <c r="A1257" t="s">
        <v>1225</v>
      </c>
      <c r="B1257" t="s">
        <v>1828</v>
      </c>
      <c r="C1257" s="1">
        <v>46009</v>
      </c>
      <c r="D1257" t="s">
        <v>2684</v>
      </c>
      <c r="E1257" t="s">
        <v>4374</v>
      </c>
      <c r="F1257" t="s">
        <v>4564</v>
      </c>
      <c r="G1257" t="s">
        <v>4578</v>
      </c>
      <c r="H1257" t="s">
        <v>4584</v>
      </c>
      <c r="I1257" t="s">
        <v>4608</v>
      </c>
      <c r="J1257">
        <v>1</v>
      </c>
      <c r="K1257">
        <v>18.54</v>
      </c>
      <c r="L1257">
        <v>0</v>
      </c>
      <c r="M1257">
        <v>10.9</v>
      </c>
      <c r="N1257" t="s">
        <v>5481</v>
      </c>
      <c r="O1257" t="s">
        <v>5472</v>
      </c>
      <c r="P1257" t="s">
        <v>5476</v>
      </c>
      <c r="Q1257" s="4">
        <v>18.54</v>
      </c>
    </row>
    <row r="1258" spans="1:17" x14ac:dyDescent="0.3">
      <c r="A1258" t="s">
        <v>1226</v>
      </c>
      <c r="B1258" t="s">
        <v>2479</v>
      </c>
      <c r="C1258" s="1">
        <v>45354</v>
      </c>
      <c r="D1258" t="s">
        <v>2951</v>
      </c>
      <c r="E1258" t="s">
        <v>4375</v>
      </c>
      <c r="F1258" t="s">
        <v>4565</v>
      </c>
      <c r="G1258" t="s">
        <v>4576</v>
      </c>
      <c r="H1258" t="s">
        <v>4586</v>
      </c>
      <c r="I1258" t="s">
        <v>4609</v>
      </c>
      <c r="J1258">
        <v>4</v>
      </c>
      <c r="K1258">
        <v>129.63</v>
      </c>
      <c r="L1258">
        <v>0</v>
      </c>
      <c r="M1258">
        <v>0.83</v>
      </c>
      <c r="N1258" t="s">
        <v>5468</v>
      </c>
      <c r="O1258" t="s">
        <v>5473</v>
      </c>
      <c r="P1258" t="s">
        <v>5477</v>
      </c>
      <c r="Q1258" s="4">
        <v>518.52</v>
      </c>
    </row>
    <row r="1259" spans="1:17" x14ac:dyDescent="0.3">
      <c r="A1259" t="s">
        <v>1227</v>
      </c>
      <c r="B1259" t="s">
        <v>2059</v>
      </c>
      <c r="C1259" s="1">
        <v>45721</v>
      </c>
      <c r="D1259" t="s">
        <v>2949</v>
      </c>
      <c r="E1259" t="s">
        <v>5481</v>
      </c>
      <c r="F1259" t="s">
        <v>4565</v>
      </c>
      <c r="G1259" t="s">
        <v>4575</v>
      </c>
      <c r="H1259" t="s">
        <v>4585</v>
      </c>
      <c r="I1259" t="s">
        <v>4602</v>
      </c>
      <c r="J1259">
        <v>2</v>
      </c>
      <c r="K1259">
        <v>4.22</v>
      </c>
      <c r="L1259">
        <v>0</v>
      </c>
      <c r="M1259">
        <v>2.5</v>
      </c>
      <c r="N1259" t="s">
        <v>5462</v>
      </c>
      <c r="O1259" t="s">
        <v>5471</v>
      </c>
      <c r="P1259" t="s">
        <v>5477</v>
      </c>
      <c r="Q1259" s="4">
        <v>8.44</v>
      </c>
    </row>
    <row r="1260" spans="1:17" x14ac:dyDescent="0.3">
      <c r="A1260" t="s">
        <v>1228</v>
      </c>
      <c r="B1260" t="s">
        <v>2396</v>
      </c>
      <c r="C1260" s="1">
        <v>45635</v>
      </c>
      <c r="D1260" t="s">
        <v>2955</v>
      </c>
      <c r="E1260" t="s">
        <v>4376</v>
      </c>
      <c r="F1260" t="s">
        <v>4566</v>
      </c>
      <c r="G1260" t="s">
        <v>4582</v>
      </c>
      <c r="H1260" t="s">
        <v>4583</v>
      </c>
      <c r="I1260" t="s">
        <v>4610</v>
      </c>
      <c r="J1260">
        <v>4</v>
      </c>
      <c r="K1260">
        <v>82.62</v>
      </c>
      <c r="L1260">
        <v>0</v>
      </c>
      <c r="M1260">
        <v>14.14</v>
      </c>
      <c r="N1260" t="s">
        <v>5462</v>
      </c>
      <c r="O1260" t="s">
        <v>5470</v>
      </c>
      <c r="P1260" t="s">
        <v>5477</v>
      </c>
      <c r="Q1260" s="4">
        <v>330.48</v>
      </c>
    </row>
    <row r="1261" spans="1:17" x14ac:dyDescent="0.3">
      <c r="A1261" t="s">
        <v>945</v>
      </c>
      <c r="B1261" t="s">
        <v>2258</v>
      </c>
      <c r="C1261" s="1">
        <v>45589</v>
      </c>
      <c r="D1261" t="s">
        <v>2814</v>
      </c>
      <c r="E1261" t="s">
        <v>4117</v>
      </c>
      <c r="F1261" t="s">
        <v>4549</v>
      </c>
      <c r="G1261" t="s">
        <v>4574</v>
      </c>
      <c r="H1261" t="s">
        <v>4587</v>
      </c>
      <c r="I1261" t="s">
        <v>4606</v>
      </c>
      <c r="J1261">
        <v>1</v>
      </c>
      <c r="K1261">
        <v>29.61</v>
      </c>
      <c r="L1261">
        <v>0.1</v>
      </c>
      <c r="M1261">
        <v>7.05</v>
      </c>
      <c r="N1261" t="s">
        <v>5467</v>
      </c>
      <c r="O1261" t="s">
        <v>5471</v>
      </c>
      <c r="P1261" t="s">
        <v>5477</v>
      </c>
      <c r="Q1261" s="4">
        <v>26.649000000000001</v>
      </c>
    </row>
    <row r="1262" spans="1:17" x14ac:dyDescent="0.3">
      <c r="A1262" t="s">
        <v>1229</v>
      </c>
      <c r="B1262" t="s">
        <v>2480</v>
      </c>
      <c r="C1262" s="1">
        <v>45716</v>
      </c>
      <c r="D1262" t="s">
        <v>2962</v>
      </c>
      <c r="E1262" t="s">
        <v>3704</v>
      </c>
      <c r="F1262" t="s">
        <v>4569</v>
      </c>
      <c r="G1262" t="s">
        <v>4580</v>
      </c>
      <c r="H1262" t="s">
        <v>4585</v>
      </c>
      <c r="I1262" t="s">
        <v>4598</v>
      </c>
      <c r="J1262">
        <v>1</v>
      </c>
      <c r="K1262">
        <v>3.23</v>
      </c>
      <c r="L1262">
        <v>0.05</v>
      </c>
      <c r="M1262">
        <v>13.27</v>
      </c>
      <c r="N1262" t="s">
        <v>5468</v>
      </c>
      <c r="O1262" t="s">
        <v>5474</v>
      </c>
      <c r="P1262" t="s">
        <v>5475</v>
      </c>
      <c r="Q1262" s="4">
        <v>3.0684999999999998</v>
      </c>
    </row>
    <row r="1263" spans="1:17" x14ac:dyDescent="0.3">
      <c r="A1263" t="s">
        <v>1230</v>
      </c>
      <c r="B1263" t="s">
        <v>2481</v>
      </c>
      <c r="C1263" s="1">
        <v>46001</v>
      </c>
      <c r="D1263" t="s">
        <v>2754</v>
      </c>
      <c r="E1263" t="s">
        <v>4377</v>
      </c>
      <c r="F1263" t="s">
        <v>4549</v>
      </c>
      <c r="G1263" t="s">
        <v>4573</v>
      </c>
      <c r="H1263" t="s">
        <v>4586</v>
      </c>
      <c r="I1263" t="s">
        <v>4609</v>
      </c>
      <c r="J1263">
        <v>1</v>
      </c>
      <c r="K1263">
        <v>127.95</v>
      </c>
      <c r="L1263">
        <v>0</v>
      </c>
      <c r="M1263">
        <v>3.4</v>
      </c>
      <c r="N1263" t="s">
        <v>5462</v>
      </c>
      <c r="O1263" t="s">
        <v>5469</v>
      </c>
      <c r="P1263" t="s">
        <v>5477</v>
      </c>
      <c r="Q1263" s="4">
        <v>127.95</v>
      </c>
    </row>
    <row r="1264" spans="1:17" x14ac:dyDescent="0.3">
      <c r="A1264" t="s">
        <v>1231</v>
      </c>
      <c r="B1264" t="s">
        <v>2482</v>
      </c>
      <c r="C1264" s="1">
        <v>45745</v>
      </c>
      <c r="D1264" t="s">
        <v>2918</v>
      </c>
      <c r="E1264" t="s">
        <v>4378</v>
      </c>
      <c r="F1264" t="s">
        <v>4566</v>
      </c>
      <c r="G1264" t="s">
        <v>4573</v>
      </c>
      <c r="H1264" t="s">
        <v>4584</v>
      </c>
      <c r="I1264" t="s">
        <v>4589</v>
      </c>
      <c r="J1264">
        <v>1</v>
      </c>
      <c r="K1264">
        <v>35</v>
      </c>
      <c r="L1264">
        <v>0</v>
      </c>
      <c r="M1264">
        <v>11.67</v>
      </c>
      <c r="N1264" t="s">
        <v>5466</v>
      </c>
      <c r="O1264" t="s">
        <v>5481</v>
      </c>
      <c r="P1264" t="s">
        <v>5477</v>
      </c>
      <c r="Q1264" s="4">
        <v>35</v>
      </c>
    </row>
    <row r="1265" spans="1:17" x14ac:dyDescent="0.3">
      <c r="A1265" t="s">
        <v>1232</v>
      </c>
      <c r="B1265" t="s">
        <v>2483</v>
      </c>
      <c r="C1265" s="1">
        <v>45416</v>
      </c>
      <c r="D1265" t="s">
        <v>2642</v>
      </c>
      <c r="E1265" t="s">
        <v>4379</v>
      </c>
      <c r="F1265" t="s">
        <v>4566</v>
      </c>
      <c r="G1265" t="s">
        <v>4582</v>
      </c>
      <c r="H1265" t="s">
        <v>4583</v>
      </c>
      <c r="I1265" t="s">
        <v>4605</v>
      </c>
      <c r="J1265">
        <v>1</v>
      </c>
      <c r="K1265">
        <v>45.8</v>
      </c>
      <c r="L1265">
        <v>0</v>
      </c>
      <c r="M1265">
        <v>14.74</v>
      </c>
      <c r="N1265" t="s">
        <v>5464</v>
      </c>
      <c r="O1265" t="s">
        <v>5474</v>
      </c>
      <c r="P1265" t="s">
        <v>5476</v>
      </c>
      <c r="Q1265" s="4">
        <v>45.8</v>
      </c>
    </row>
    <row r="1266" spans="1:17" x14ac:dyDescent="0.3">
      <c r="A1266" t="s">
        <v>1233</v>
      </c>
      <c r="B1266" t="s">
        <v>2484</v>
      </c>
      <c r="C1266" s="1">
        <v>45589</v>
      </c>
      <c r="D1266" t="s">
        <v>2768</v>
      </c>
      <c r="E1266" t="s">
        <v>4380</v>
      </c>
      <c r="F1266" t="s">
        <v>4564</v>
      </c>
      <c r="G1266" t="s">
        <v>4578</v>
      </c>
      <c r="H1266" t="s">
        <v>4585</v>
      </c>
      <c r="I1266" t="s">
        <v>4598</v>
      </c>
      <c r="J1266">
        <v>1</v>
      </c>
      <c r="K1266">
        <v>3.05</v>
      </c>
      <c r="L1266">
        <v>0.1</v>
      </c>
      <c r="M1266">
        <v>7.96</v>
      </c>
      <c r="N1266" t="s">
        <v>5467</v>
      </c>
      <c r="O1266" t="s">
        <v>5481</v>
      </c>
      <c r="P1266" t="s">
        <v>5477</v>
      </c>
      <c r="Q1266" s="4">
        <v>2.7450000000000001</v>
      </c>
    </row>
    <row r="1267" spans="1:17" x14ac:dyDescent="0.3">
      <c r="A1267" t="s">
        <v>1234</v>
      </c>
      <c r="B1267" t="s">
        <v>1875</v>
      </c>
      <c r="C1267" s="1">
        <v>45422</v>
      </c>
      <c r="D1267" t="s">
        <v>2793</v>
      </c>
      <c r="E1267" t="s">
        <v>4381</v>
      </c>
      <c r="F1267" t="s">
        <v>4549</v>
      </c>
      <c r="G1267" t="s">
        <v>4573</v>
      </c>
      <c r="H1267" t="s">
        <v>4587</v>
      </c>
      <c r="I1267" t="s">
        <v>4600</v>
      </c>
      <c r="J1267">
        <v>2</v>
      </c>
      <c r="K1267">
        <v>13.09</v>
      </c>
      <c r="L1267">
        <v>0</v>
      </c>
      <c r="M1267">
        <v>13.07</v>
      </c>
      <c r="N1267" t="s">
        <v>5467</v>
      </c>
      <c r="O1267" t="s">
        <v>5474</v>
      </c>
      <c r="P1267" t="s">
        <v>5477</v>
      </c>
      <c r="Q1267" s="4">
        <v>26.18</v>
      </c>
    </row>
    <row r="1268" spans="1:17" x14ac:dyDescent="0.3">
      <c r="A1268" t="s">
        <v>1235</v>
      </c>
      <c r="B1268" t="s">
        <v>2485</v>
      </c>
      <c r="C1268" s="1">
        <v>45868</v>
      </c>
      <c r="D1268" t="s">
        <v>3222</v>
      </c>
      <c r="E1268" t="s">
        <v>4382</v>
      </c>
      <c r="F1268" t="s">
        <v>4549</v>
      </c>
      <c r="G1268" t="s">
        <v>4573</v>
      </c>
      <c r="H1268" t="s">
        <v>4584</v>
      </c>
      <c r="I1268" t="s">
        <v>4608</v>
      </c>
      <c r="J1268">
        <v>4</v>
      </c>
      <c r="K1268">
        <v>18.53</v>
      </c>
      <c r="L1268">
        <v>0.05</v>
      </c>
      <c r="M1268">
        <v>1.37</v>
      </c>
      <c r="N1268" t="s">
        <v>5466</v>
      </c>
      <c r="O1268" t="s">
        <v>5474</v>
      </c>
      <c r="P1268" t="s">
        <v>5477</v>
      </c>
      <c r="Q1268" s="4">
        <v>70.414000000000001</v>
      </c>
    </row>
    <row r="1269" spans="1:17" x14ac:dyDescent="0.3">
      <c r="A1269" t="s">
        <v>1236</v>
      </c>
      <c r="B1269" t="s">
        <v>2406</v>
      </c>
      <c r="C1269" s="1">
        <v>45604</v>
      </c>
      <c r="D1269" t="s">
        <v>2677</v>
      </c>
      <c r="E1269" t="s">
        <v>4383</v>
      </c>
      <c r="F1269" t="s">
        <v>4566</v>
      </c>
      <c r="G1269" t="s">
        <v>4582</v>
      </c>
      <c r="H1269" t="s">
        <v>4587</v>
      </c>
      <c r="I1269" t="s">
        <v>4606</v>
      </c>
      <c r="J1269">
        <v>5</v>
      </c>
      <c r="K1269">
        <v>29.81</v>
      </c>
      <c r="L1269">
        <v>0</v>
      </c>
      <c r="M1269">
        <v>1.35</v>
      </c>
      <c r="N1269" t="s">
        <v>5466</v>
      </c>
      <c r="O1269" t="s">
        <v>5469</v>
      </c>
      <c r="P1269" t="s">
        <v>5477</v>
      </c>
      <c r="Q1269" s="4">
        <v>149.04999999999998</v>
      </c>
    </row>
    <row r="1270" spans="1:17" x14ac:dyDescent="0.3">
      <c r="A1270" t="s">
        <v>1237</v>
      </c>
      <c r="B1270" t="s">
        <v>2486</v>
      </c>
      <c r="C1270" s="1">
        <v>45734</v>
      </c>
      <c r="D1270" t="s">
        <v>3223</v>
      </c>
      <c r="E1270" t="s">
        <v>4384</v>
      </c>
      <c r="F1270" t="s">
        <v>4564</v>
      </c>
      <c r="G1270" t="s">
        <v>4578</v>
      </c>
      <c r="H1270" t="s">
        <v>4583</v>
      </c>
      <c r="I1270" t="s">
        <v>4604</v>
      </c>
      <c r="J1270">
        <v>1</v>
      </c>
      <c r="K1270">
        <v>23.21</v>
      </c>
      <c r="L1270">
        <v>0.15</v>
      </c>
      <c r="M1270">
        <v>2.71</v>
      </c>
      <c r="N1270" t="s">
        <v>5465</v>
      </c>
      <c r="O1270" t="s">
        <v>5469</v>
      </c>
      <c r="P1270" t="s">
        <v>5479</v>
      </c>
      <c r="Q1270" s="4">
        <v>19.7285</v>
      </c>
    </row>
    <row r="1271" spans="1:17" x14ac:dyDescent="0.3">
      <c r="A1271" t="s">
        <v>1238</v>
      </c>
      <c r="B1271" t="s">
        <v>2487</v>
      </c>
      <c r="C1271" s="1">
        <v>46010</v>
      </c>
      <c r="D1271" t="s">
        <v>2977</v>
      </c>
      <c r="E1271" t="s">
        <v>4385</v>
      </c>
      <c r="F1271" t="s">
        <v>4569</v>
      </c>
      <c r="G1271" t="s">
        <v>4572</v>
      </c>
      <c r="H1271" t="s">
        <v>4587</v>
      </c>
      <c r="I1271" t="s">
        <v>4606</v>
      </c>
      <c r="J1271">
        <v>5</v>
      </c>
      <c r="K1271">
        <v>31.32</v>
      </c>
      <c r="L1271">
        <v>0.15</v>
      </c>
      <c r="M1271">
        <v>6.73</v>
      </c>
      <c r="N1271" t="s">
        <v>5463</v>
      </c>
      <c r="O1271" t="s">
        <v>5469</v>
      </c>
      <c r="P1271" t="s">
        <v>5477</v>
      </c>
      <c r="Q1271" s="4">
        <v>133.10999999999999</v>
      </c>
    </row>
    <row r="1272" spans="1:17" x14ac:dyDescent="0.3">
      <c r="A1272" t="s">
        <v>1239</v>
      </c>
      <c r="B1272" t="s">
        <v>2488</v>
      </c>
      <c r="C1272" s="1">
        <v>45751</v>
      </c>
      <c r="D1272" t="s">
        <v>2649</v>
      </c>
      <c r="E1272" t="s">
        <v>4386</v>
      </c>
      <c r="F1272" t="s">
        <v>4549</v>
      </c>
      <c r="G1272" t="s">
        <v>4574</v>
      </c>
      <c r="H1272" t="s">
        <v>4583</v>
      </c>
      <c r="I1272" t="s">
        <v>4588</v>
      </c>
      <c r="J1272">
        <v>4</v>
      </c>
      <c r="K1272">
        <v>39.9</v>
      </c>
      <c r="L1272">
        <v>0</v>
      </c>
      <c r="M1272">
        <v>12.13</v>
      </c>
      <c r="N1272" t="s">
        <v>5464</v>
      </c>
      <c r="O1272" t="s">
        <v>5469</v>
      </c>
      <c r="P1272" t="s">
        <v>5476</v>
      </c>
      <c r="Q1272" s="4">
        <v>159.6</v>
      </c>
    </row>
    <row r="1273" spans="1:17" x14ac:dyDescent="0.3">
      <c r="A1273" t="s">
        <v>1240</v>
      </c>
      <c r="B1273" t="s">
        <v>2489</v>
      </c>
      <c r="C1273" s="1">
        <v>45562</v>
      </c>
      <c r="D1273" t="s">
        <v>2846</v>
      </c>
      <c r="E1273" t="s">
        <v>4387</v>
      </c>
      <c r="F1273" t="s">
        <v>4565</v>
      </c>
      <c r="G1273" t="s">
        <v>4575</v>
      </c>
      <c r="H1273" t="s">
        <v>4584</v>
      </c>
      <c r="I1273" t="s">
        <v>4589</v>
      </c>
      <c r="J1273">
        <v>2</v>
      </c>
      <c r="K1273">
        <v>35.299999999999997</v>
      </c>
      <c r="L1273">
        <v>0.1</v>
      </c>
      <c r="M1273">
        <v>4.37</v>
      </c>
      <c r="N1273" t="s">
        <v>5466</v>
      </c>
      <c r="O1273" t="s">
        <v>5474</v>
      </c>
      <c r="P1273" t="s">
        <v>5476</v>
      </c>
      <c r="Q1273" s="4">
        <v>63.54</v>
      </c>
    </row>
    <row r="1274" spans="1:17" x14ac:dyDescent="0.3">
      <c r="A1274" t="s">
        <v>1241</v>
      </c>
      <c r="B1274" t="s">
        <v>2241</v>
      </c>
      <c r="C1274" s="1">
        <v>45335</v>
      </c>
      <c r="D1274" t="s">
        <v>2765</v>
      </c>
      <c r="E1274" t="s">
        <v>4388</v>
      </c>
      <c r="F1274" t="s">
        <v>4569</v>
      </c>
      <c r="G1274" t="s">
        <v>4581</v>
      </c>
      <c r="H1274" t="s">
        <v>4583</v>
      </c>
      <c r="I1274" t="s">
        <v>4588</v>
      </c>
      <c r="J1274">
        <v>1</v>
      </c>
      <c r="K1274">
        <v>39.75</v>
      </c>
      <c r="L1274">
        <v>0.15</v>
      </c>
      <c r="M1274">
        <v>0</v>
      </c>
      <c r="N1274" t="s">
        <v>5463</v>
      </c>
      <c r="O1274" t="s">
        <v>5471</v>
      </c>
      <c r="P1274" t="s">
        <v>5477</v>
      </c>
      <c r="Q1274" s="4">
        <v>33.787500000000001</v>
      </c>
    </row>
    <row r="1275" spans="1:17" x14ac:dyDescent="0.3">
      <c r="A1275" t="s">
        <v>1242</v>
      </c>
      <c r="B1275" t="s">
        <v>2490</v>
      </c>
      <c r="C1275" s="1">
        <v>45686</v>
      </c>
      <c r="D1275" t="s">
        <v>3225</v>
      </c>
      <c r="E1275" t="s">
        <v>4389</v>
      </c>
      <c r="F1275" t="s">
        <v>4549</v>
      </c>
      <c r="G1275" t="s">
        <v>4573</v>
      </c>
      <c r="H1275" t="s">
        <v>4583</v>
      </c>
      <c r="I1275" t="s">
        <v>4610</v>
      </c>
      <c r="J1275">
        <v>2</v>
      </c>
      <c r="K1275">
        <v>82.97</v>
      </c>
      <c r="L1275">
        <v>0.05</v>
      </c>
      <c r="M1275">
        <v>3.9</v>
      </c>
      <c r="N1275" t="s">
        <v>5466</v>
      </c>
      <c r="O1275" t="s">
        <v>5471</v>
      </c>
      <c r="P1275" t="s">
        <v>5477</v>
      </c>
      <c r="Q1275" s="4">
        <v>157.643</v>
      </c>
    </row>
    <row r="1276" spans="1:17" x14ac:dyDescent="0.3">
      <c r="A1276" t="s">
        <v>1243</v>
      </c>
      <c r="B1276" t="s">
        <v>2491</v>
      </c>
      <c r="C1276" s="1">
        <v>45715</v>
      </c>
      <c r="D1276" t="s">
        <v>2811</v>
      </c>
      <c r="E1276" t="s">
        <v>4390</v>
      </c>
      <c r="F1276" t="s">
        <v>4565</v>
      </c>
      <c r="G1276" t="s">
        <v>4579</v>
      </c>
      <c r="H1276" t="s">
        <v>4585</v>
      </c>
      <c r="I1276" t="s">
        <v>4590</v>
      </c>
      <c r="J1276">
        <v>2</v>
      </c>
      <c r="K1276">
        <v>13.63</v>
      </c>
      <c r="L1276">
        <v>0</v>
      </c>
      <c r="M1276">
        <v>12.09</v>
      </c>
      <c r="N1276" t="s">
        <v>5463</v>
      </c>
      <c r="O1276" t="s">
        <v>5469</v>
      </c>
      <c r="P1276" t="s">
        <v>5477</v>
      </c>
      <c r="Q1276" s="4">
        <v>27.26</v>
      </c>
    </row>
    <row r="1277" spans="1:17" x14ac:dyDescent="0.3">
      <c r="A1277" t="s">
        <v>1244</v>
      </c>
      <c r="B1277" t="s">
        <v>2450</v>
      </c>
      <c r="C1277" s="1">
        <v>45431</v>
      </c>
      <c r="D1277" t="s">
        <v>2651</v>
      </c>
      <c r="E1277" t="s">
        <v>4391</v>
      </c>
      <c r="F1277" t="s">
        <v>4564</v>
      </c>
      <c r="G1277" t="s">
        <v>4578</v>
      </c>
      <c r="H1277" t="s">
        <v>4585</v>
      </c>
      <c r="I1277" t="s">
        <v>4591</v>
      </c>
      <c r="J1277">
        <v>1</v>
      </c>
      <c r="K1277">
        <v>8.16</v>
      </c>
      <c r="L1277">
        <v>0</v>
      </c>
      <c r="M1277">
        <v>0.18</v>
      </c>
      <c r="N1277" t="s">
        <v>5481</v>
      </c>
      <c r="O1277" t="s">
        <v>5474</v>
      </c>
      <c r="P1277" t="s">
        <v>5477</v>
      </c>
      <c r="Q1277" s="4">
        <v>8.16</v>
      </c>
    </row>
    <row r="1278" spans="1:17" x14ac:dyDescent="0.3">
      <c r="A1278" t="s">
        <v>1245</v>
      </c>
      <c r="B1278" t="s">
        <v>2492</v>
      </c>
      <c r="C1278" s="1">
        <v>45512</v>
      </c>
      <c r="D1278" t="s">
        <v>3086</v>
      </c>
      <c r="E1278" t="s">
        <v>4392</v>
      </c>
      <c r="F1278" t="s">
        <v>4569</v>
      </c>
      <c r="G1278" t="s">
        <v>4580</v>
      </c>
      <c r="H1278" t="s">
        <v>4584</v>
      </c>
      <c r="I1278" t="s">
        <v>4601</v>
      </c>
      <c r="J1278">
        <v>4</v>
      </c>
      <c r="K1278">
        <v>195.04</v>
      </c>
      <c r="L1278">
        <v>0.05</v>
      </c>
      <c r="M1278">
        <v>13</v>
      </c>
      <c r="N1278" t="s">
        <v>5466</v>
      </c>
      <c r="O1278" t="s">
        <v>5474</v>
      </c>
      <c r="P1278" t="s">
        <v>5477</v>
      </c>
      <c r="Q1278" s="4">
        <v>741.15199999999993</v>
      </c>
    </row>
    <row r="1279" spans="1:17" x14ac:dyDescent="0.3">
      <c r="A1279" t="s">
        <v>1246</v>
      </c>
      <c r="B1279" t="s">
        <v>2493</v>
      </c>
      <c r="C1279" s="1">
        <v>45857</v>
      </c>
      <c r="D1279" t="s">
        <v>2794</v>
      </c>
      <c r="E1279" t="s">
        <v>4393</v>
      </c>
      <c r="F1279" t="s">
        <v>4566</v>
      </c>
      <c r="G1279" t="s">
        <v>4577</v>
      </c>
      <c r="H1279" t="s">
        <v>4587</v>
      </c>
      <c r="I1279" t="s">
        <v>4600</v>
      </c>
      <c r="J1279">
        <v>1</v>
      </c>
      <c r="K1279">
        <v>12.95</v>
      </c>
      <c r="L1279">
        <v>0</v>
      </c>
      <c r="M1279">
        <v>9.23</v>
      </c>
      <c r="N1279" t="s">
        <v>5464</v>
      </c>
      <c r="O1279" t="s">
        <v>5474</v>
      </c>
      <c r="P1279" t="s">
        <v>5477</v>
      </c>
      <c r="Q1279" s="4">
        <v>12.95</v>
      </c>
    </row>
    <row r="1280" spans="1:17" x14ac:dyDescent="0.3">
      <c r="A1280" t="s">
        <v>1247</v>
      </c>
      <c r="B1280" t="s">
        <v>2494</v>
      </c>
      <c r="C1280" s="1">
        <v>45509</v>
      </c>
      <c r="D1280" t="s">
        <v>3105</v>
      </c>
      <c r="E1280" t="s">
        <v>4394</v>
      </c>
      <c r="F1280" t="s">
        <v>4549</v>
      </c>
      <c r="G1280" t="s">
        <v>4573</v>
      </c>
      <c r="H1280" t="s">
        <v>4585</v>
      </c>
      <c r="I1280" t="s">
        <v>4590</v>
      </c>
      <c r="J1280">
        <v>1</v>
      </c>
      <c r="K1280">
        <v>14.48</v>
      </c>
      <c r="L1280">
        <v>0.05</v>
      </c>
      <c r="M1280">
        <v>6.95</v>
      </c>
      <c r="N1280" t="s">
        <v>5463</v>
      </c>
      <c r="O1280" t="s">
        <v>5481</v>
      </c>
      <c r="P1280" t="s">
        <v>5477</v>
      </c>
      <c r="Q1280" s="4">
        <v>13.756</v>
      </c>
    </row>
    <row r="1281" spans="1:17" x14ac:dyDescent="0.3">
      <c r="A1281" t="s">
        <v>1248</v>
      </c>
      <c r="B1281" t="s">
        <v>1971</v>
      </c>
      <c r="C1281" s="1">
        <v>45977</v>
      </c>
      <c r="D1281" t="s">
        <v>3093</v>
      </c>
      <c r="E1281" t="s">
        <v>4395</v>
      </c>
      <c r="F1281" t="s">
        <v>4565</v>
      </c>
      <c r="G1281" t="s">
        <v>4576</v>
      </c>
      <c r="H1281" t="s">
        <v>4585</v>
      </c>
      <c r="I1281" t="s">
        <v>4590</v>
      </c>
      <c r="J1281">
        <v>3</v>
      </c>
      <c r="K1281">
        <v>13.54</v>
      </c>
      <c r="L1281">
        <v>0.05</v>
      </c>
      <c r="M1281">
        <v>7.77</v>
      </c>
      <c r="N1281" t="s">
        <v>5466</v>
      </c>
      <c r="O1281" t="s">
        <v>5469</v>
      </c>
      <c r="P1281" t="s">
        <v>5477</v>
      </c>
      <c r="Q1281" s="4">
        <v>38.588999999999999</v>
      </c>
    </row>
    <row r="1282" spans="1:17" x14ac:dyDescent="0.3">
      <c r="A1282" t="s">
        <v>1249</v>
      </c>
      <c r="B1282" t="s">
        <v>2495</v>
      </c>
      <c r="C1282" s="1">
        <v>45372</v>
      </c>
      <c r="D1282" t="s">
        <v>2719</v>
      </c>
      <c r="E1282" t="s">
        <v>4396</v>
      </c>
      <c r="F1282" t="s">
        <v>4566</v>
      </c>
      <c r="G1282" t="s">
        <v>4577</v>
      </c>
      <c r="H1282" t="s">
        <v>4586</v>
      </c>
      <c r="I1282" t="s">
        <v>4593</v>
      </c>
      <c r="J1282">
        <v>3</v>
      </c>
      <c r="K1282">
        <v>112.41</v>
      </c>
      <c r="L1282">
        <v>0.15</v>
      </c>
      <c r="M1282">
        <v>7.87</v>
      </c>
      <c r="N1282" t="s">
        <v>5465</v>
      </c>
      <c r="O1282" t="s">
        <v>5470</v>
      </c>
      <c r="P1282" t="s">
        <v>5476</v>
      </c>
      <c r="Q1282" s="4">
        <v>286.64550000000003</v>
      </c>
    </row>
    <row r="1283" spans="1:17" x14ac:dyDescent="0.3">
      <c r="A1283" t="s">
        <v>1250</v>
      </c>
      <c r="B1283" t="s">
        <v>1474</v>
      </c>
      <c r="C1283" s="1">
        <v>45762</v>
      </c>
      <c r="D1283" t="s">
        <v>3227</v>
      </c>
      <c r="E1283" t="s">
        <v>4397</v>
      </c>
      <c r="F1283" t="s">
        <v>4565</v>
      </c>
      <c r="G1283" t="s">
        <v>4575</v>
      </c>
      <c r="H1283" t="s">
        <v>4585</v>
      </c>
      <c r="I1283" t="s">
        <v>4591</v>
      </c>
      <c r="J1283">
        <v>2</v>
      </c>
      <c r="K1283">
        <v>7.68</v>
      </c>
      <c r="L1283">
        <v>0.15</v>
      </c>
      <c r="M1283">
        <v>5.68</v>
      </c>
      <c r="N1283" t="s">
        <v>5462</v>
      </c>
      <c r="O1283" t="s">
        <v>5481</v>
      </c>
      <c r="P1283" t="s">
        <v>5475</v>
      </c>
      <c r="Q1283" s="4">
        <v>13.055999999999999</v>
      </c>
    </row>
    <row r="1284" spans="1:17" x14ac:dyDescent="0.3">
      <c r="A1284" t="s">
        <v>1251</v>
      </c>
      <c r="B1284" t="s">
        <v>2496</v>
      </c>
      <c r="C1284" s="1">
        <v>45758</v>
      </c>
      <c r="D1284" t="s">
        <v>3184</v>
      </c>
      <c r="E1284" t="s">
        <v>4398</v>
      </c>
      <c r="F1284" t="s">
        <v>4549</v>
      </c>
      <c r="G1284" t="s">
        <v>4574</v>
      </c>
      <c r="H1284" t="s">
        <v>4585</v>
      </c>
      <c r="I1284" t="s">
        <v>4602</v>
      </c>
      <c r="J1284">
        <v>1</v>
      </c>
      <c r="K1284">
        <v>4.04</v>
      </c>
      <c r="L1284">
        <v>0</v>
      </c>
      <c r="M1284">
        <v>9.35</v>
      </c>
      <c r="N1284" t="s">
        <v>5481</v>
      </c>
      <c r="O1284" t="s">
        <v>5470</v>
      </c>
      <c r="P1284" t="s">
        <v>5476</v>
      </c>
      <c r="Q1284" s="4">
        <v>4.04</v>
      </c>
    </row>
    <row r="1285" spans="1:17" x14ac:dyDescent="0.3">
      <c r="A1285" t="s">
        <v>1252</v>
      </c>
      <c r="B1285" t="s">
        <v>1617</v>
      </c>
      <c r="C1285" s="1">
        <v>46002</v>
      </c>
      <c r="D1285" t="s">
        <v>2861</v>
      </c>
      <c r="E1285" t="s">
        <v>4399</v>
      </c>
      <c r="F1285" t="s">
        <v>4566</v>
      </c>
      <c r="G1285" t="s">
        <v>4573</v>
      </c>
      <c r="H1285" t="s">
        <v>4583</v>
      </c>
      <c r="I1285" t="s">
        <v>4588</v>
      </c>
      <c r="J1285">
        <v>1</v>
      </c>
      <c r="K1285">
        <v>41.89</v>
      </c>
      <c r="L1285">
        <v>0.15</v>
      </c>
      <c r="M1285">
        <v>1.17</v>
      </c>
      <c r="N1285" t="s">
        <v>5481</v>
      </c>
      <c r="O1285" t="s">
        <v>5469</v>
      </c>
      <c r="P1285" t="s">
        <v>5477</v>
      </c>
      <c r="Q1285" s="4">
        <v>35.606499999999997</v>
      </c>
    </row>
    <row r="1286" spans="1:17" x14ac:dyDescent="0.3">
      <c r="A1286" t="s">
        <v>1253</v>
      </c>
      <c r="B1286" t="s">
        <v>2497</v>
      </c>
      <c r="C1286" s="1">
        <v>45656</v>
      </c>
      <c r="D1286" t="s">
        <v>2680</v>
      </c>
      <c r="E1286" t="s">
        <v>4400</v>
      </c>
      <c r="F1286" t="s">
        <v>4564</v>
      </c>
      <c r="G1286" t="s">
        <v>4573</v>
      </c>
      <c r="H1286" t="s">
        <v>4584</v>
      </c>
      <c r="I1286" t="s">
        <v>4595</v>
      </c>
      <c r="J1286">
        <v>2</v>
      </c>
      <c r="K1286">
        <v>41.07</v>
      </c>
      <c r="L1286">
        <v>0.1</v>
      </c>
      <c r="M1286">
        <v>3.06</v>
      </c>
      <c r="N1286" t="s">
        <v>5481</v>
      </c>
      <c r="O1286" t="s">
        <v>5472</v>
      </c>
      <c r="P1286" t="s">
        <v>5476</v>
      </c>
      <c r="Q1286" s="4">
        <v>73.926000000000002</v>
      </c>
    </row>
    <row r="1287" spans="1:17" x14ac:dyDescent="0.3">
      <c r="A1287" t="s">
        <v>1254</v>
      </c>
      <c r="B1287" t="s">
        <v>2498</v>
      </c>
      <c r="C1287" s="1">
        <v>45488</v>
      </c>
      <c r="D1287" t="s">
        <v>2735</v>
      </c>
      <c r="E1287" t="s">
        <v>4401</v>
      </c>
      <c r="F1287" t="s">
        <v>4566</v>
      </c>
      <c r="G1287" t="s">
        <v>4582</v>
      </c>
      <c r="H1287" t="s">
        <v>4586</v>
      </c>
      <c r="I1287" t="s">
        <v>4593</v>
      </c>
      <c r="J1287">
        <v>1</v>
      </c>
      <c r="K1287">
        <v>111.55</v>
      </c>
      <c r="L1287">
        <v>0</v>
      </c>
      <c r="M1287">
        <v>12.54</v>
      </c>
      <c r="N1287" t="s">
        <v>5481</v>
      </c>
      <c r="O1287" t="s">
        <v>5470</v>
      </c>
      <c r="P1287" t="s">
        <v>5479</v>
      </c>
      <c r="Q1287" s="4">
        <v>111.55</v>
      </c>
    </row>
    <row r="1288" spans="1:17" x14ac:dyDescent="0.3">
      <c r="A1288" t="s">
        <v>353</v>
      </c>
      <c r="B1288" t="s">
        <v>1745</v>
      </c>
      <c r="C1288" s="1">
        <v>45667</v>
      </c>
      <c r="D1288" t="s">
        <v>2891</v>
      </c>
      <c r="E1288" t="s">
        <v>3578</v>
      </c>
      <c r="F1288" t="s">
        <v>4566</v>
      </c>
      <c r="G1288" t="s">
        <v>4577</v>
      </c>
      <c r="H1288" t="s">
        <v>4587</v>
      </c>
      <c r="I1288" t="s">
        <v>4594</v>
      </c>
      <c r="J1288">
        <v>5</v>
      </c>
      <c r="K1288">
        <v>62.33</v>
      </c>
      <c r="L1288">
        <v>0.1</v>
      </c>
      <c r="M1288">
        <v>8.39</v>
      </c>
      <c r="N1288" t="s">
        <v>5462</v>
      </c>
      <c r="O1288" t="s">
        <v>5473</v>
      </c>
      <c r="P1288" t="s">
        <v>5476</v>
      </c>
      <c r="Q1288" s="4">
        <v>280.48500000000001</v>
      </c>
    </row>
    <row r="1289" spans="1:17" x14ac:dyDescent="0.3">
      <c r="A1289" t="s">
        <v>1255</v>
      </c>
      <c r="B1289" t="s">
        <v>2499</v>
      </c>
      <c r="C1289" s="1">
        <v>45413</v>
      </c>
      <c r="D1289" t="s">
        <v>2707</v>
      </c>
      <c r="E1289" t="s">
        <v>5481</v>
      </c>
      <c r="F1289" t="s">
        <v>4564</v>
      </c>
      <c r="G1289" t="s">
        <v>4578</v>
      </c>
      <c r="H1289" t="s">
        <v>4584</v>
      </c>
      <c r="I1289" t="s">
        <v>4607</v>
      </c>
      <c r="J1289">
        <v>5</v>
      </c>
      <c r="K1289">
        <v>25.67</v>
      </c>
      <c r="L1289">
        <v>0</v>
      </c>
      <c r="M1289">
        <v>3.29</v>
      </c>
      <c r="N1289" t="s">
        <v>5464</v>
      </c>
      <c r="O1289" t="s">
        <v>5470</v>
      </c>
      <c r="P1289" t="s">
        <v>5477</v>
      </c>
      <c r="Q1289" s="4">
        <v>128.35000000000002</v>
      </c>
    </row>
    <row r="1290" spans="1:17" x14ac:dyDescent="0.3">
      <c r="A1290" t="s">
        <v>453</v>
      </c>
      <c r="B1290" t="s">
        <v>1835</v>
      </c>
      <c r="C1290" s="1">
        <v>45739</v>
      </c>
      <c r="D1290" t="s">
        <v>2941</v>
      </c>
      <c r="E1290" t="s">
        <v>3670</v>
      </c>
      <c r="F1290" t="s">
        <v>4569</v>
      </c>
      <c r="G1290" t="s">
        <v>4581</v>
      </c>
      <c r="H1290" t="s">
        <v>4587</v>
      </c>
      <c r="I1290" t="s">
        <v>4596</v>
      </c>
      <c r="J1290">
        <v>1</v>
      </c>
      <c r="K1290">
        <v>14.92</v>
      </c>
      <c r="L1290">
        <v>0.05</v>
      </c>
      <c r="M1290">
        <v>0</v>
      </c>
      <c r="N1290" t="s">
        <v>5481</v>
      </c>
      <c r="O1290" t="s">
        <v>5474</v>
      </c>
      <c r="P1290" t="s">
        <v>5477</v>
      </c>
      <c r="Q1290" s="4">
        <v>14.173999999999999</v>
      </c>
    </row>
    <row r="1291" spans="1:17" x14ac:dyDescent="0.3">
      <c r="A1291" t="s">
        <v>1256</v>
      </c>
      <c r="B1291" t="s">
        <v>2500</v>
      </c>
      <c r="C1291" s="1">
        <v>45396</v>
      </c>
      <c r="D1291" t="s">
        <v>3051</v>
      </c>
      <c r="E1291" t="s">
        <v>4402</v>
      </c>
      <c r="F1291" t="s">
        <v>4566</v>
      </c>
      <c r="G1291" t="s">
        <v>4577</v>
      </c>
      <c r="H1291" t="s">
        <v>4585</v>
      </c>
      <c r="I1291" t="s">
        <v>4592</v>
      </c>
      <c r="J1291">
        <v>3</v>
      </c>
      <c r="K1291">
        <v>6.56</v>
      </c>
      <c r="L1291">
        <v>0.15</v>
      </c>
      <c r="M1291">
        <v>14.95</v>
      </c>
      <c r="N1291" t="s">
        <v>5481</v>
      </c>
      <c r="O1291" t="s">
        <v>5481</v>
      </c>
      <c r="P1291" t="s">
        <v>5477</v>
      </c>
      <c r="Q1291" s="4">
        <v>16.727999999999998</v>
      </c>
    </row>
    <row r="1292" spans="1:17" x14ac:dyDescent="0.3">
      <c r="A1292" t="s">
        <v>1257</v>
      </c>
      <c r="B1292" t="s">
        <v>2501</v>
      </c>
      <c r="C1292" s="1">
        <v>45965</v>
      </c>
      <c r="D1292" t="s">
        <v>2984</v>
      </c>
      <c r="E1292" t="s">
        <v>4403</v>
      </c>
      <c r="F1292" t="s">
        <v>4564</v>
      </c>
      <c r="G1292" t="s">
        <v>4578</v>
      </c>
      <c r="H1292" t="s">
        <v>5481</v>
      </c>
      <c r="I1292" t="s">
        <v>4600</v>
      </c>
      <c r="J1292">
        <v>1</v>
      </c>
      <c r="K1292">
        <v>13.6</v>
      </c>
      <c r="L1292">
        <v>0.1</v>
      </c>
      <c r="M1292">
        <v>9.0500000000000007</v>
      </c>
      <c r="N1292" t="s">
        <v>5463</v>
      </c>
      <c r="O1292" t="s">
        <v>5474</v>
      </c>
      <c r="P1292" t="s">
        <v>5475</v>
      </c>
      <c r="Q1292" s="4">
        <v>12.24</v>
      </c>
    </row>
    <row r="1293" spans="1:17" x14ac:dyDescent="0.3">
      <c r="A1293" t="s">
        <v>1258</v>
      </c>
      <c r="B1293" t="s">
        <v>2502</v>
      </c>
      <c r="C1293" s="1">
        <v>45986</v>
      </c>
      <c r="D1293" t="s">
        <v>2707</v>
      </c>
      <c r="E1293" t="s">
        <v>4404</v>
      </c>
      <c r="F1293" t="s">
        <v>4564</v>
      </c>
      <c r="G1293" t="s">
        <v>5481</v>
      </c>
      <c r="H1293" t="s">
        <v>4583</v>
      </c>
      <c r="I1293" t="s">
        <v>4610</v>
      </c>
      <c r="J1293">
        <v>1</v>
      </c>
      <c r="K1293">
        <v>77.930000000000007</v>
      </c>
      <c r="L1293">
        <v>0</v>
      </c>
      <c r="M1293">
        <v>13.15</v>
      </c>
      <c r="N1293" t="s">
        <v>5481</v>
      </c>
      <c r="O1293" t="s">
        <v>5472</v>
      </c>
      <c r="P1293" t="s">
        <v>5477</v>
      </c>
      <c r="Q1293" s="4">
        <v>77.930000000000007</v>
      </c>
    </row>
    <row r="1294" spans="1:17" x14ac:dyDescent="0.3">
      <c r="A1294" t="s">
        <v>1259</v>
      </c>
      <c r="B1294" t="s">
        <v>2503</v>
      </c>
      <c r="C1294" s="1">
        <v>45340</v>
      </c>
      <c r="D1294" t="s">
        <v>2730</v>
      </c>
      <c r="E1294" t="s">
        <v>4405</v>
      </c>
      <c r="F1294" t="s">
        <v>4565</v>
      </c>
      <c r="G1294" t="s">
        <v>4579</v>
      </c>
      <c r="H1294" t="s">
        <v>4585</v>
      </c>
      <c r="I1294" t="s">
        <v>4590</v>
      </c>
      <c r="J1294">
        <v>1</v>
      </c>
      <c r="K1294">
        <v>13.54</v>
      </c>
      <c r="L1294">
        <v>0.1</v>
      </c>
      <c r="M1294">
        <v>1.92</v>
      </c>
      <c r="N1294" t="s">
        <v>5463</v>
      </c>
      <c r="O1294" t="s">
        <v>5470</v>
      </c>
      <c r="P1294" t="s">
        <v>5475</v>
      </c>
      <c r="Q1294" s="4">
        <v>12.186</v>
      </c>
    </row>
    <row r="1295" spans="1:17" x14ac:dyDescent="0.3">
      <c r="A1295" t="s">
        <v>1260</v>
      </c>
      <c r="B1295" t="s">
        <v>2504</v>
      </c>
      <c r="C1295" s="1">
        <v>45785</v>
      </c>
      <c r="D1295" t="s">
        <v>2850</v>
      </c>
      <c r="E1295" t="s">
        <v>4406</v>
      </c>
      <c r="F1295" t="s">
        <v>4565</v>
      </c>
      <c r="G1295" t="s">
        <v>4579</v>
      </c>
      <c r="H1295" t="s">
        <v>4584</v>
      </c>
      <c r="I1295" t="s">
        <v>4607</v>
      </c>
      <c r="J1295">
        <v>4</v>
      </c>
      <c r="K1295">
        <v>24.56</v>
      </c>
      <c r="L1295">
        <v>0</v>
      </c>
      <c r="M1295">
        <v>0</v>
      </c>
      <c r="N1295" t="s">
        <v>5481</v>
      </c>
      <c r="O1295" t="s">
        <v>5473</v>
      </c>
      <c r="P1295" t="s">
        <v>5477</v>
      </c>
      <c r="Q1295" s="4">
        <v>98.24</v>
      </c>
    </row>
    <row r="1296" spans="1:17" x14ac:dyDescent="0.3">
      <c r="A1296" t="s">
        <v>1261</v>
      </c>
      <c r="B1296" t="s">
        <v>2505</v>
      </c>
      <c r="C1296" s="1">
        <v>45404</v>
      </c>
      <c r="D1296" t="s">
        <v>2748</v>
      </c>
      <c r="E1296" t="s">
        <v>4407</v>
      </c>
      <c r="F1296" t="s">
        <v>4565</v>
      </c>
      <c r="G1296" t="s">
        <v>4579</v>
      </c>
      <c r="H1296" t="s">
        <v>4586</v>
      </c>
      <c r="I1296" t="s">
        <v>4593</v>
      </c>
      <c r="J1296">
        <v>2</v>
      </c>
      <c r="K1296">
        <v>115.1</v>
      </c>
      <c r="L1296">
        <v>0.1</v>
      </c>
      <c r="M1296">
        <v>10.31</v>
      </c>
      <c r="N1296" t="s">
        <v>5465</v>
      </c>
      <c r="O1296" t="s">
        <v>5469</v>
      </c>
      <c r="P1296" t="s">
        <v>5477</v>
      </c>
      <c r="Q1296" s="4">
        <v>207.18</v>
      </c>
    </row>
    <row r="1297" spans="1:17" x14ac:dyDescent="0.3">
      <c r="A1297" t="s">
        <v>1262</v>
      </c>
      <c r="B1297" t="s">
        <v>2506</v>
      </c>
      <c r="C1297" s="1">
        <v>45598</v>
      </c>
      <c r="D1297" t="s">
        <v>3166</v>
      </c>
      <c r="E1297" t="s">
        <v>4408</v>
      </c>
      <c r="F1297" t="s">
        <v>4549</v>
      </c>
      <c r="G1297" t="s">
        <v>4573</v>
      </c>
      <c r="H1297" t="s">
        <v>4585</v>
      </c>
      <c r="I1297" t="s">
        <v>4591</v>
      </c>
      <c r="J1297">
        <v>2</v>
      </c>
      <c r="K1297">
        <v>7.91</v>
      </c>
      <c r="L1297">
        <v>0</v>
      </c>
      <c r="M1297">
        <v>6.85</v>
      </c>
      <c r="N1297" t="s">
        <v>5462</v>
      </c>
      <c r="O1297" t="s">
        <v>5474</v>
      </c>
      <c r="P1297" t="s">
        <v>5476</v>
      </c>
      <c r="Q1297" s="4">
        <v>15.82</v>
      </c>
    </row>
    <row r="1298" spans="1:17" x14ac:dyDescent="0.3">
      <c r="A1298" t="s">
        <v>1263</v>
      </c>
      <c r="B1298" t="s">
        <v>1958</v>
      </c>
      <c r="C1298" s="1">
        <v>45673</v>
      </c>
      <c r="D1298" t="s">
        <v>3229</v>
      </c>
      <c r="E1298" t="s">
        <v>4409</v>
      </c>
      <c r="F1298" t="s">
        <v>4564</v>
      </c>
      <c r="G1298" t="s">
        <v>4573</v>
      </c>
      <c r="H1298" t="s">
        <v>4587</v>
      </c>
      <c r="I1298" t="s">
        <v>4600</v>
      </c>
      <c r="J1298">
        <v>2</v>
      </c>
      <c r="K1298">
        <v>13.53</v>
      </c>
      <c r="L1298">
        <v>0.1</v>
      </c>
      <c r="M1298">
        <v>14.41</v>
      </c>
      <c r="N1298" t="s">
        <v>5481</v>
      </c>
      <c r="O1298" t="s">
        <v>5470</v>
      </c>
      <c r="P1298" t="s">
        <v>5477</v>
      </c>
      <c r="Q1298" s="4">
        <v>24.353999999999999</v>
      </c>
    </row>
    <row r="1299" spans="1:17" x14ac:dyDescent="0.3">
      <c r="A1299" t="s">
        <v>1264</v>
      </c>
      <c r="B1299" t="s">
        <v>2507</v>
      </c>
      <c r="C1299" s="1">
        <v>45903</v>
      </c>
      <c r="D1299" t="s">
        <v>2702</v>
      </c>
      <c r="E1299" t="s">
        <v>4410</v>
      </c>
      <c r="F1299" t="s">
        <v>4566</v>
      </c>
      <c r="G1299" t="s">
        <v>4573</v>
      </c>
      <c r="H1299" t="s">
        <v>4586</v>
      </c>
      <c r="I1299" t="s">
        <v>4609</v>
      </c>
      <c r="J1299">
        <v>3</v>
      </c>
      <c r="K1299">
        <v>123.43</v>
      </c>
      <c r="L1299">
        <v>0.05</v>
      </c>
      <c r="M1299">
        <v>10.56</v>
      </c>
      <c r="N1299" t="s">
        <v>5468</v>
      </c>
      <c r="O1299" t="s">
        <v>5473</v>
      </c>
      <c r="P1299" t="s">
        <v>5477</v>
      </c>
      <c r="Q1299" s="4">
        <v>351.77550000000002</v>
      </c>
    </row>
    <row r="1300" spans="1:17" x14ac:dyDescent="0.3">
      <c r="A1300" t="s">
        <v>1265</v>
      </c>
      <c r="B1300" t="s">
        <v>2508</v>
      </c>
      <c r="C1300" s="1">
        <v>45611</v>
      </c>
      <c r="D1300" t="s">
        <v>2856</v>
      </c>
      <c r="E1300" t="s">
        <v>4411</v>
      </c>
      <c r="F1300" t="s">
        <v>4569</v>
      </c>
      <c r="G1300" t="s">
        <v>5481</v>
      </c>
      <c r="H1300" t="s">
        <v>4583</v>
      </c>
      <c r="I1300" t="s">
        <v>4605</v>
      </c>
      <c r="J1300">
        <v>1</v>
      </c>
      <c r="K1300">
        <v>46.4</v>
      </c>
      <c r="L1300">
        <v>0</v>
      </c>
      <c r="M1300">
        <v>4.04</v>
      </c>
      <c r="N1300" t="s">
        <v>5467</v>
      </c>
      <c r="O1300" t="s">
        <v>5474</v>
      </c>
      <c r="P1300" t="s">
        <v>5477</v>
      </c>
      <c r="Q1300" s="4">
        <v>46.4</v>
      </c>
    </row>
    <row r="1301" spans="1:17" x14ac:dyDescent="0.3">
      <c r="A1301" t="s">
        <v>1266</v>
      </c>
      <c r="B1301" t="s">
        <v>2509</v>
      </c>
      <c r="C1301" s="1">
        <v>45947</v>
      </c>
      <c r="D1301" t="s">
        <v>2958</v>
      </c>
      <c r="E1301" t="s">
        <v>4412</v>
      </c>
      <c r="F1301" t="s">
        <v>4565</v>
      </c>
      <c r="G1301" t="s">
        <v>4576</v>
      </c>
      <c r="H1301" t="s">
        <v>4586</v>
      </c>
      <c r="I1301" t="s">
        <v>4609</v>
      </c>
      <c r="J1301">
        <v>5</v>
      </c>
      <c r="K1301">
        <v>134.30000000000001</v>
      </c>
      <c r="L1301">
        <v>0</v>
      </c>
      <c r="M1301">
        <v>0</v>
      </c>
      <c r="N1301" t="s">
        <v>5468</v>
      </c>
      <c r="O1301" t="s">
        <v>5474</v>
      </c>
      <c r="P1301" t="s">
        <v>5477</v>
      </c>
      <c r="Q1301" s="4">
        <v>671.5</v>
      </c>
    </row>
    <row r="1302" spans="1:17" x14ac:dyDescent="0.3">
      <c r="A1302" t="s">
        <v>1267</v>
      </c>
      <c r="B1302" t="s">
        <v>2510</v>
      </c>
      <c r="C1302" s="1">
        <v>45625</v>
      </c>
      <c r="D1302" t="s">
        <v>3159</v>
      </c>
      <c r="E1302" t="s">
        <v>4413</v>
      </c>
      <c r="F1302" t="s">
        <v>4564</v>
      </c>
      <c r="G1302" t="s">
        <v>4573</v>
      </c>
      <c r="H1302" t="s">
        <v>4585</v>
      </c>
      <c r="I1302" t="s">
        <v>4592</v>
      </c>
      <c r="J1302">
        <v>1</v>
      </c>
      <c r="K1302">
        <v>6.49</v>
      </c>
      <c r="L1302">
        <v>0.05</v>
      </c>
      <c r="M1302">
        <v>6.19</v>
      </c>
      <c r="N1302" t="s">
        <v>5463</v>
      </c>
      <c r="O1302" t="s">
        <v>5473</v>
      </c>
      <c r="P1302" t="s">
        <v>5477</v>
      </c>
      <c r="Q1302" s="4">
        <v>6.1654999999999998</v>
      </c>
    </row>
    <row r="1303" spans="1:17" x14ac:dyDescent="0.3">
      <c r="A1303" t="s">
        <v>1268</v>
      </c>
      <c r="B1303" t="s">
        <v>2511</v>
      </c>
      <c r="C1303" s="1">
        <v>45760</v>
      </c>
      <c r="D1303" t="s">
        <v>2895</v>
      </c>
      <c r="E1303" t="s">
        <v>4414</v>
      </c>
      <c r="F1303" t="s">
        <v>4549</v>
      </c>
      <c r="G1303" t="s">
        <v>4574</v>
      </c>
      <c r="H1303" t="s">
        <v>4585</v>
      </c>
      <c r="I1303" t="s">
        <v>4590</v>
      </c>
      <c r="J1303">
        <v>10</v>
      </c>
      <c r="K1303">
        <v>13.53</v>
      </c>
      <c r="L1303">
        <v>0</v>
      </c>
      <c r="M1303">
        <v>8.69</v>
      </c>
      <c r="N1303" t="s">
        <v>5465</v>
      </c>
      <c r="O1303" t="s">
        <v>5470</v>
      </c>
      <c r="P1303" t="s">
        <v>5477</v>
      </c>
      <c r="Q1303" s="4">
        <v>135.29999999999998</v>
      </c>
    </row>
    <row r="1304" spans="1:17" x14ac:dyDescent="0.3">
      <c r="A1304" t="s">
        <v>1269</v>
      </c>
      <c r="B1304" t="s">
        <v>2431</v>
      </c>
      <c r="C1304" s="1">
        <v>45879</v>
      </c>
      <c r="D1304" t="s">
        <v>5499</v>
      </c>
      <c r="E1304" t="s">
        <v>4415</v>
      </c>
      <c r="F1304" t="s">
        <v>4569</v>
      </c>
      <c r="G1304" t="s">
        <v>4581</v>
      </c>
      <c r="H1304" t="s">
        <v>4586</v>
      </c>
      <c r="I1304" t="s">
        <v>4599</v>
      </c>
      <c r="J1304">
        <v>10</v>
      </c>
      <c r="K1304">
        <v>241.5</v>
      </c>
      <c r="L1304">
        <v>0</v>
      </c>
      <c r="M1304">
        <v>0.15</v>
      </c>
      <c r="N1304" t="s">
        <v>5467</v>
      </c>
      <c r="O1304" t="s">
        <v>5474</v>
      </c>
      <c r="P1304" t="s">
        <v>5477</v>
      </c>
      <c r="Q1304" s="4">
        <v>2415</v>
      </c>
    </row>
    <row r="1305" spans="1:17" x14ac:dyDescent="0.3">
      <c r="A1305" t="s">
        <v>1270</v>
      </c>
      <c r="B1305" t="s">
        <v>2512</v>
      </c>
      <c r="C1305" s="1">
        <v>45883</v>
      </c>
      <c r="D1305" t="s">
        <v>2742</v>
      </c>
      <c r="E1305" t="s">
        <v>4416</v>
      </c>
      <c r="F1305" t="s">
        <v>4565</v>
      </c>
      <c r="G1305" t="s">
        <v>4575</v>
      </c>
      <c r="H1305" t="s">
        <v>4585</v>
      </c>
      <c r="I1305" t="s">
        <v>4591</v>
      </c>
      <c r="J1305">
        <v>1</v>
      </c>
      <c r="K1305">
        <v>7.7</v>
      </c>
      <c r="L1305">
        <v>0.05</v>
      </c>
      <c r="M1305">
        <v>9.0500000000000007</v>
      </c>
      <c r="N1305" t="s">
        <v>5463</v>
      </c>
      <c r="O1305" t="s">
        <v>5481</v>
      </c>
      <c r="P1305" t="s">
        <v>5477</v>
      </c>
      <c r="Q1305" s="4">
        <v>7.3149999999999995</v>
      </c>
    </row>
    <row r="1306" spans="1:17" x14ac:dyDescent="0.3">
      <c r="A1306" t="s">
        <v>1271</v>
      </c>
      <c r="B1306" t="s">
        <v>2513</v>
      </c>
      <c r="C1306" s="1">
        <v>45380</v>
      </c>
      <c r="D1306" t="s">
        <v>2952</v>
      </c>
      <c r="E1306" t="s">
        <v>4417</v>
      </c>
      <c r="F1306" t="s">
        <v>4549</v>
      </c>
      <c r="G1306" t="s">
        <v>4574</v>
      </c>
      <c r="H1306" t="s">
        <v>4584</v>
      </c>
      <c r="I1306" t="s">
        <v>4589</v>
      </c>
      <c r="J1306">
        <v>4</v>
      </c>
      <c r="K1306">
        <v>33.4</v>
      </c>
      <c r="L1306">
        <v>0.1</v>
      </c>
      <c r="M1306">
        <v>13.38</v>
      </c>
      <c r="N1306" t="s">
        <v>5463</v>
      </c>
      <c r="O1306" t="s">
        <v>5472</v>
      </c>
      <c r="P1306" t="s">
        <v>5477</v>
      </c>
      <c r="Q1306" s="4">
        <v>120.24</v>
      </c>
    </row>
    <row r="1307" spans="1:17" x14ac:dyDescent="0.3">
      <c r="A1307" t="s">
        <v>1272</v>
      </c>
      <c r="B1307" t="s">
        <v>2514</v>
      </c>
      <c r="C1307" s="1">
        <v>45875</v>
      </c>
      <c r="D1307" t="s">
        <v>2739</v>
      </c>
      <c r="E1307" t="s">
        <v>4418</v>
      </c>
      <c r="F1307" t="s">
        <v>4569</v>
      </c>
      <c r="G1307" t="s">
        <v>4581</v>
      </c>
      <c r="H1307" t="s">
        <v>4587</v>
      </c>
      <c r="I1307" t="s">
        <v>4606</v>
      </c>
      <c r="J1307">
        <v>2</v>
      </c>
      <c r="K1307">
        <v>29.39</v>
      </c>
      <c r="L1307">
        <v>0.1</v>
      </c>
      <c r="M1307">
        <v>9.11</v>
      </c>
      <c r="N1307" t="s">
        <v>5462</v>
      </c>
      <c r="O1307" t="s">
        <v>5472</v>
      </c>
      <c r="P1307" t="s">
        <v>5477</v>
      </c>
      <c r="Q1307" s="4">
        <v>52.902000000000001</v>
      </c>
    </row>
    <row r="1308" spans="1:17" x14ac:dyDescent="0.3">
      <c r="A1308" t="s">
        <v>1273</v>
      </c>
      <c r="B1308" t="s">
        <v>2515</v>
      </c>
      <c r="C1308" s="1">
        <v>45936</v>
      </c>
      <c r="D1308" t="s">
        <v>2673</v>
      </c>
      <c r="E1308" t="s">
        <v>4419</v>
      </c>
      <c r="F1308" t="s">
        <v>4565</v>
      </c>
      <c r="G1308" t="s">
        <v>4575</v>
      </c>
      <c r="H1308" t="s">
        <v>4587</v>
      </c>
      <c r="I1308" t="s">
        <v>4594</v>
      </c>
      <c r="J1308">
        <v>3</v>
      </c>
      <c r="K1308">
        <v>60.12</v>
      </c>
      <c r="L1308">
        <v>0</v>
      </c>
      <c r="M1308">
        <v>0</v>
      </c>
      <c r="N1308" t="s">
        <v>5464</v>
      </c>
      <c r="O1308" t="s">
        <v>5471</v>
      </c>
      <c r="P1308" t="s">
        <v>5477</v>
      </c>
      <c r="Q1308" s="4">
        <v>180.35999999999999</v>
      </c>
    </row>
    <row r="1309" spans="1:17" x14ac:dyDescent="0.3">
      <c r="A1309" t="s">
        <v>1274</v>
      </c>
      <c r="B1309" t="s">
        <v>1906</v>
      </c>
      <c r="C1309" s="1">
        <v>46021</v>
      </c>
      <c r="D1309" t="s">
        <v>2788</v>
      </c>
      <c r="E1309" t="s">
        <v>4420</v>
      </c>
      <c r="F1309" t="s">
        <v>4569</v>
      </c>
      <c r="G1309" t="s">
        <v>4572</v>
      </c>
      <c r="H1309" t="s">
        <v>4583</v>
      </c>
      <c r="I1309" t="s">
        <v>4604</v>
      </c>
      <c r="J1309">
        <v>2</v>
      </c>
      <c r="K1309">
        <v>23</v>
      </c>
      <c r="L1309">
        <v>0.1</v>
      </c>
      <c r="M1309">
        <v>5.59</v>
      </c>
      <c r="N1309" t="s">
        <v>5468</v>
      </c>
      <c r="O1309" t="s">
        <v>5469</v>
      </c>
      <c r="P1309" t="s">
        <v>5477</v>
      </c>
      <c r="Q1309" s="4">
        <v>41.4</v>
      </c>
    </row>
    <row r="1310" spans="1:17" x14ac:dyDescent="0.3">
      <c r="A1310" t="s">
        <v>1275</v>
      </c>
      <c r="B1310" t="s">
        <v>2516</v>
      </c>
      <c r="C1310" s="1">
        <v>45848</v>
      </c>
      <c r="D1310" t="s">
        <v>2706</v>
      </c>
      <c r="E1310" t="s">
        <v>4421</v>
      </c>
      <c r="F1310" t="s">
        <v>4564</v>
      </c>
      <c r="G1310" t="s">
        <v>4573</v>
      </c>
      <c r="H1310" t="s">
        <v>4585</v>
      </c>
      <c r="I1310" t="s">
        <v>4592</v>
      </c>
      <c r="J1310">
        <v>1</v>
      </c>
      <c r="K1310">
        <v>6.79</v>
      </c>
      <c r="L1310">
        <v>0.15</v>
      </c>
      <c r="M1310">
        <v>6.02</v>
      </c>
      <c r="N1310" t="s">
        <v>5467</v>
      </c>
      <c r="O1310" t="s">
        <v>5469</v>
      </c>
      <c r="P1310" t="s">
        <v>5477</v>
      </c>
      <c r="Q1310" s="4">
        <v>5.7714999999999996</v>
      </c>
    </row>
    <row r="1311" spans="1:17" x14ac:dyDescent="0.3">
      <c r="A1311" t="s">
        <v>1276</v>
      </c>
      <c r="B1311" t="s">
        <v>2517</v>
      </c>
      <c r="C1311" s="1">
        <v>45738</v>
      </c>
      <c r="D1311" t="s">
        <v>2647</v>
      </c>
      <c r="E1311" t="s">
        <v>4422</v>
      </c>
      <c r="F1311" t="s">
        <v>4569</v>
      </c>
      <c r="G1311" t="s">
        <v>4572</v>
      </c>
      <c r="H1311" t="s">
        <v>4583</v>
      </c>
      <c r="I1311" t="s">
        <v>4604</v>
      </c>
      <c r="J1311">
        <v>1</v>
      </c>
      <c r="K1311">
        <v>21.45</v>
      </c>
      <c r="L1311">
        <v>0.15</v>
      </c>
      <c r="M1311">
        <v>11.18</v>
      </c>
      <c r="N1311" t="s">
        <v>5462</v>
      </c>
      <c r="O1311" t="s">
        <v>5473</v>
      </c>
      <c r="P1311" t="s">
        <v>5477</v>
      </c>
      <c r="Q1311" s="4">
        <v>18.232499999999998</v>
      </c>
    </row>
    <row r="1312" spans="1:17" x14ac:dyDescent="0.3">
      <c r="A1312" t="s">
        <v>1277</v>
      </c>
      <c r="B1312" t="s">
        <v>2518</v>
      </c>
      <c r="C1312" s="1">
        <v>45497</v>
      </c>
      <c r="D1312" t="s">
        <v>2846</v>
      </c>
      <c r="E1312" t="s">
        <v>4423</v>
      </c>
      <c r="F1312" t="s">
        <v>4566</v>
      </c>
      <c r="G1312" t="s">
        <v>4573</v>
      </c>
      <c r="H1312" t="s">
        <v>4587</v>
      </c>
      <c r="I1312" t="s">
        <v>4606</v>
      </c>
      <c r="J1312">
        <v>2</v>
      </c>
      <c r="K1312">
        <v>30.68</v>
      </c>
      <c r="L1312">
        <v>0.05</v>
      </c>
      <c r="M1312">
        <v>0.85</v>
      </c>
      <c r="N1312" t="s">
        <v>5467</v>
      </c>
      <c r="O1312" t="s">
        <v>5470</v>
      </c>
      <c r="P1312" t="s">
        <v>5477</v>
      </c>
      <c r="Q1312" s="4">
        <v>58.291999999999994</v>
      </c>
    </row>
    <row r="1313" spans="1:17" x14ac:dyDescent="0.3">
      <c r="A1313" t="s">
        <v>1278</v>
      </c>
      <c r="B1313" t="s">
        <v>1772</v>
      </c>
      <c r="C1313" s="1">
        <v>45877</v>
      </c>
      <c r="D1313" t="s">
        <v>2626</v>
      </c>
      <c r="E1313" t="s">
        <v>4424</v>
      </c>
      <c r="F1313" t="s">
        <v>4564</v>
      </c>
      <c r="G1313" t="s">
        <v>4578</v>
      </c>
      <c r="H1313" t="s">
        <v>4583</v>
      </c>
      <c r="I1313" t="s">
        <v>4604</v>
      </c>
      <c r="J1313">
        <v>2</v>
      </c>
      <c r="K1313">
        <v>22.92</v>
      </c>
      <c r="L1313">
        <v>0.1</v>
      </c>
      <c r="M1313">
        <v>13.14</v>
      </c>
      <c r="N1313" t="s">
        <v>5467</v>
      </c>
      <c r="O1313" t="s">
        <v>5470</v>
      </c>
      <c r="P1313" t="s">
        <v>5477</v>
      </c>
      <c r="Q1313" s="4">
        <v>41.256000000000007</v>
      </c>
    </row>
    <row r="1314" spans="1:17" x14ac:dyDescent="0.3">
      <c r="A1314" t="s">
        <v>1279</v>
      </c>
      <c r="B1314" t="s">
        <v>2519</v>
      </c>
      <c r="C1314" s="1">
        <v>45489</v>
      </c>
      <c r="D1314" t="s">
        <v>2947</v>
      </c>
      <c r="E1314" t="s">
        <v>4425</v>
      </c>
      <c r="F1314" t="s">
        <v>4566</v>
      </c>
      <c r="G1314" t="s">
        <v>4577</v>
      </c>
      <c r="H1314" t="s">
        <v>4585</v>
      </c>
      <c r="I1314" t="s">
        <v>4598</v>
      </c>
      <c r="J1314">
        <v>1</v>
      </c>
      <c r="K1314">
        <v>3.03</v>
      </c>
      <c r="L1314">
        <v>0.15</v>
      </c>
      <c r="M1314">
        <v>12.69</v>
      </c>
      <c r="N1314" t="s">
        <v>5462</v>
      </c>
      <c r="O1314" t="s">
        <v>5473</v>
      </c>
      <c r="P1314" t="s">
        <v>5477</v>
      </c>
      <c r="Q1314" s="4">
        <v>2.5754999999999999</v>
      </c>
    </row>
    <row r="1315" spans="1:17" x14ac:dyDescent="0.3">
      <c r="A1315" t="s">
        <v>1280</v>
      </c>
      <c r="B1315" t="s">
        <v>2520</v>
      </c>
      <c r="C1315" s="1">
        <v>45367</v>
      </c>
      <c r="D1315" t="s">
        <v>2815</v>
      </c>
      <c r="E1315" t="s">
        <v>4426</v>
      </c>
      <c r="F1315" t="s">
        <v>4569</v>
      </c>
      <c r="G1315" t="s">
        <v>4580</v>
      </c>
      <c r="H1315" t="s">
        <v>4584</v>
      </c>
      <c r="I1315" t="s">
        <v>4601</v>
      </c>
      <c r="J1315">
        <v>3</v>
      </c>
      <c r="K1315">
        <v>183.04</v>
      </c>
      <c r="L1315">
        <v>0.1</v>
      </c>
      <c r="M1315">
        <v>8.25</v>
      </c>
      <c r="N1315" t="s">
        <v>5466</v>
      </c>
      <c r="O1315" t="s">
        <v>5474</v>
      </c>
      <c r="P1315" t="s">
        <v>5477</v>
      </c>
      <c r="Q1315" s="4">
        <v>494.20800000000003</v>
      </c>
    </row>
    <row r="1316" spans="1:17" x14ac:dyDescent="0.3">
      <c r="A1316" t="s">
        <v>1281</v>
      </c>
      <c r="B1316" t="s">
        <v>2521</v>
      </c>
      <c r="C1316" s="1">
        <v>45767</v>
      </c>
      <c r="D1316" t="s">
        <v>2926</v>
      </c>
      <c r="E1316" t="s">
        <v>4427</v>
      </c>
      <c r="F1316" t="s">
        <v>4564</v>
      </c>
      <c r="G1316" t="s">
        <v>4573</v>
      </c>
      <c r="H1316" t="s">
        <v>4587</v>
      </c>
      <c r="I1316" t="s">
        <v>4600</v>
      </c>
      <c r="J1316">
        <v>2</v>
      </c>
      <c r="K1316">
        <v>13.21</v>
      </c>
      <c r="L1316">
        <v>0.05</v>
      </c>
      <c r="M1316">
        <v>11.77</v>
      </c>
      <c r="N1316" t="s">
        <v>5468</v>
      </c>
      <c r="O1316" t="s">
        <v>5469</v>
      </c>
      <c r="P1316" t="s">
        <v>5475</v>
      </c>
      <c r="Q1316" s="4">
        <v>25.099</v>
      </c>
    </row>
    <row r="1317" spans="1:17" x14ac:dyDescent="0.3">
      <c r="A1317" t="s">
        <v>1282</v>
      </c>
      <c r="B1317" t="s">
        <v>2522</v>
      </c>
      <c r="C1317" s="1">
        <v>45622</v>
      </c>
      <c r="D1317" t="s">
        <v>3082</v>
      </c>
      <c r="E1317" t="s">
        <v>4428</v>
      </c>
      <c r="F1317" t="s">
        <v>4564</v>
      </c>
      <c r="G1317" t="s">
        <v>4573</v>
      </c>
      <c r="H1317" t="s">
        <v>4587</v>
      </c>
      <c r="I1317" t="s">
        <v>4594</v>
      </c>
      <c r="J1317">
        <v>2</v>
      </c>
      <c r="K1317">
        <v>58.47</v>
      </c>
      <c r="L1317">
        <v>0.05</v>
      </c>
      <c r="M1317">
        <v>11.17</v>
      </c>
      <c r="N1317" t="s">
        <v>5466</v>
      </c>
      <c r="O1317" t="s">
        <v>5472</v>
      </c>
      <c r="P1317" t="s">
        <v>5477</v>
      </c>
      <c r="Q1317" s="4">
        <v>111.09299999999999</v>
      </c>
    </row>
    <row r="1318" spans="1:17" x14ac:dyDescent="0.3">
      <c r="A1318" t="s">
        <v>1283</v>
      </c>
      <c r="B1318" t="s">
        <v>1681</v>
      </c>
      <c r="C1318" s="1">
        <v>45515</v>
      </c>
      <c r="D1318" t="s">
        <v>3076</v>
      </c>
      <c r="E1318" t="s">
        <v>4429</v>
      </c>
      <c r="F1318" t="s">
        <v>4564</v>
      </c>
      <c r="G1318" t="s">
        <v>4573</v>
      </c>
      <c r="H1318" t="s">
        <v>4584</v>
      </c>
      <c r="I1318" t="s">
        <v>4601</v>
      </c>
      <c r="J1318">
        <v>2</v>
      </c>
      <c r="K1318">
        <v>182.63</v>
      </c>
      <c r="L1318">
        <v>0</v>
      </c>
      <c r="M1318">
        <v>8.18</v>
      </c>
      <c r="N1318" t="s">
        <v>5462</v>
      </c>
      <c r="O1318" t="s">
        <v>5472</v>
      </c>
      <c r="P1318" t="s">
        <v>5477</v>
      </c>
      <c r="Q1318" s="4">
        <v>365.26</v>
      </c>
    </row>
    <row r="1319" spans="1:17" x14ac:dyDescent="0.3">
      <c r="A1319" t="s">
        <v>1284</v>
      </c>
      <c r="B1319" t="s">
        <v>2523</v>
      </c>
      <c r="C1319" s="1">
        <v>45495</v>
      </c>
      <c r="D1319" t="s">
        <v>3234</v>
      </c>
      <c r="E1319" t="s">
        <v>4430</v>
      </c>
      <c r="F1319" t="s">
        <v>4569</v>
      </c>
      <c r="G1319" t="s">
        <v>4580</v>
      </c>
      <c r="H1319" t="s">
        <v>4587</v>
      </c>
      <c r="I1319" t="s">
        <v>4596</v>
      </c>
      <c r="J1319">
        <v>1</v>
      </c>
      <c r="K1319">
        <v>14.52</v>
      </c>
      <c r="L1319">
        <v>0.05</v>
      </c>
      <c r="M1319">
        <v>0.75</v>
      </c>
      <c r="N1319" t="s">
        <v>5468</v>
      </c>
      <c r="O1319" t="s">
        <v>5470</v>
      </c>
      <c r="P1319" t="s">
        <v>5479</v>
      </c>
      <c r="Q1319" s="4">
        <v>13.793999999999999</v>
      </c>
    </row>
    <row r="1320" spans="1:17" x14ac:dyDescent="0.3">
      <c r="A1320" t="s">
        <v>1285</v>
      </c>
      <c r="B1320" t="s">
        <v>2524</v>
      </c>
      <c r="C1320" s="1">
        <v>45732</v>
      </c>
      <c r="D1320" t="s">
        <v>3014</v>
      </c>
      <c r="E1320" t="s">
        <v>4431</v>
      </c>
      <c r="F1320" t="s">
        <v>4565</v>
      </c>
      <c r="G1320" t="s">
        <v>4576</v>
      </c>
      <c r="H1320" t="s">
        <v>4586</v>
      </c>
      <c r="I1320" t="s">
        <v>4599</v>
      </c>
      <c r="J1320">
        <v>5</v>
      </c>
      <c r="K1320">
        <v>249.84</v>
      </c>
      <c r="L1320">
        <v>0.15</v>
      </c>
      <c r="M1320">
        <v>8.4499999999999993</v>
      </c>
      <c r="N1320" t="s">
        <v>5463</v>
      </c>
      <c r="O1320" t="s">
        <v>5473</v>
      </c>
      <c r="P1320" t="s">
        <v>5477</v>
      </c>
      <c r="Q1320" s="4">
        <v>1061.82</v>
      </c>
    </row>
    <row r="1321" spans="1:17" x14ac:dyDescent="0.3">
      <c r="A1321" t="s">
        <v>1286</v>
      </c>
      <c r="B1321" t="s">
        <v>2525</v>
      </c>
      <c r="C1321" s="1">
        <v>45863</v>
      </c>
      <c r="D1321" t="s">
        <v>2752</v>
      </c>
      <c r="E1321" t="s">
        <v>4432</v>
      </c>
      <c r="F1321" t="s">
        <v>4564</v>
      </c>
      <c r="G1321" t="s">
        <v>4578</v>
      </c>
      <c r="H1321" t="s">
        <v>4585</v>
      </c>
      <c r="I1321" t="s">
        <v>4591</v>
      </c>
      <c r="J1321">
        <v>2</v>
      </c>
      <c r="K1321">
        <v>8.01</v>
      </c>
      <c r="L1321">
        <v>0.05</v>
      </c>
      <c r="M1321">
        <v>3.22</v>
      </c>
      <c r="N1321" t="s">
        <v>5481</v>
      </c>
      <c r="O1321" t="s">
        <v>5481</v>
      </c>
      <c r="P1321" t="s">
        <v>5479</v>
      </c>
      <c r="Q1321" s="4">
        <v>15.218999999999999</v>
      </c>
    </row>
    <row r="1322" spans="1:17" x14ac:dyDescent="0.3">
      <c r="A1322" t="s">
        <v>1287</v>
      </c>
      <c r="B1322" t="s">
        <v>2526</v>
      </c>
      <c r="C1322" s="1">
        <v>45448</v>
      </c>
      <c r="D1322" t="s">
        <v>2893</v>
      </c>
      <c r="E1322" t="s">
        <v>4433</v>
      </c>
      <c r="F1322" t="s">
        <v>4564</v>
      </c>
      <c r="G1322" t="s">
        <v>4578</v>
      </c>
      <c r="H1322" t="s">
        <v>4587</v>
      </c>
      <c r="I1322" t="s">
        <v>4600</v>
      </c>
      <c r="J1322">
        <v>2</v>
      </c>
      <c r="K1322">
        <v>12.55</v>
      </c>
      <c r="L1322">
        <v>0</v>
      </c>
      <c r="M1322">
        <v>13.48</v>
      </c>
      <c r="N1322" t="s">
        <v>5467</v>
      </c>
      <c r="O1322" t="s">
        <v>5472</v>
      </c>
      <c r="P1322" t="s">
        <v>5477</v>
      </c>
      <c r="Q1322" s="4">
        <v>25.1</v>
      </c>
    </row>
    <row r="1323" spans="1:17" x14ac:dyDescent="0.3">
      <c r="A1323" t="s">
        <v>516</v>
      </c>
      <c r="B1323" t="s">
        <v>1895</v>
      </c>
      <c r="C1323" s="1">
        <v>45345</v>
      </c>
      <c r="D1323" t="s">
        <v>2918</v>
      </c>
      <c r="E1323" t="s">
        <v>3725</v>
      </c>
      <c r="F1323" t="s">
        <v>4564</v>
      </c>
      <c r="G1323" t="s">
        <v>4578</v>
      </c>
      <c r="H1323" t="s">
        <v>4585</v>
      </c>
      <c r="I1323" t="s">
        <v>4598</v>
      </c>
      <c r="J1323">
        <v>1</v>
      </c>
      <c r="K1323">
        <v>2.98</v>
      </c>
      <c r="L1323">
        <v>0.1</v>
      </c>
      <c r="M1323">
        <v>2.6</v>
      </c>
      <c r="N1323" t="s">
        <v>5465</v>
      </c>
      <c r="O1323" t="s">
        <v>5474</v>
      </c>
      <c r="P1323" t="s">
        <v>5477</v>
      </c>
      <c r="Q1323" s="4">
        <v>2.6819999999999999</v>
      </c>
    </row>
    <row r="1324" spans="1:17" x14ac:dyDescent="0.3">
      <c r="A1324" t="s">
        <v>1288</v>
      </c>
      <c r="B1324" t="s">
        <v>1619</v>
      </c>
      <c r="C1324" s="1">
        <v>45500</v>
      </c>
      <c r="D1324" t="s">
        <v>3105</v>
      </c>
      <c r="E1324" t="s">
        <v>5481</v>
      </c>
      <c r="F1324" t="s">
        <v>4569</v>
      </c>
      <c r="G1324" t="s">
        <v>4572</v>
      </c>
      <c r="H1324" t="s">
        <v>4587</v>
      </c>
      <c r="I1324" t="s">
        <v>4606</v>
      </c>
      <c r="J1324">
        <v>10</v>
      </c>
      <c r="K1324">
        <v>29.75</v>
      </c>
      <c r="L1324">
        <v>0</v>
      </c>
      <c r="M1324">
        <v>13.63</v>
      </c>
      <c r="N1324" t="s">
        <v>5462</v>
      </c>
      <c r="O1324" t="s">
        <v>5470</v>
      </c>
      <c r="P1324" t="s">
        <v>5475</v>
      </c>
      <c r="Q1324" s="4">
        <v>297.5</v>
      </c>
    </row>
    <row r="1325" spans="1:17" x14ac:dyDescent="0.3">
      <c r="A1325" t="s">
        <v>1289</v>
      </c>
      <c r="B1325" t="s">
        <v>2106</v>
      </c>
      <c r="C1325" s="1">
        <v>45890</v>
      </c>
      <c r="D1325" t="s">
        <v>2854</v>
      </c>
      <c r="E1325" t="s">
        <v>4434</v>
      </c>
      <c r="F1325" t="s">
        <v>4549</v>
      </c>
      <c r="G1325" t="s">
        <v>4573</v>
      </c>
      <c r="H1325" t="s">
        <v>4584</v>
      </c>
      <c r="I1325" t="s">
        <v>4595</v>
      </c>
      <c r="J1325">
        <v>1</v>
      </c>
      <c r="K1325">
        <v>40.17</v>
      </c>
      <c r="L1325">
        <v>0.1</v>
      </c>
      <c r="M1325">
        <v>9.7799999999999994</v>
      </c>
      <c r="N1325" t="s">
        <v>5463</v>
      </c>
      <c r="O1325" t="s">
        <v>5471</v>
      </c>
      <c r="P1325" t="s">
        <v>5477</v>
      </c>
      <c r="Q1325" s="4">
        <v>36.153000000000006</v>
      </c>
    </row>
    <row r="1326" spans="1:17" x14ac:dyDescent="0.3">
      <c r="A1326" t="s">
        <v>1290</v>
      </c>
      <c r="B1326" t="s">
        <v>2527</v>
      </c>
      <c r="C1326" s="1">
        <v>45852</v>
      </c>
      <c r="D1326" t="s">
        <v>2885</v>
      </c>
      <c r="E1326" t="s">
        <v>4435</v>
      </c>
      <c r="F1326" t="s">
        <v>4549</v>
      </c>
      <c r="G1326" t="s">
        <v>4573</v>
      </c>
      <c r="H1326" t="s">
        <v>5481</v>
      </c>
      <c r="I1326" t="s">
        <v>4593</v>
      </c>
      <c r="J1326">
        <v>5</v>
      </c>
      <c r="K1326">
        <v>115.1</v>
      </c>
      <c r="L1326">
        <v>0</v>
      </c>
      <c r="M1326">
        <v>8.3000000000000007</v>
      </c>
      <c r="N1326" t="s">
        <v>5463</v>
      </c>
      <c r="O1326" t="s">
        <v>5474</v>
      </c>
      <c r="P1326" t="s">
        <v>5477</v>
      </c>
      <c r="Q1326" s="4">
        <v>575.5</v>
      </c>
    </row>
    <row r="1327" spans="1:17" x14ac:dyDescent="0.3">
      <c r="A1327" t="s">
        <v>1291</v>
      </c>
      <c r="B1327" t="s">
        <v>2528</v>
      </c>
      <c r="C1327" s="1">
        <v>45386</v>
      </c>
      <c r="D1327" t="s">
        <v>2940</v>
      </c>
      <c r="E1327" t="s">
        <v>5481</v>
      </c>
      <c r="F1327" t="s">
        <v>4549</v>
      </c>
      <c r="G1327" t="s">
        <v>4573</v>
      </c>
      <c r="H1327" t="s">
        <v>5481</v>
      </c>
      <c r="I1327" t="s">
        <v>4605</v>
      </c>
      <c r="J1327">
        <v>1</v>
      </c>
      <c r="K1327">
        <v>42.77</v>
      </c>
      <c r="L1327">
        <v>0</v>
      </c>
      <c r="M1327">
        <v>9.42</v>
      </c>
      <c r="N1327" t="s">
        <v>5463</v>
      </c>
      <c r="O1327" t="s">
        <v>5474</v>
      </c>
      <c r="P1327" t="s">
        <v>5477</v>
      </c>
      <c r="Q1327" s="4">
        <v>42.77</v>
      </c>
    </row>
    <row r="1328" spans="1:17" x14ac:dyDescent="0.3">
      <c r="A1328" t="s">
        <v>1292</v>
      </c>
      <c r="B1328" t="s">
        <v>1768</v>
      </c>
      <c r="C1328" s="1">
        <v>45880</v>
      </c>
      <c r="D1328" t="s">
        <v>2846</v>
      </c>
      <c r="E1328" t="s">
        <v>4436</v>
      </c>
      <c r="F1328" t="s">
        <v>4569</v>
      </c>
      <c r="G1328" t="s">
        <v>4581</v>
      </c>
      <c r="H1328" t="s">
        <v>4587</v>
      </c>
      <c r="I1328" t="s">
        <v>4594</v>
      </c>
      <c r="J1328">
        <v>1</v>
      </c>
      <c r="K1328">
        <v>60.28</v>
      </c>
      <c r="L1328">
        <v>0</v>
      </c>
      <c r="M1328">
        <v>9.9</v>
      </c>
      <c r="N1328" t="s">
        <v>5462</v>
      </c>
      <c r="O1328" t="s">
        <v>5481</v>
      </c>
      <c r="P1328" t="s">
        <v>5479</v>
      </c>
      <c r="Q1328" s="4">
        <v>60.28</v>
      </c>
    </row>
    <row r="1329" spans="1:17" x14ac:dyDescent="0.3">
      <c r="A1329" t="s">
        <v>1293</v>
      </c>
      <c r="B1329" t="s">
        <v>2529</v>
      </c>
      <c r="C1329" s="1">
        <v>45956</v>
      </c>
      <c r="D1329" t="s">
        <v>2668</v>
      </c>
      <c r="E1329" t="s">
        <v>4437</v>
      </c>
      <c r="F1329" t="s">
        <v>4569</v>
      </c>
      <c r="G1329" t="s">
        <v>4581</v>
      </c>
      <c r="H1329" t="s">
        <v>4586</v>
      </c>
      <c r="I1329" t="s">
        <v>4609</v>
      </c>
      <c r="J1329">
        <v>1</v>
      </c>
      <c r="K1329">
        <v>131.26</v>
      </c>
      <c r="L1329">
        <v>0</v>
      </c>
      <c r="M1329">
        <v>14.19</v>
      </c>
      <c r="N1329" t="s">
        <v>5462</v>
      </c>
      <c r="O1329" t="s">
        <v>5473</v>
      </c>
      <c r="P1329" t="s">
        <v>5477</v>
      </c>
      <c r="Q1329" s="4">
        <v>131.26</v>
      </c>
    </row>
    <row r="1330" spans="1:17" x14ac:dyDescent="0.3">
      <c r="A1330" t="s">
        <v>1294</v>
      </c>
      <c r="B1330" t="s">
        <v>2530</v>
      </c>
      <c r="C1330" s="1">
        <v>45499</v>
      </c>
      <c r="D1330" t="s">
        <v>3050</v>
      </c>
      <c r="E1330" t="s">
        <v>5481</v>
      </c>
      <c r="F1330" t="s">
        <v>4564</v>
      </c>
      <c r="G1330" t="s">
        <v>4573</v>
      </c>
      <c r="H1330" t="s">
        <v>4583</v>
      </c>
      <c r="I1330" t="s">
        <v>4605</v>
      </c>
      <c r="J1330">
        <v>4</v>
      </c>
      <c r="K1330">
        <v>46.3</v>
      </c>
      <c r="L1330">
        <v>0</v>
      </c>
      <c r="M1330">
        <v>8.6199999999999992</v>
      </c>
      <c r="N1330" t="s">
        <v>5467</v>
      </c>
      <c r="O1330" t="s">
        <v>5473</v>
      </c>
      <c r="P1330" t="s">
        <v>5479</v>
      </c>
      <c r="Q1330" s="4">
        <v>185.2</v>
      </c>
    </row>
    <row r="1331" spans="1:17" x14ac:dyDescent="0.3">
      <c r="A1331" t="s">
        <v>1295</v>
      </c>
      <c r="B1331" t="s">
        <v>2531</v>
      </c>
      <c r="C1331" s="1">
        <v>45898</v>
      </c>
      <c r="D1331" t="s">
        <v>3009</v>
      </c>
      <c r="E1331" t="s">
        <v>4438</v>
      </c>
      <c r="F1331" t="s">
        <v>4564</v>
      </c>
      <c r="G1331" t="s">
        <v>4578</v>
      </c>
      <c r="H1331" t="s">
        <v>4583</v>
      </c>
      <c r="I1331" t="s">
        <v>4610</v>
      </c>
      <c r="J1331">
        <v>1</v>
      </c>
      <c r="K1331">
        <v>81.55</v>
      </c>
      <c r="L1331">
        <v>0.05</v>
      </c>
      <c r="M1331">
        <v>0</v>
      </c>
      <c r="N1331" t="s">
        <v>5467</v>
      </c>
      <c r="O1331" t="s">
        <v>5472</v>
      </c>
      <c r="P1331" t="s">
        <v>5477</v>
      </c>
      <c r="Q1331" s="4">
        <v>77.472499999999997</v>
      </c>
    </row>
    <row r="1332" spans="1:17" x14ac:dyDescent="0.3">
      <c r="A1332" t="s">
        <v>1296</v>
      </c>
      <c r="B1332" t="s">
        <v>2532</v>
      </c>
      <c r="C1332" s="1">
        <v>45912</v>
      </c>
      <c r="D1332" t="s">
        <v>2784</v>
      </c>
      <c r="E1332" t="s">
        <v>4439</v>
      </c>
      <c r="F1332" t="s">
        <v>4569</v>
      </c>
      <c r="G1332" t="s">
        <v>4572</v>
      </c>
      <c r="H1332" t="s">
        <v>4586</v>
      </c>
      <c r="I1332" t="s">
        <v>4609</v>
      </c>
      <c r="J1332">
        <v>1</v>
      </c>
      <c r="K1332">
        <v>127.03</v>
      </c>
      <c r="L1332">
        <v>0.1</v>
      </c>
      <c r="M1332">
        <v>2.12</v>
      </c>
      <c r="N1332" t="s">
        <v>5463</v>
      </c>
      <c r="O1332" t="s">
        <v>5470</v>
      </c>
      <c r="P1332" t="s">
        <v>5477</v>
      </c>
      <c r="Q1332" s="4">
        <v>114.327</v>
      </c>
    </row>
    <row r="1333" spans="1:17" x14ac:dyDescent="0.3">
      <c r="A1333" t="s">
        <v>1297</v>
      </c>
      <c r="B1333" t="s">
        <v>2533</v>
      </c>
      <c r="C1333" s="1">
        <v>45770</v>
      </c>
      <c r="D1333" t="s">
        <v>2843</v>
      </c>
      <c r="E1333" t="s">
        <v>4440</v>
      </c>
      <c r="F1333" t="s">
        <v>4549</v>
      </c>
      <c r="G1333" t="s">
        <v>4574</v>
      </c>
      <c r="H1333" t="s">
        <v>4587</v>
      </c>
      <c r="I1333" t="s">
        <v>4596</v>
      </c>
      <c r="J1333">
        <v>2</v>
      </c>
      <c r="K1333">
        <v>14.26</v>
      </c>
      <c r="L1333">
        <v>0</v>
      </c>
      <c r="N1333" t="s">
        <v>5462</v>
      </c>
      <c r="O1333" t="s">
        <v>5481</v>
      </c>
      <c r="P1333" t="s">
        <v>5475</v>
      </c>
      <c r="Q1333" s="4">
        <v>28.52</v>
      </c>
    </row>
    <row r="1334" spans="1:17" x14ac:dyDescent="0.3">
      <c r="A1334" t="s">
        <v>1298</v>
      </c>
      <c r="B1334" t="s">
        <v>2534</v>
      </c>
      <c r="C1334" s="1">
        <v>45413</v>
      </c>
      <c r="D1334" t="s">
        <v>2639</v>
      </c>
      <c r="E1334" t="s">
        <v>4441</v>
      </c>
      <c r="F1334" t="s">
        <v>4569</v>
      </c>
      <c r="G1334" t="s">
        <v>4580</v>
      </c>
      <c r="H1334" t="s">
        <v>5481</v>
      </c>
      <c r="I1334" t="s">
        <v>4609</v>
      </c>
      <c r="J1334">
        <v>1</v>
      </c>
      <c r="K1334">
        <v>124.45</v>
      </c>
      <c r="L1334">
        <v>0.05</v>
      </c>
      <c r="M1334">
        <v>3.18</v>
      </c>
      <c r="N1334" t="s">
        <v>5468</v>
      </c>
      <c r="O1334" t="s">
        <v>5470</v>
      </c>
      <c r="P1334" t="s">
        <v>5476</v>
      </c>
      <c r="Q1334" s="4">
        <v>118.22749999999999</v>
      </c>
    </row>
    <row r="1335" spans="1:17" x14ac:dyDescent="0.3">
      <c r="A1335" t="s">
        <v>1299</v>
      </c>
      <c r="B1335" t="s">
        <v>2535</v>
      </c>
      <c r="C1335" s="1">
        <v>45723</v>
      </c>
      <c r="D1335" t="s">
        <v>2970</v>
      </c>
      <c r="E1335" t="s">
        <v>5481</v>
      </c>
      <c r="F1335" t="s">
        <v>4564</v>
      </c>
      <c r="G1335" t="s">
        <v>4578</v>
      </c>
      <c r="H1335" t="s">
        <v>4586</v>
      </c>
      <c r="I1335" t="s">
        <v>4597</v>
      </c>
      <c r="J1335">
        <v>5</v>
      </c>
      <c r="K1335">
        <v>88.72</v>
      </c>
      <c r="L1335">
        <v>0.1</v>
      </c>
      <c r="M1335">
        <v>13.6</v>
      </c>
      <c r="N1335" t="s">
        <v>5463</v>
      </c>
      <c r="O1335" t="s">
        <v>5470</v>
      </c>
      <c r="P1335" t="s">
        <v>5477</v>
      </c>
      <c r="Q1335" s="4">
        <v>399.24</v>
      </c>
    </row>
    <row r="1336" spans="1:17" x14ac:dyDescent="0.3">
      <c r="A1336" t="s">
        <v>1300</v>
      </c>
      <c r="B1336" t="s">
        <v>2536</v>
      </c>
      <c r="C1336" s="1">
        <v>45851</v>
      </c>
      <c r="D1336" t="s">
        <v>2946</v>
      </c>
      <c r="E1336" t="s">
        <v>4442</v>
      </c>
      <c r="F1336" t="s">
        <v>4566</v>
      </c>
      <c r="G1336" t="s">
        <v>4573</v>
      </c>
      <c r="H1336" t="s">
        <v>4587</v>
      </c>
      <c r="I1336" t="s">
        <v>4606</v>
      </c>
      <c r="J1336">
        <v>3</v>
      </c>
      <c r="K1336">
        <v>29.99</v>
      </c>
      <c r="L1336">
        <v>0.1</v>
      </c>
      <c r="M1336">
        <v>8.1300000000000008</v>
      </c>
      <c r="N1336" t="s">
        <v>5467</v>
      </c>
      <c r="O1336" t="s">
        <v>5470</v>
      </c>
      <c r="P1336" t="s">
        <v>5477</v>
      </c>
      <c r="Q1336" s="4">
        <v>80.972999999999999</v>
      </c>
    </row>
    <row r="1337" spans="1:17" x14ac:dyDescent="0.3">
      <c r="A1337" t="s">
        <v>1301</v>
      </c>
      <c r="B1337" t="s">
        <v>2537</v>
      </c>
      <c r="C1337" s="1">
        <v>45656</v>
      </c>
      <c r="D1337" t="s">
        <v>2885</v>
      </c>
      <c r="E1337" t="s">
        <v>4443</v>
      </c>
      <c r="F1337" t="s">
        <v>4565</v>
      </c>
      <c r="G1337" t="s">
        <v>4575</v>
      </c>
      <c r="H1337" t="s">
        <v>4586</v>
      </c>
      <c r="I1337" t="s">
        <v>4597</v>
      </c>
      <c r="J1337">
        <v>10</v>
      </c>
      <c r="K1337">
        <v>87.44</v>
      </c>
      <c r="L1337">
        <v>0.1</v>
      </c>
      <c r="M1337">
        <v>2.65</v>
      </c>
      <c r="N1337" t="s">
        <v>5467</v>
      </c>
      <c r="O1337" t="s">
        <v>5470</v>
      </c>
      <c r="P1337" t="s">
        <v>5477</v>
      </c>
      <c r="Q1337" s="4">
        <v>786.96</v>
      </c>
    </row>
    <row r="1338" spans="1:17" x14ac:dyDescent="0.3">
      <c r="A1338" t="s">
        <v>1302</v>
      </c>
      <c r="B1338" t="s">
        <v>1462</v>
      </c>
      <c r="C1338" s="1">
        <v>45378</v>
      </c>
      <c r="D1338" t="s">
        <v>2669</v>
      </c>
      <c r="E1338" t="s">
        <v>4444</v>
      </c>
      <c r="F1338" t="s">
        <v>4569</v>
      </c>
      <c r="G1338" t="s">
        <v>4581</v>
      </c>
      <c r="H1338" t="s">
        <v>4586</v>
      </c>
      <c r="I1338" t="s">
        <v>4593</v>
      </c>
      <c r="J1338">
        <v>1</v>
      </c>
      <c r="K1338">
        <v>108.98</v>
      </c>
      <c r="L1338">
        <v>0.15</v>
      </c>
      <c r="M1338">
        <v>13.44</v>
      </c>
      <c r="N1338" t="s">
        <v>5467</v>
      </c>
      <c r="O1338" t="s">
        <v>5481</v>
      </c>
      <c r="P1338" t="s">
        <v>5477</v>
      </c>
      <c r="Q1338" s="4">
        <v>92.632999999999996</v>
      </c>
    </row>
    <row r="1339" spans="1:17" x14ac:dyDescent="0.3">
      <c r="A1339" t="s">
        <v>1303</v>
      </c>
      <c r="B1339" t="s">
        <v>2538</v>
      </c>
      <c r="C1339" s="1">
        <v>45831</v>
      </c>
      <c r="D1339" t="s">
        <v>3088</v>
      </c>
      <c r="E1339" t="s">
        <v>4445</v>
      </c>
      <c r="F1339" t="s">
        <v>4565</v>
      </c>
      <c r="G1339" t="s">
        <v>4575</v>
      </c>
      <c r="H1339" t="s">
        <v>4586</v>
      </c>
      <c r="I1339" t="s">
        <v>4593</v>
      </c>
      <c r="J1339">
        <v>2</v>
      </c>
      <c r="K1339">
        <v>112.38</v>
      </c>
      <c r="L1339">
        <v>0.1</v>
      </c>
      <c r="M1339">
        <v>8.1199999999999992</v>
      </c>
      <c r="N1339" t="s">
        <v>5465</v>
      </c>
      <c r="O1339" t="s">
        <v>5471</v>
      </c>
      <c r="P1339" t="s">
        <v>5476</v>
      </c>
      <c r="Q1339" s="4">
        <v>202.28399999999999</v>
      </c>
    </row>
    <row r="1340" spans="1:17" x14ac:dyDescent="0.3">
      <c r="A1340" t="s">
        <v>1304</v>
      </c>
      <c r="B1340" t="s">
        <v>2539</v>
      </c>
      <c r="C1340" s="1">
        <v>45633</v>
      </c>
      <c r="D1340" t="s">
        <v>2705</v>
      </c>
      <c r="E1340" t="s">
        <v>4446</v>
      </c>
      <c r="F1340" t="s">
        <v>4549</v>
      </c>
      <c r="G1340" t="s">
        <v>4573</v>
      </c>
      <c r="H1340" t="s">
        <v>4586</v>
      </c>
      <c r="I1340" t="s">
        <v>4597</v>
      </c>
      <c r="J1340">
        <v>1</v>
      </c>
      <c r="K1340">
        <v>86.19</v>
      </c>
      <c r="L1340">
        <v>0</v>
      </c>
      <c r="M1340">
        <v>3.18</v>
      </c>
      <c r="N1340" t="s">
        <v>5466</v>
      </c>
      <c r="O1340" t="s">
        <v>5474</v>
      </c>
      <c r="P1340" t="s">
        <v>5477</v>
      </c>
      <c r="Q1340" s="4">
        <v>86.19</v>
      </c>
    </row>
    <row r="1341" spans="1:17" x14ac:dyDescent="0.3">
      <c r="A1341" t="s">
        <v>1305</v>
      </c>
      <c r="B1341" t="s">
        <v>2540</v>
      </c>
      <c r="C1341" s="1">
        <v>45549</v>
      </c>
      <c r="D1341" t="s">
        <v>5500</v>
      </c>
      <c r="E1341" t="s">
        <v>5481</v>
      </c>
      <c r="F1341" t="s">
        <v>4549</v>
      </c>
      <c r="G1341" t="s">
        <v>4573</v>
      </c>
      <c r="H1341" t="s">
        <v>4583</v>
      </c>
      <c r="I1341" t="s">
        <v>4604</v>
      </c>
      <c r="J1341">
        <v>1</v>
      </c>
      <c r="K1341">
        <v>22.83</v>
      </c>
      <c r="L1341">
        <v>0</v>
      </c>
      <c r="M1341">
        <v>3.41</v>
      </c>
      <c r="N1341" t="s">
        <v>5462</v>
      </c>
      <c r="O1341" t="s">
        <v>5473</v>
      </c>
      <c r="P1341" t="s">
        <v>5476</v>
      </c>
      <c r="Q1341" s="4">
        <v>22.83</v>
      </c>
    </row>
    <row r="1342" spans="1:17" x14ac:dyDescent="0.3">
      <c r="A1342" t="s">
        <v>1306</v>
      </c>
      <c r="B1342" t="s">
        <v>1816</v>
      </c>
      <c r="C1342" s="1">
        <v>45975</v>
      </c>
      <c r="D1342" t="s">
        <v>2839</v>
      </c>
      <c r="E1342" t="s">
        <v>4447</v>
      </c>
      <c r="F1342" t="s">
        <v>4564</v>
      </c>
      <c r="G1342" t="s">
        <v>4578</v>
      </c>
      <c r="H1342" t="s">
        <v>4587</v>
      </c>
      <c r="I1342" t="s">
        <v>4594</v>
      </c>
      <c r="J1342">
        <v>1</v>
      </c>
      <c r="K1342">
        <v>62.79</v>
      </c>
      <c r="L1342">
        <v>0.15</v>
      </c>
      <c r="M1342">
        <v>13.05</v>
      </c>
      <c r="N1342" t="s">
        <v>5464</v>
      </c>
      <c r="O1342" t="s">
        <v>5471</v>
      </c>
      <c r="P1342" t="s">
        <v>5477</v>
      </c>
      <c r="Q1342" s="4">
        <v>53.371499999999997</v>
      </c>
    </row>
    <row r="1343" spans="1:17" x14ac:dyDescent="0.3">
      <c r="A1343" t="s">
        <v>1307</v>
      </c>
      <c r="B1343" t="s">
        <v>1843</v>
      </c>
      <c r="C1343" s="1">
        <v>45380</v>
      </c>
      <c r="D1343" t="s">
        <v>3145</v>
      </c>
      <c r="E1343" t="s">
        <v>4448</v>
      </c>
      <c r="F1343" t="s">
        <v>4549</v>
      </c>
      <c r="G1343" t="s">
        <v>4574</v>
      </c>
      <c r="H1343" t="s">
        <v>4585</v>
      </c>
      <c r="I1343" t="s">
        <v>4590</v>
      </c>
      <c r="J1343">
        <v>1</v>
      </c>
      <c r="K1343">
        <v>14.65</v>
      </c>
      <c r="L1343">
        <v>0</v>
      </c>
      <c r="M1343">
        <v>6.97</v>
      </c>
      <c r="N1343" t="s">
        <v>5468</v>
      </c>
      <c r="O1343" t="s">
        <v>5472</v>
      </c>
      <c r="P1343" t="s">
        <v>5477</v>
      </c>
      <c r="Q1343" s="4">
        <v>14.65</v>
      </c>
    </row>
    <row r="1344" spans="1:17" x14ac:dyDescent="0.3">
      <c r="A1344" t="s">
        <v>1308</v>
      </c>
      <c r="B1344" t="s">
        <v>2193</v>
      </c>
      <c r="C1344" s="1">
        <v>45338</v>
      </c>
      <c r="D1344" t="s">
        <v>2827</v>
      </c>
      <c r="E1344" t="s">
        <v>5481</v>
      </c>
      <c r="F1344" t="s">
        <v>4566</v>
      </c>
      <c r="G1344" t="s">
        <v>4577</v>
      </c>
      <c r="H1344" t="s">
        <v>4584</v>
      </c>
      <c r="I1344" t="s">
        <v>4589</v>
      </c>
      <c r="J1344">
        <v>3</v>
      </c>
      <c r="K1344">
        <v>35.81</v>
      </c>
      <c r="L1344">
        <v>0.1</v>
      </c>
      <c r="M1344">
        <v>7.8</v>
      </c>
      <c r="N1344" t="s">
        <v>5465</v>
      </c>
      <c r="O1344" t="s">
        <v>5473</v>
      </c>
      <c r="P1344" t="s">
        <v>5477</v>
      </c>
      <c r="Q1344" s="4">
        <v>96.687000000000012</v>
      </c>
    </row>
    <row r="1345" spans="1:17" x14ac:dyDescent="0.3">
      <c r="A1345" t="s">
        <v>1309</v>
      </c>
      <c r="B1345" t="s">
        <v>2541</v>
      </c>
      <c r="C1345" s="1">
        <v>45637</v>
      </c>
      <c r="D1345" t="s">
        <v>2746</v>
      </c>
      <c r="E1345" t="s">
        <v>4449</v>
      </c>
      <c r="F1345" t="s">
        <v>4564</v>
      </c>
      <c r="G1345" t="s">
        <v>4573</v>
      </c>
      <c r="H1345" t="s">
        <v>4583</v>
      </c>
      <c r="I1345" t="s">
        <v>4604</v>
      </c>
      <c r="J1345">
        <v>10</v>
      </c>
      <c r="K1345">
        <v>23.12</v>
      </c>
      <c r="L1345">
        <v>0</v>
      </c>
      <c r="M1345">
        <v>7.51</v>
      </c>
      <c r="N1345" t="s">
        <v>5464</v>
      </c>
      <c r="O1345" t="s">
        <v>5471</v>
      </c>
      <c r="P1345" t="s">
        <v>5477</v>
      </c>
      <c r="Q1345" s="4">
        <v>231.20000000000002</v>
      </c>
    </row>
    <row r="1346" spans="1:17" x14ac:dyDescent="0.3">
      <c r="A1346" t="s">
        <v>1310</v>
      </c>
      <c r="B1346" t="s">
        <v>2542</v>
      </c>
      <c r="C1346" s="1">
        <v>45704</v>
      </c>
      <c r="D1346" t="s">
        <v>3080</v>
      </c>
      <c r="E1346" t="s">
        <v>4450</v>
      </c>
      <c r="F1346" t="s">
        <v>4549</v>
      </c>
      <c r="G1346" t="s">
        <v>4574</v>
      </c>
      <c r="H1346" t="s">
        <v>4583</v>
      </c>
      <c r="I1346" t="s">
        <v>4588</v>
      </c>
      <c r="J1346">
        <v>10</v>
      </c>
      <c r="K1346">
        <v>38.869999999999997</v>
      </c>
      <c r="L1346">
        <v>0</v>
      </c>
      <c r="M1346">
        <v>0</v>
      </c>
      <c r="N1346" t="s">
        <v>5462</v>
      </c>
      <c r="O1346" t="s">
        <v>5473</v>
      </c>
      <c r="P1346" t="s">
        <v>5477</v>
      </c>
      <c r="Q1346" s="4">
        <v>388.7</v>
      </c>
    </row>
    <row r="1347" spans="1:17" x14ac:dyDescent="0.3">
      <c r="A1347" t="s">
        <v>1311</v>
      </c>
      <c r="B1347" t="s">
        <v>2543</v>
      </c>
      <c r="C1347" s="1">
        <v>45407</v>
      </c>
      <c r="D1347" t="s">
        <v>2844</v>
      </c>
      <c r="E1347" t="s">
        <v>4451</v>
      </c>
      <c r="F1347" t="s">
        <v>4566</v>
      </c>
      <c r="G1347" t="s">
        <v>4573</v>
      </c>
      <c r="H1347" t="s">
        <v>4586</v>
      </c>
      <c r="I1347" t="s">
        <v>4593</v>
      </c>
      <c r="J1347">
        <v>4</v>
      </c>
      <c r="K1347">
        <v>111.91</v>
      </c>
      <c r="L1347">
        <v>0</v>
      </c>
      <c r="M1347">
        <v>9.2200000000000006</v>
      </c>
      <c r="N1347" t="s">
        <v>5467</v>
      </c>
      <c r="O1347" t="s">
        <v>5474</v>
      </c>
      <c r="P1347" t="s">
        <v>5477</v>
      </c>
      <c r="Q1347" s="4">
        <v>447.64</v>
      </c>
    </row>
    <row r="1348" spans="1:17" x14ac:dyDescent="0.3">
      <c r="A1348" t="s">
        <v>1312</v>
      </c>
      <c r="B1348" t="s">
        <v>2544</v>
      </c>
      <c r="C1348" s="1">
        <v>45967</v>
      </c>
      <c r="D1348" t="s">
        <v>2803</v>
      </c>
      <c r="E1348" t="s">
        <v>4452</v>
      </c>
      <c r="F1348" t="s">
        <v>4566</v>
      </c>
      <c r="G1348" t="s">
        <v>4577</v>
      </c>
      <c r="H1348" t="s">
        <v>4583</v>
      </c>
      <c r="I1348" t="s">
        <v>4605</v>
      </c>
      <c r="J1348">
        <v>1</v>
      </c>
      <c r="K1348">
        <v>44.54</v>
      </c>
      <c r="L1348">
        <v>0.05</v>
      </c>
      <c r="N1348" t="s">
        <v>5467</v>
      </c>
      <c r="O1348" t="s">
        <v>5474</v>
      </c>
      <c r="P1348" t="s">
        <v>5477</v>
      </c>
      <c r="Q1348" s="4">
        <v>42.312999999999995</v>
      </c>
    </row>
    <row r="1349" spans="1:17" x14ac:dyDescent="0.3">
      <c r="A1349" t="s">
        <v>1313</v>
      </c>
      <c r="B1349" t="s">
        <v>2258</v>
      </c>
      <c r="C1349" s="1">
        <v>45589</v>
      </c>
      <c r="D1349" t="s">
        <v>5501</v>
      </c>
      <c r="E1349" t="s">
        <v>4453</v>
      </c>
      <c r="F1349" t="s">
        <v>4564</v>
      </c>
      <c r="G1349" t="s">
        <v>4573</v>
      </c>
      <c r="H1349" t="s">
        <v>4586</v>
      </c>
      <c r="I1349" t="s">
        <v>4597</v>
      </c>
      <c r="J1349">
        <v>10</v>
      </c>
      <c r="K1349">
        <v>91.54</v>
      </c>
      <c r="L1349">
        <v>0</v>
      </c>
      <c r="M1349">
        <v>5.32</v>
      </c>
      <c r="N1349" t="s">
        <v>5468</v>
      </c>
      <c r="O1349" t="s">
        <v>5473</v>
      </c>
      <c r="P1349" t="s">
        <v>5476</v>
      </c>
      <c r="Q1349" s="4">
        <v>915.40000000000009</v>
      </c>
    </row>
    <row r="1350" spans="1:17" x14ac:dyDescent="0.3">
      <c r="A1350" t="s">
        <v>1314</v>
      </c>
      <c r="B1350" t="s">
        <v>2545</v>
      </c>
      <c r="C1350" s="1">
        <v>45364</v>
      </c>
      <c r="D1350" t="s">
        <v>3225</v>
      </c>
      <c r="E1350" t="s">
        <v>4454</v>
      </c>
      <c r="F1350" t="s">
        <v>4564</v>
      </c>
      <c r="G1350" t="s">
        <v>4573</v>
      </c>
      <c r="H1350" t="s">
        <v>4585</v>
      </c>
      <c r="I1350" t="s">
        <v>4598</v>
      </c>
      <c r="J1350">
        <v>2</v>
      </c>
      <c r="K1350">
        <v>2.97</v>
      </c>
      <c r="L1350">
        <v>0</v>
      </c>
      <c r="M1350">
        <v>13.07</v>
      </c>
      <c r="N1350" t="s">
        <v>5481</v>
      </c>
      <c r="O1350" t="s">
        <v>5471</v>
      </c>
      <c r="P1350" t="s">
        <v>5475</v>
      </c>
      <c r="Q1350" s="4">
        <v>5.94</v>
      </c>
    </row>
    <row r="1351" spans="1:17" x14ac:dyDescent="0.3">
      <c r="A1351" t="s">
        <v>1315</v>
      </c>
      <c r="B1351" t="s">
        <v>2130</v>
      </c>
      <c r="C1351" s="1">
        <v>45354</v>
      </c>
      <c r="D1351" t="s">
        <v>2780</v>
      </c>
      <c r="E1351" t="s">
        <v>4455</v>
      </c>
      <c r="F1351" t="s">
        <v>4566</v>
      </c>
      <c r="G1351" t="s">
        <v>4573</v>
      </c>
      <c r="H1351" t="s">
        <v>4585</v>
      </c>
      <c r="I1351" t="s">
        <v>4591</v>
      </c>
      <c r="J1351">
        <v>1</v>
      </c>
      <c r="K1351">
        <v>7.95</v>
      </c>
      <c r="L1351">
        <v>0</v>
      </c>
      <c r="M1351">
        <v>5.65</v>
      </c>
      <c r="N1351" t="s">
        <v>5462</v>
      </c>
      <c r="O1351" t="s">
        <v>5471</v>
      </c>
      <c r="P1351" t="s">
        <v>5476</v>
      </c>
      <c r="Q1351" s="4">
        <v>7.95</v>
      </c>
    </row>
    <row r="1352" spans="1:17" x14ac:dyDescent="0.3">
      <c r="A1352" t="s">
        <v>1316</v>
      </c>
      <c r="B1352" t="s">
        <v>2546</v>
      </c>
      <c r="C1352" s="1">
        <v>45476</v>
      </c>
      <c r="D1352" t="s">
        <v>2831</v>
      </c>
      <c r="E1352" t="s">
        <v>4456</v>
      </c>
      <c r="F1352" t="s">
        <v>4549</v>
      </c>
      <c r="G1352" t="s">
        <v>4574</v>
      </c>
      <c r="H1352" t="s">
        <v>4584</v>
      </c>
      <c r="I1352" t="s">
        <v>4608</v>
      </c>
      <c r="J1352">
        <v>2</v>
      </c>
      <c r="K1352">
        <v>18.66</v>
      </c>
      <c r="L1352">
        <v>0.15</v>
      </c>
      <c r="M1352">
        <v>0</v>
      </c>
      <c r="N1352" t="s">
        <v>5468</v>
      </c>
      <c r="O1352" t="s">
        <v>5470</v>
      </c>
      <c r="P1352" t="s">
        <v>5477</v>
      </c>
      <c r="Q1352" s="4">
        <v>31.721999999999998</v>
      </c>
    </row>
    <row r="1353" spans="1:17" x14ac:dyDescent="0.3">
      <c r="A1353" t="s">
        <v>1317</v>
      </c>
      <c r="B1353" t="s">
        <v>2547</v>
      </c>
      <c r="C1353" s="1">
        <v>45955</v>
      </c>
      <c r="D1353" t="s">
        <v>3073</v>
      </c>
      <c r="E1353" t="s">
        <v>4457</v>
      </c>
      <c r="F1353" t="s">
        <v>4569</v>
      </c>
      <c r="G1353" t="s">
        <v>4572</v>
      </c>
      <c r="H1353" t="s">
        <v>4586</v>
      </c>
      <c r="I1353" t="s">
        <v>4593</v>
      </c>
      <c r="J1353">
        <v>1</v>
      </c>
      <c r="K1353">
        <v>113.89</v>
      </c>
      <c r="L1353">
        <v>0</v>
      </c>
      <c r="M1353">
        <v>0</v>
      </c>
      <c r="N1353" t="s">
        <v>5464</v>
      </c>
      <c r="O1353" t="s">
        <v>5469</v>
      </c>
      <c r="P1353" t="s">
        <v>5477</v>
      </c>
      <c r="Q1353" s="4">
        <v>113.89</v>
      </c>
    </row>
    <row r="1354" spans="1:17" x14ac:dyDescent="0.3">
      <c r="A1354" t="s">
        <v>1318</v>
      </c>
      <c r="B1354" t="s">
        <v>2548</v>
      </c>
      <c r="C1354" s="1">
        <v>45402</v>
      </c>
      <c r="D1354" t="s">
        <v>2879</v>
      </c>
      <c r="E1354" t="s">
        <v>4458</v>
      </c>
      <c r="F1354" t="s">
        <v>4566</v>
      </c>
      <c r="G1354" t="s">
        <v>4573</v>
      </c>
      <c r="H1354" t="s">
        <v>4585</v>
      </c>
      <c r="I1354" t="s">
        <v>4602</v>
      </c>
      <c r="J1354">
        <v>1</v>
      </c>
      <c r="K1354">
        <v>4.1100000000000003</v>
      </c>
      <c r="L1354">
        <v>0</v>
      </c>
      <c r="M1354">
        <v>12.49</v>
      </c>
      <c r="N1354" t="s">
        <v>5465</v>
      </c>
      <c r="O1354" t="s">
        <v>5470</v>
      </c>
      <c r="P1354" t="s">
        <v>5477</v>
      </c>
      <c r="Q1354" s="4">
        <v>4.1100000000000003</v>
      </c>
    </row>
    <row r="1355" spans="1:17" x14ac:dyDescent="0.3">
      <c r="A1355" t="s">
        <v>1319</v>
      </c>
      <c r="B1355" t="s">
        <v>2549</v>
      </c>
      <c r="C1355" s="1">
        <v>45320</v>
      </c>
      <c r="D1355" t="s">
        <v>3046</v>
      </c>
      <c r="E1355" t="s">
        <v>4459</v>
      </c>
      <c r="F1355" t="s">
        <v>4569</v>
      </c>
      <c r="G1355" t="s">
        <v>4572</v>
      </c>
      <c r="H1355" t="s">
        <v>4587</v>
      </c>
      <c r="I1355" t="s">
        <v>4600</v>
      </c>
      <c r="J1355">
        <v>5</v>
      </c>
      <c r="K1355">
        <v>12.76</v>
      </c>
      <c r="L1355">
        <v>0.05</v>
      </c>
      <c r="M1355">
        <v>0</v>
      </c>
      <c r="N1355" t="s">
        <v>5464</v>
      </c>
      <c r="O1355" t="s">
        <v>5473</v>
      </c>
      <c r="P1355" t="s">
        <v>5479</v>
      </c>
      <c r="Q1355" s="4">
        <v>60.609999999999992</v>
      </c>
    </row>
    <row r="1356" spans="1:17" x14ac:dyDescent="0.3">
      <c r="A1356" t="s">
        <v>1320</v>
      </c>
      <c r="B1356" t="s">
        <v>2550</v>
      </c>
      <c r="C1356" s="1">
        <v>45573</v>
      </c>
      <c r="D1356" t="s">
        <v>2901</v>
      </c>
      <c r="E1356" t="s">
        <v>4460</v>
      </c>
      <c r="F1356" t="s">
        <v>4565</v>
      </c>
      <c r="G1356" t="s">
        <v>4579</v>
      </c>
      <c r="H1356" t="s">
        <v>4584</v>
      </c>
      <c r="I1356" t="s">
        <v>4607</v>
      </c>
      <c r="J1356">
        <v>1</v>
      </c>
      <c r="K1356">
        <v>25.6</v>
      </c>
      <c r="L1356">
        <v>0</v>
      </c>
      <c r="M1356">
        <v>3.66</v>
      </c>
      <c r="N1356" t="s">
        <v>5481</v>
      </c>
      <c r="O1356" t="s">
        <v>5469</v>
      </c>
      <c r="P1356" t="s">
        <v>5477</v>
      </c>
      <c r="Q1356" s="4">
        <v>25.6</v>
      </c>
    </row>
    <row r="1357" spans="1:17" x14ac:dyDescent="0.3">
      <c r="A1357" t="s">
        <v>1321</v>
      </c>
      <c r="B1357" t="s">
        <v>1500</v>
      </c>
      <c r="C1357" s="1">
        <v>45308</v>
      </c>
      <c r="D1357" t="s">
        <v>3051</v>
      </c>
      <c r="E1357" t="s">
        <v>4461</v>
      </c>
      <c r="F1357" t="s">
        <v>4566</v>
      </c>
      <c r="G1357" t="s">
        <v>4577</v>
      </c>
      <c r="H1357" t="s">
        <v>4584</v>
      </c>
      <c r="I1357" t="s">
        <v>4589</v>
      </c>
      <c r="J1357">
        <v>1</v>
      </c>
      <c r="K1357">
        <v>35.26</v>
      </c>
      <c r="L1357">
        <v>0</v>
      </c>
      <c r="M1357">
        <v>6.92</v>
      </c>
      <c r="N1357" t="s">
        <v>5468</v>
      </c>
      <c r="O1357" t="s">
        <v>5469</v>
      </c>
      <c r="P1357" t="s">
        <v>5477</v>
      </c>
      <c r="Q1357" s="4">
        <v>35.26</v>
      </c>
    </row>
    <row r="1358" spans="1:17" x14ac:dyDescent="0.3">
      <c r="A1358" t="s">
        <v>1322</v>
      </c>
      <c r="B1358" t="s">
        <v>1435</v>
      </c>
      <c r="C1358" s="1">
        <v>45744</v>
      </c>
      <c r="D1358" t="s">
        <v>2757</v>
      </c>
      <c r="E1358" t="s">
        <v>4462</v>
      </c>
      <c r="F1358" t="s">
        <v>4549</v>
      </c>
      <c r="G1358" t="s">
        <v>4573</v>
      </c>
      <c r="H1358" t="s">
        <v>4586</v>
      </c>
      <c r="I1358" t="s">
        <v>4599</v>
      </c>
      <c r="J1358">
        <v>3</v>
      </c>
      <c r="K1358">
        <v>238.25</v>
      </c>
      <c r="L1358">
        <v>0.15</v>
      </c>
      <c r="M1358">
        <v>14.58</v>
      </c>
      <c r="N1358" t="s">
        <v>5481</v>
      </c>
      <c r="O1358" t="s">
        <v>5469</v>
      </c>
      <c r="P1358" t="s">
        <v>5475</v>
      </c>
      <c r="Q1358" s="4">
        <v>607.53750000000002</v>
      </c>
    </row>
    <row r="1359" spans="1:17" x14ac:dyDescent="0.3">
      <c r="A1359" t="s">
        <v>1323</v>
      </c>
      <c r="B1359" t="s">
        <v>2551</v>
      </c>
      <c r="C1359" s="1">
        <v>45430</v>
      </c>
      <c r="D1359" t="s">
        <v>2992</v>
      </c>
      <c r="E1359" t="s">
        <v>4463</v>
      </c>
      <c r="F1359" t="s">
        <v>4564</v>
      </c>
      <c r="G1359" t="s">
        <v>5481</v>
      </c>
      <c r="H1359" t="s">
        <v>4587</v>
      </c>
      <c r="I1359" t="s">
        <v>4600</v>
      </c>
      <c r="J1359">
        <v>5</v>
      </c>
      <c r="K1359">
        <v>13.45</v>
      </c>
      <c r="L1359">
        <v>0</v>
      </c>
      <c r="M1359">
        <v>0.06</v>
      </c>
      <c r="N1359" t="s">
        <v>5466</v>
      </c>
      <c r="O1359" t="s">
        <v>5472</v>
      </c>
      <c r="P1359" t="s">
        <v>5477</v>
      </c>
      <c r="Q1359" s="4">
        <v>67.25</v>
      </c>
    </row>
    <row r="1360" spans="1:17" x14ac:dyDescent="0.3">
      <c r="A1360" t="s">
        <v>1324</v>
      </c>
      <c r="B1360" t="s">
        <v>2483</v>
      </c>
      <c r="C1360" s="1">
        <v>45416</v>
      </c>
      <c r="D1360" t="s">
        <v>2779</v>
      </c>
      <c r="E1360" t="s">
        <v>4464</v>
      </c>
      <c r="F1360" t="s">
        <v>4549</v>
      </c>
      <c r="G1360" t="s">
        <v>4573</v>
      </c>
      <c r="H1360" t="s">
        <v>4585</v>
      </c>
      <c r="I1360" t="s">
        <v>4590</v>
      </c>
      <c r="J1360">
        <v>5</v>
      </c>
      <c r="K1360">
        <v>13.81</v>
      </c>
      <c r="L1360">
        <v>0</v>
      </c>
      <c r="M1360">
        <v>3.59</v>
      </c>
      <c r="N1360" t="s">
        <v>5464</v>
      </c>
      <c r="O1360" t="s">
        <v>5472</v>
      </c>
      <c r="P1360" t="s">
        <v>5477</v>
      </c>
      <c r="Q1360" s="4">
        <v>69.05</v>
      </c>
    </row>
    <row r="1361" spans="1:17" x14ac:dyDescent="0.3">
      <c r="A1361" t="s">
        <v>1325</v>
      </c>
      <c r="B1361" t="s">
        <v>2024</v>
      </c>
      <c r="C1361" s="1">
        <v>45690</v>
      </c>
      <c r="D1361" t="s">
        <v>2979</v>
      </c>
      <c r="E1361" t="s">
        <v>4465</v>
      </c>
      <c r="F1361" t="s">
        <v>4564</v>
      </c>
      <c r="G1361" t="s">
        <v>4573</v>
      </c>
      <c r="H1361" t="s">
        <v>4587</v>
      </c>
      <c r="I1361" t="s">
        <v>4596</v>
      </c>
      <c r="J1361">
        <v>10</v>
      </c>
      <c r="K1361">
        <v>14.43</v>
      </c>
      <c r="L1361">
        <v>0.05</v>
      </c>
      <c r="M1361">
        <v>11.89</v>
      </c>
      <c r="N1361" t="s">
        <v>5464</v>
      </c>
      <c r="O1361" t="s">
        <v>5474</v>
      </c>
      <c r="P1361" t="s">
        <v>5475</v>
      </c>
      <c r="Q1361" s="4">
        <v>137.08500000000001</v>
      </c>
    </row>
    <row r="1362" spans="1:17" x14ac:dyDescent="0.3">
      <c r="A1362" t="s">
        <v>1326</v>
      </c>
      <c r="B1362" t="s">
        <v>2552</v>
      </c>
      <c r="C1362" s="1">
        <v>45853</v>
      </c>
      <c r="D1362" t="s">
        <v>2861</v>
      </c>
      <c r="E1362" t="s">
        <v>4466</v>
      </c>
      <c r="F1362" t="s">
        <v>4565</v>
      </c>
      <c r="G1362" t="s">
        <v>4575</v>
      </c>
      <c r="H1362" t="s">
        <v>4587</v>
      </c>
      <c r="I1362" t="s">
        <v>4596</v>
      </c>
      <c r="J1362">
        <v>2</v>
      </c>
      <c r="K1362">
        <v>15.41</v>
      </c>
      <c r="L1362">
        <v>0.1</v>
      </c>
      <c r="M1362">
        <v>5.39</v>
      </c>
      <c r="N1362" t="s">
        <v>5463</v>
      </c>
      <c r="O1362" t="s">
        <v>5471</v>
      </c>
      <c r="P1362" t="s">
        <v>5477</v>
      </c>
      <c r="Q1362" s="4">
        <v>27.738</v>
      </c>
    </row>
    <row r="1363" spans="1:17" x14ac:dyDescent="0.3">
      <c r="A1363" t="s">
        <v>1327</v>
      </c>
      <c r="B1363" t="s">
        <v>2553</v>
      </c>
      <c r="C1363" s="1">
        <v>45955</v>
      </c>
      <c r="D1363" t="s">
        <v>3047</v>
      </c>
      <c r="E1363" t="s">
        <v>4467</v>
      </c>
      <c r="F1363" t="s">
        <v>4549</v>
      </c>
      <c r="G1363" t="s">
        <v>4574</v>
      </c>
      <c r="H1363" t="s">
        <v>4584</v>
      </c>
      <c r="I1363" t="s">
        <v>4603</v>
      </c>
      <c r="J1363">
        <v>1</v>
      </c>
      <c r="K1363">
        <v>9.5399999999999991</v>
      </c>
      <c r="L1363">
        <v>0.05</v>
      </c>
      <c r="M1363">
        <v>0.69</v>
      </c>
      <c r="N1363" t="s">
        <v>5467</v>
      </c>
      <c r="O1363" t="s">
        <v>5472</v>
      </c>
      <c r="P1363" t="s">
        <v>5477</v>
      </c>
      <c r="Q1363" s="4">
        <v>9.0629999999999988</v>
      </c>
    </row>
    <row r="1364" spans="1:17" x14ac:dyDescent="0.3">
      <c r="A1364" t="s">
        <v>276</v>
      </c>
      <c r="B1364" t="s">
        <v>1671</v>
      </c>
      <c r="C1364" s="1">
        <v>45299</v>
      </c>
      <c r="D1364" t="s">
        <v>2994</v>
      </c>
      <c r="E1364" t="s">
        <v>3506</v>
      </c>
      <c r="F1364" t="s">
        <v>4565</v>
      </c>
      <c r="G1364" t="s">
        <v>4576</v>
      </c>
      <c r="H1364" t="s">
        <v>4587</v>
      </c>
      <c r="I1364" t="s">
        <v>4596</v>
      </c>
      <c r="J1364">
        <v>10</v>
      </c>
      <c r="K1364">
        <v>14.97</v>
      </c>
      <c r="L1364">
        <v>0.05</v>
      </c>
      <c r="M1364">
        <v>0.22</v>
      </c>
      <c r="N1364" t="s">
        <v>5465</v>
      </c>
      <c r="O1364" t="s">
        <v>5481</v>
      </c>
      <c r="P1364" t="s">
        <v>5475</v>
      </c>
      <c r="Q1364" s="4">
        <v>142.215</v>
      </c>
    </row>
    <row r="1365" spans="1:17" x14ac:dyDescent="0.3">
      <c r="A1365" t="s">
        <v>1328</v>
      </c>
      <c r="B1365" t="s">
        <v>2554</v>
      </c>
      <c r="C1365" s="1">
        <v>45608</v>
      </c>
      <c r="D1365" t="s">
        <v>3251</v>
      </c>
      <c r="E1365" t="s">
        <v>4468</v>
      </c>
      <c r="F1365" t="s">
        <v>4569</v>
      </c>
      <c r="G1365" t="s">
        <v>4580</v>
      </c>
      <c r="H1365" t="s">
        <v>4586</v>
      </c>
      <c r="I1365" t="s">
        <v>4609</v>
      </c>
      <c r="J1365">
        <v>1</v>
      </c>
      <c r="K1365">
        <v>123.9</v>
      </c>
      <c r="L1365">
        <v>0.15</v>
      </c>
      <c r="M1365">
        <v>13.94</v>
      </c>
      <c r="N1365" t="s">
        <v>5463</v>
      </c>
      <c r="O1365" t="s">
        <v>5472</v>
      </c>
      <c r="P1365" t="s">
        <v>5477</v>
      </c>
      <c r="Q1365" s="4">
        <v>105.315</v>
      </c>
    </row>
    <row r="1366" spans="1:17" x14ac:dyDescent="0.3">
      <c r="A1366" t="s">
        <v>1329</v>
      </c>
      <c r="B1366" t="s">
        <v>2555</v>
      </c>
      <c r="C1366" s="1">
        <v>45611</v>
      </c>
      <c r="D1366" t="s">
        <v>2651</v>
      </c>
      <c r="E1366" t="s">
        <v>5481</v>
      </c>
      <c r="F1366" t="s">
        <v>4549</v>
      </c>
      <c r="G1366" t="s">
        <v>4573</v>
      </c>
      <c r="H1366" t="s">
        <v>4584</v>
      </c>
      <c r="I1366" t="s">
        <v>4595</v>
      </c>
      <c r="J1366">
        <v>1</v>
      </c>
      <c r="K1366">
        <v>43.82</v>
      </c>
      <c r="L1366">
        <v>0</v>
      </c>
      <c r="M1366">
        <v>2.89</v>
      </c>
      <c r="N1366" t="s">
        <v>5462</v>
      </c>
      <c r="O1366" t="s">
        <v>5470</v>
      </c>
      <c r="P1366" t="s">
        <v>5475</v>
      </c>
      <c r="Q1366" s="4">
        <v>43.82</v>
      </c>
    </row>
    <row r="1367" spans="1:17" x14ac:dyDescent="0.3">
      <c r="A1367" t="s">
        <v>1330</v>
      </c>
      <c r="B1367" t="s">
        <v>2556</v>
      </c>
      <c r="C1367" s="1">
        <v>45756</v>
      </c>
      <c r="D1367" t="s">
        <v>2714</v>
      </c>
      <c r="E1367" t="s">
        <v>4469</v>
      </c>
      <c r="F1367" t="s">
        <v>4569</v>
      </c>
      <c r="G1367" t="s">
        <v>4580</v>
      </c>
      <c r="H1367" t="s">
        <v>4585</v>
      </c>
      <c r="I1367" t="s">
        <v>4602</v>
      </c>
      <c r="J1367">
        <v>1</v>
      </c>
      <c r="K1367">
        <v>4.2699999999999996</v>
      </c>
      <c r="L1367">
        <v>0.1</v>
      </c>
      <c r="M1367">
        <v>3.97</v>
      </c>
      <c r="N1367" t="s">
        <v>5463</v>
      </c>
      <c r="O1367" t="s">
        <v>5473</v>
      </c>
      <c r="P1367" t="s">
        <v>5477</v>
      </c>
      <c r="Q1367" s="4">
        <v>3.8429999999999995</v>
      </c>
    </row>
    <row r="1368" spans="1:17" x14ac:dyDescent="0.3">
      <c r="A1368" t="s">
        <v>1331</v>
      </c>
      <c r="B1368" t="s">
        <v>2557</v>
      </c>
      <c r="C1368" s="1">
        <v>45530</v>
      </c>
      <c r="D1368" t="s">
        <v>3116</v>
      </c>
      <c r="E1368" t="s">
        <v>4470</v>
      </c>
      <c r="F1368" t="s">
        <v>4549</v>
      </c>
      <c r="G1368" t="s">
        <v>4573</v>
      </c>
      <c r="H1368" t="s">
        <v>4584</v>
      </c>
      <c r="I1368" t="s">
        <v>4595</v>
      </c>
      <c r="J1368">
        <v>1</v>
      </c>
      <c r="K1368">
        <v>40.21</v>
      </c>
      <c r="L1368">
        <v>0.05</v>
      </c>
      <c r="M1368">
        <v>13.42</v>
      </c>
      <c r="N1368" t="s">
        <v>5465</v>
      </c>
      <c r="O1368" t="s">
        <v>5474</v>
      </c>
      <c r="P1368" t="s">
        <v>5477</v>
      </c>
      <c r="Q1368" s="4">
        <v>38.1995</v>
      </c>
    </row>
    <row r="1369" spans="1:17" x14ac:dyDescent="0.3">
      <c r="A1369" t="s">
        <v>1332</v>
      </c>
      <c r="B1369" t="s">
        <v>2558</v>
      </c>
      <c r="C1369" s="1">
        <v>45406</v>
      </c>
      <c r="D1369" t="s">
        <v>2637</v>
      </c>
      <c r="E1369" t="s">
        <v>4471</v>
      </c>
      <c r="F1369" t="s">
        <v>4565</v>
      </c>
      <c r="G1369" t="s">
        <v>4579</v>
      </c>
      <c r="H1369" t="s">
        <v>4585</v>
      </c>
      <c r="I1369" t="s">
        <v>4598</v>
      </c>
      <c r="J1369">
        <v>2</v>
      </c>
      <c r="K1369">
        <v>2.95</v>
      </c>
      <c r="L1369">
        <v>0</v>
      </c>
      <c r="M1369">
        <v>11.36</v>
      </c>
      <c r="N1369" t="s">
        <v>5467</v>
      </c>
      <c r="O1369" t="s">
        <v>5474</v>
      </c>
      <c r="P1369" t="s">
        <v>5477</v>
      </c>
      <c r="Q1369" s="4">
        <v>5.9</v>
      </c>
    </row>
    <row r="1370" spans="1:17" x14ac:dyDescent="0.3">
      <c r="A1370" t="s">
        <v>1333</v>
      </c>
      <c r="B1370" t="s">
        <v>2559</v>
      </c>
      <c r="C1370" s="1">
        <v>45748</v>
      </c>
      <c r="D1370" t="s">
        <v>3234</v>
      </c>
      <c r="E1370" t="s">
        <v>4472</v>
      </c>
      <c r="F1370" t="s">
        <v>4549</v>
      </c>
      <c r="G1370" t="s">
        <v>4573</v>
      </c>
      <c r="H1370" t="s">
        <v>4583</v>
      </c>
      <c r="I1370" t="s">
        <v>4610</v>
      </c>
      <c r="J1370">
        <v>3</v>
      </c>
      <c r="K1370">
        <v>81.41</v>
      </c>
      <c r="L1370">
        <v>0</v>
      </c>
      <c r="M1370">
        <v>3.78</v>
      </c>
      <c r="N1370" t="s">
        <v>5467</v>
      </c>
      <c r="O1370" t="s">
        <v>5469</v>
      </c>
      <c r="P1370" t="s">
        <v>5477</v>
      </c>
      <c r="Q1370" s="4">
        <v>244.23</v>
      </c>
    </row>
    <row r="1371" spans="1:17" x14ac:dyDescent="0.3">
      <c r="A1371" t="s">
        <v>1334</v>
      </c>
      <c r="B1371" t="s">
        <v>2560</v>
      </c>
      <c r="C1371" s="1">
        <v>45991</v>
      </c>
      <c r="D1371" t="s">
        <v>2821</v>
      </c>
      <c r="E1371" t="s">
        <v>4473</v>
      </c>
      <c r="F1371" t="s">
        <v>4549</v>
      </c>
      <c r="G1371" t="s">
        <v>4573</v>
      </c>
      <c r="H1371" t="s">
        <v>4585</v>
      </c>
      <c r="I1371" t="s">
        <v>4592</v>
      </c>
      <c r="J1371">
        <v>1</v>
      </c>
      <c r="K1371">
        <v>6.54</v>
      </c>
      <c r="L1371">
        <v>0.05</v>
      </c>
      <c r="M1371">
        <v>14.7</v>
      </c>
      <c r="N1371" t="s">
        <v>5481</v>
      </c>
      <c r="O1371" t="s">
        <v>5473</v>
      </c>
      <c r="P1371" t="s">
        <v>5477</v>
      </c>
      <c r="Q1371" s="4">
        <v>6.2130000000000001</v>
      </c>
    </row>
    <row r="1372" spans="1:17" x14ac:dyDescent="0.3">
      <c r="A1372" t="s">
        <v>1335</v>
      </c>
      <c r="B1372" t="s">
        <v>2561</v>
      </c>
      <c r="C1372" s="1">
        <v>45360</v>
      </c>
      <c r="D1372" t="s">
        <v>3170</v>
      </c>
      <c r="E1372" t="s">
        <v>4474</v>
      </c>
      <c r="F1372" t="s">
        <v>4549</v>
      </c>
      <c r="G1372" t="s">
        <v>4573</v>
      </c>
      <c r="H1372" t="s">
        <v>4586</v>
      </c>
      <c r="I1372" t="s">
        <v>4597</v>
      </c>
      <c r="J1372">
        <v>1</v>
      </c>
      <c r="K1372">
        <v>86.58</v>
      </c>
      <c r="L1372">
        <v>0.05</v>
      </c>
      <c r="M1372">
        <v>4.34</v>
      </c>
      <c r="N1372" t="s">
        <v>5463</v>
      </c>
      <c r="O1372" t="s">
        <v>5470</v>
      </c>
      <c r="P1372" t="s">
        <v>5477</v>
      </c>
      <c r="Q1372" s="4">
        <v>82.250999999999991</v>
      </c>
    </row>
    <row r="1373" spans="1:17" x14ac:dyDescent="0.3">
      <c r="A1373" t="s">
        <v>1336</v>
      </c>
      <c r="B1373" t="s">
        <v>1468</v>
      </c>
      <c r="C1373" s="1">
        <v>45655</v>
      </c>
      <c r="D1373" t="s">
        <v>2884</v>
      </c>
      <c r="E1373" t="s">
        <v>4475</v>
      </c>
      <c r="F1373" t="s">
        <v>4564</v>
      </c>
      <c r="G1373" t="s">
        <v>4573</v>
      </c>
      <c r="H1373" t="s">
        <v>4584</v>
      </c>
      <c r="I1373" t="s">
        <v>4601</v>
      </c>
      <c r="J1373">
        <v>4</v>
      </c>
      <c r="K1373">
        <v>191.4</v>
      </c>
      <c r="L1373">
        <v>0.1</v>
      </c>
      <c r="M1373">
        <v>3.78</v>
      </c>
      <c r="N1373" t="s">
        <v>5466</v>
      </c>
      <c r="O1373" t="s">
        <v>5474</v>
      </c>
      <c r="P1373" t="s">
        <v>5479</v>
      </c>
      <c r="Q1373" s="4">
        <v>689.04000000000008</v>
      </c>
    </row>
    <row r="1374" spans="1:17" x14ac:dyDescent="0.3">
      <c r="A1374" t="s">
        <v>1337</v>
      </c>
      <c r="B1374" t="s">
        <v>2562</v>
      </c>
      <c r="C1374" s="1">
        <v>45968</v>
      </c>
      <c r="D1374" t="s">
        <v>2948</v>
      </c>
      <c r="E1374" t="s">
        <v>4476</v>
      </c>
      <c r="F1374" t="s">
        <v>4549</v>
      </c>
      <c r="G1374" t="s">
        <v>4573</v>
      </c>
      <c r="H1374" t="s">
        <v>4584</v>
      </c>
      <c r="I1374" t="s">
        <v>4589</v>
      </c>
      <c r="J1374">
        <v>3</v>
      </c>
      <c r="K1374">
        <v>35.64</v>
      </c>
      <c r="L1374">
        <v>0.05</v>
      </c>
      <c r="M1374">
        <v>5.79</v>
      </c>
      <c r="N1374" t="s">
        <v>5468</v>
      </c>
      <c r="O1374" t="s">
        <v>5470</v>
      </c>
      <c r="P1374" t="s">
        <v>5477</v>
      </c>
      <c r="Q1374" s="4">
        <v>101.574</v>
      </c>
    </row>
    <row r="1375" spans="1:17" x14ac:dyDescent="0.3">
      <c r="A1375" t="s">
        <v>1338</v>
      </c>
      <c r="B1375" t="s">
        <v>2415</v>
      </c>
      <c r="C1375" s="1">
        <v>45548</v>
      </c>
      <c r="D1375" t="s">
        <v>3010</v>
      </c>
      <c r="E1375" t="s">
        <v>4477</v>
      </c>
      <c r="F1375" t="s">
        <v>4549</v>
      </c>
      <c r="G1375" t="s">
        <v>4573</v>
      </c>
      <c r="H1375" t="s">
        <v>4586</v>
      </c>
      <c r="I1375" t="s">
        <v>4599</v>
      </c>
      <c r="J1375">
        <v>1</v>
      </c>
      <c r="K1375">
        <v>249.15</v>
      </c>
      <c r="L1375">
        <v>0</v>
      </c>
      <c r="M1375">
        <v>4.91</v>
      </c>
      <c r="N1375" t="s">
        <v>5481</v>
      </c>
      <c r="O1375" t="s">
        <v>5473</v>
      </c>
      <c r="P1375" t="s">
        <v>5477</v>
      </c>
      <c r="Q1375" s="4">
        <v>249.15</v>
      </c>
    </row>
    <row r="1376" spans="1:17" x14ac:dyDescent="0.3">
      <c r="A1376" t="s">
        <v>1339</v>
      </c>
      <c r="B1376" t="s">
        <v>2563</v>
      </c>
      <c r="C1376" s="1">
        <v>45786</v>
      </c>
      <c r="D1376" t="s">
        <v>3181</v>
      </c>
      <c r="E1376" t="s">
        <v>4478</v>
      </c>
      <c r="F1376" t="s">
        <v>4564</v>
      </c>
      <c r="G1376" t="s">
        <v>4573</v>
      </c>
      <c r="H1376" t="s">
        <v>4587</v>
      </c>
      <c r="I1376" t="s">
        <v>4606</v>
      </c>
      <c r="J1376">
        <v>1</v>
      </c>
      <c r="K1376">
        <v>31.02</v>
      </c>
      <c r="L1376">
        <v>0</v>
      </c>
      <c r="M1376">
        <v>0</v>
      </c>
      <c r="N1376" t="s">
        <v>5468</v>
      </c>
      <c r="O1376" t="s">
        <v>5469</v>
      </c>
      <c r="P1376" t="s">
        <v>5477</v>
      </c>
      <c r="Q1376" s="4">
        <v>31.02</v>
      </c>
    </row>
    <row r="1377" spans="1:17" x14ac:dyDescent="0.3">
      <c r="A1377" t="s">
        <v>1340</v>
      </c>
      <c r="B1377" t="s">
        <v>2564</v>
      </c>
      <c r="C1377" s="1">
        <v>45310</v>
      </c>
      <c r="D1377" t="s">
        <v>3196</v>
      </c>
      <c r="E1377" t="s">
        <v>4479</v>
      </c>
      <c r="F1377" t="s">
        <v>4569</v>
      </c>
      <c r="G1377" t="s">
        <v>4572</v>
      </c>
      <c r="H1377" t="s">
        <v>4587</v>
      </c>
      <c r="I1377" t="s">
        <v>4606</v>
      </c>
      <c r="J1377">
        <v>1</v>
      </c>
      <c r="K1377">
        <v>29.01</v>
      </c>
      <c r="L1377">
        <v>0.05</v>
      </c>
      <c r="M1377">
        <v>2.38</v>
      </c>
      <c r="N1377" t="s">
        <v>5467</v>
      </c>
      <c r="O1377" t="s">
        <v>5481</v>
      </c>
      <c r="P1377" t="s">
        <v>5477</v>
      </c>
      <c r="Q1377" s="4">
        <v>27.5595</v>
      </c>
    </row>
    <row r="1378" spans="1:17" x14ac:dyDescent="0.3">
      <c r="A1378" t="s">
        <v>1341</v>
      </c>
      <c r="B1378" t="s">
        <v>2214</v>
      </c>
      <c r="C1378" s="1">
        <v>45720</v>
      </c>
      <c r="D1378" t="s">
        <v>2849</v>
      </c>
      <c r="E1378" t="s">
        <v>4480</v>
      </c>
      <c r="F1378" t="s">
        <v>4569</v>
      </c>
      <c r="G1378" t="s">
        <v>4572</v>
      </c>
      <c r="H1378" t="s">
        <v>4585</v>
      </c>
      <c r="I1378" t="s">
        <v>4591</v>
      </c>
      <c r="J1378">
        <v>3</v>
      </c>
      <c r="K1378">
        <v>7.98</v>
      </c>
      <c r="L1378">
        <v>0</v>
      </c>
      <c r="M1378">
        <v>14.8</v>
      </c>
      <c r="N1378" t="s">
        <v>5463</v>
      </c>
      <c r="O1378" t="s">
        <v>5481</v>
      </c>
      <c r="P1378" t="s">
        <v>5476</v>
      </c>
      <c r="Q1378" s="4">
        <v>23.94</v>
      </c>
    </row>
    <row r="1379" spans="1:17" x14ac:dyDescent="0.3">
      <c r="A1379" t="s">
        <v>1342</v>
      </c>
      <c r="B1379" t="s">
        <v>2565</v>
      </c>
      <c r="C1379" s="1">
        <v>45828</v>
      </c>
      <c r="D1379" t="s">
        <v>2890</v>
      </c>
      <c r="E1379" t="s">
        <v>4481</v>
      </c>
      <c r="F1379" t="s">
        <v>4549</v>
      </c>
      <c r="G1379" t="s">
        <v>4574</v>
      </c>
      <c r="H1379" t="s">
        <v>4587</v>
      </c>
      <c r="I1379" t="s">
        <v>4600</v>
      </c>
      <c r="J1379">
        <v>1</v>
      </c>
      <c r="K1379">
        <v>12.38</v>
      </c>
      <c r="L1379">
        <v>0.1</v>
      </c>
      <c r="M1379">
        <v>2.94</v>
      </c>
      <c r="N1379" t="s">
        <v>5465</v>
      </c>
      <c r="O1379" t="s">
        <v>5481</v>
      </c>
      <c r="P1379" t="s">
        <v>5479</v>
      </c>
      <c r="Q1379" s="4">
        <v>11.142000000000001</v>
      </c>
    </row>
    <row r="1380" spans="1:17" x14ac:dyDescent="0.3">
      <c r="A1380" t="s">
        <v>1343</v>
      </c>
      <c r="B1380" t="s">
        <v>2566</v>
      </c>
      <c r="C1380" s="1">
        <v>45717</v>
      </c>
      <c r="D1380" t="s">
        <v>2966</v>
      </c>
      <c r="E1380" t="s">
        <v>4482</v>
      </c>
      <c r="F1380" t="s">
        <v>4565</v>
      </c>
      <c r="G1380" t="s">
        <v>4576</v>
      </c>
      <c r="H1380" t="s">
        <v>4585</v>
      </c>
      <c r="I1380" t="s">
        <v>4592</v>
      </c>
      <c r="J1380">
        <v>1</v>
      </c>
      <c r="K1380">
        <v>6.76</v>
      </c>
      <c r="L1380">
        <v>0.1</v>
      </c>
      <c r="M1380">
        <v>8.09</v>
      </c>
      <c r="N1380" t="s">
        <v>5465</v>
      </c>
      <c r="O1380" t="s">
        <v>5470</v>
      </c>
      <c r="P1380" t="s">
        <v>5477</v>
      </c>
      <c r="Q1380" s="4">
        <v>6.0839999999999996</v>
      </c>
    </row>
    <row r="1381" spans="1:17" x14ac:dyDescent="0.3">
      <c r="A1381" t="s">
        <v>1344</v>
      </c>
      <c r="B1381" t="s">
        <v>2529</v>
      </c>
      <c r="C1381" s="1">
        <v>45956</v>
      </c>
      <c r="D1381" t="s">
        <v>3214</v>
      </c>
      <c r="E1381" t="s">
        <v>4483</v>
      </c>
      <c r="F1381" t="s">
        <v>4565</v>
      </c>
      <c r="G1381" t="s">
        <v>5481</v>
      </c>
      <c r="H1381" t="s">
        <v>4587</v>
      </c>
      <c r="I1381" t="s">
        <v>4600</v>
      </c>
      <c r="J1381">
        <v>10</v>
      </c>
      <c r="K1381">
        <v>13.48</v>
      </c>
      <c r="L1381">
        <v>0</v>
      </c>
      <c r="M1381">
        <v>13.12</v>
      </c>
      <c r="N1381" t="s">
        <v>5468</v>
      </c>
      <c r="O1381" t="s">
        <v>5474</v>
      </c>
      <c r="P1381" t="s">
        <v>5477</v>
      </c>
      <c r="Q1381" s="4">
        <v>134.80000000000001</v>
      </c>
    </row>
    <row r="1382" spans="1:17" x14ac:dyDescent="0.3">
      <c r="A1382" t="s">
        <v>1345</v>
      </c>
      <c r="B1382" t="s">
        <v>2567</v>
      </c>
      <c r="C1382" s="1">
        <v>45401</v>
      </c>
      <c r="D1382" t="s">
        <v>2789</v>
      </c>
      <c r="E1382" t="s">
        <v>4484</v>
      </c>
      <c r="F1382" t="s">
        <v>4549</v>
      </c>
      <c r="G1382" t="s">
        <v>4573</v>
      </c>
      <c r="H1382" t="s">
        <v>4587</v>
      </c>
      <c r="I1382" t="s">
        <v>4594</v>
      </c>
      <c r="J1382">
        <v>2</v>
      </c>
      <c r="K1382">
        <v>62.31</v>
      </c>
      <c r="L1382">
        <v>0.1</v>
      </c>
      <c r="M1382">
        <v>14.37</v>
      </c>
      <c r="N1382" t="s">
        <v>5481</v>
      </c>
      <c r="O1382" t="s">
        <v>5469</v>
      </c>
      <c r="P1382" t="s">
        <v>5477</v>
      </c>
      <c r="Q1382" s="4">
        <v>112.158</v>
      </c>
    </row>
    <row r="1383" spans="1:17" x14ac:dyDescent="0.3">
      <c r="A1383" t="s">
        <v>1346</v>
      </c>
      <c r="B1383" t="s">
        <v>2568</v>
      </c>
      <c r="C1383" s="1">
        <v>45774</v>
      </c>
      <c r="D1383" t="s">
        <v>2784</v>
      </c>
      <c r="E1383" t="s">
        <v>4485</v>
      </c>
      <c r="F1383" t="s">
        <v>4566</v>
      </c>
      <c r="G1383" t="s">
        <v>4573</v>
      </c>
      <c r="H1383" t="s">
        <v>4583</v>
      </c>
      <c r="I1383" t="s">
        <v>4588</v>
      </c>
      <c r="J1383">
        <v>5</v>
      </c>
      <c r="K1383">
        <v>39.200000000000003</v>
      </c>
      <c r="L1383">
        <v>0.05</v>
      </c>
      <c r="M1383">
        <v>11.02</v>
      </c>
      <c r="N1383" t="s">
        <v>5464</v>
      </c>
      <c r="O1383" t="s">
        <v>5481</v>
      </c>
      <c r="P1383" t="s">
        <v>5477</v>
      </c>
      <c r="Q1383" s="4">
        <v>186.2</v>
      </c>
    </row>
    <row r="1384" spans="1:17" x14ac:dyDescent="0.3">
      <c r="A1384" t="s">
        <v>1347</v>
      </c>
      <c r="B1384" t="s">
        <v>2569</v>
      </c>
      <c r="C1384" s="1">
        <v>45710</v>
      </c>
      <c r="D1384" t="s">
        <v>2958</v>
      </c>
      <c r="E1384" t="s">
        <v>4486</v>
      </c>
      <c r="F1384" t="s">
        <v>4566</v>
      </c>
      <c r="G1384" t="s">
        <v>5481</v>
      </c>
      <c r="H1384" t="s">
        <v>4583</v>
      </c>
      <c r="I1384" t="s">
        <v>4604</v>
      </c>
      <c r="J1384">
        <v>1</v>
      </c>
      <c r="K1384">
        <v>23.43</v>
      </c>
      <c r="L1384">
        <v>0</v>
      </c>
      <c r="M1384">
        <v>4.47</v>
      </c>
      <c r="N1384" t="s">
        <v>5462</v>
      </c>
      <c r="O1384" t="s">
        <v>5474</v>
      </c>
      <c r="P1384" t="s">
        <v>5477</v>
      </c>
      <c r="Q1384" s="4">
        <v>23.43</v>
      </c>
    </row>
    <row r="1385" spans="1:17" x14ac:dyDescent="0.3">
      <c r="A1385" t="s">
        <v>1348</v>
      </c>
      <c r="B1385" t="s">
        <v>2570</v>
      </c>
      <c r="C1385" s="1">
        <v>45390</v>
      </c>
      <c r="D1385" t="s">
        <v>2742</v>
      </c>
      <c r="E1385" t="s">
        <v>4487</v>
      </c>
      <c r="F1385" t="s">
        <v>4566</v>
      </c>
      <c r="G1385" t="s">
        <v>4573</v>
      </c>
      <c r="H1385" t="s">
        <v>5481</v>
      </c>
      <c r="I1385" t="s">
        <v>4597</v>
      </c>
      <c r="J1385">
        <v>1</v>
      </c>
      <c r="K1385">
        <v>87.24</v>
      </c>
      <c r="L1385">
        <v>0</v>
      </c>
      <c r="M1385">
        <v>8.8800000000000008</v>
      </c>
      <c r="N1385" t="s">
        <v>5463</v>
      </c>
      <c r="O1385" t="s">
        <v>5470</v>
      </c>
      <c r="P1385" t="s">
        <v>5476</v>
      </c>
      <c r="Q1385" s="4">
        <v>87.24</v>
      </c>
    </row>
    <row r="1386" spans="1:17" x14ac:dyDescent="0.3">
      <c r="A1386" t="s">
        <v>1349</v>
      </c>
      <c r="B1386" t="s">
        <v>2049</v>
      </c>
      <c r="C1386" s="1">
        <v>45852</v>
      </c>
      <c r="D1386" t="s">
        <v>2963</v>
      </c>
      <c r="E1386" t="s">
        <v>4488</v>
      </c>
      <c r="F1386" t="s">
        <v>4566</v>
      </c>
      <c r="G1386" t="s">
        <v>4577</v>
      </c>
      <c r="H1386" t="s">
        <v>4583</v>
      </c>
      <c r="I1386" t="s">
        <v>4604</v>
      </c>
      <c r="J1386">
        <v>1</v>
      </c>
      <c r="K1386">
        <v>23.04</v>
      </c>
      <c r="L1386">
        <v>0.1</v>
      </c>
      <c r="M1386">
        <v>5.83</v>
      </c>
      <c r="N1386" t="s">
        <v>5467</v>
      </c>
      <c r="O1386" t="s">
        <v>5469</v>
      </c>
      <c r="P1386" t="s">
        <v>5477</v>
      </c>
      <c r="Q1386" s="4">
        <v>20.736000000000001</v>
      </c>
    </row>
    <row r="1387" spans="1:17" x14ac:dyDescent="0.3">
      <c r="A1387" t="s">
        <v>1350</v>
      </c>
      <c r="B1387" t="s">
        <v>2571</v>
      </c>
      <c r="C1387" s="1">
        <v>45722</v>
      </c>
      <c r="D1387" t="s">
        <v>2974</v>
      </c>
      <c r="E1387" t="s">
        <v>4489</v>
      </c>
      <c r="F1387" t="s">
        <v>4564</v>
      </c>
      <c r="G1387" t="s">
        <v>4573</v>
      </c>
      <c r="H1387" t="s">
        <v>4586</v>
      </c>
      <c r="I1387" t="s">
        <v>4597</v>
      </c>
      <c r="J1387">
        <v>1</v>
      </c>
      <c r="K1387">
        <v>91.98</v>
      </c>
      <c r="L1387">
        <v>0</v>
      </c>
      <c r="M1387">
        <v>3.18</v>
      </c>
      <c r="N1387" t="s">
        <v>5464</v>
      </c>
      <c r="O1387" t="s">
        <v>5473</v>
      </c>
      <c r="P1387" t="s">
        <v>5477</v>
      </c>
      <c r="Q1387" s="4">
        <v>91.98</v>
      </c>
    </row>
    <row r="1388" spans="1:17" x14ac:dyDescent="0.3">
      <c r="A1388" t="s">
        <v>1351</v>
      </c>
      <c r="B1388" t="s">
        <v>2572</v>
      </c>
      <c r="C1388" s="1">
        <v>45652</v>
      </c>
      <c r="D1388" t="s">
        <v>2759</v>
      </c>
      <c r="E1388" t="s">
        <v>4490</v>
      </c>
      <c r="F1388" t="s">
        <v>4564</v>
      </c>
      <c r="G1388" t="s">
        <v>4578</v>
      </c>
      <c r="H1388" t="s">
        <v>4586</v>
      </c>
      <c r="I1388" t="s">
        <v>4593</v>
      </c>
      <c r="J1388">
        <v>2</v>
      </c>
      <c r="K1388">
        <v>109.5</v>
      </c>
      <c r="L1388">
        <v>0.1</v>
      </c>
      <c r="M1388">
        <v>5.05</v>
      </c>
      <c r="N1388" t="s">
        <v>5462</v>
      </c>
      <c r="O1388" t="s">
        <v>5469</v>
      </c>
      <c r="P1388" t="s">
        <v>5477</v>
      </c>
      <c r="Q1388" s="4">
        <v>197.1</v>
      </c>
    </row>
    <row r="1389" spans="1:17" x14ac:dyDescent="0.3">
      <c r="A1389" t="s">
        <v>1352</v>
      </c>
      <c r="B1389" t="s">
        <v>2573</v>
      </c>
      <c r="C1389" s="1">
        <v>45352</v>
      </c>
      <c r="D1389" t="s">
        <v>3225</v>
      </c>
      <c r="E1389" t="s">
        <v>4491</v>
      </c>
      <c r="F1389" t="s">
        <v>4569</v>
      </c>
      <c r="G1389" t="s">
        <v>4572</v>
      </c>
      <c r="H1389" t="s">
        <v>4583</v>
      </c>
      <c r="I1389" t="s">
        <v>4605</v>
      </c>
      <c r="J1389">
        <v>2</v>
      </c>
      <c r="K1389">
        <v>43.21</v>
      </c>
      <c r="L1389">
        <v>0.05</v>
      </c>
      <c r="M1389">
        <v>12.45</v>
      </c>
      <c r="N1389" t="s">
        <v>5467</v>
      </c>
      <c r="O1389" t="s">
        <v>5469</v>
      </c>
      <c r="P1389" t="s">
        <v>5479</v>
      </c>
      <c r="Q1389" s="4">
        <v>82.099000000000004</v>
      </c>
    </row>
    <row r="1390" spans="1:17" x14ac:dyDescent="0.3">
      <c r="A1390" t="s">
        <v>1353</v>
      </c>
      <c r="B1390" t="s">
        <v>2574</v>
      </c>
      <c r="C1390" s="1">
        <v>45795</v>
      </c>
      <c r="D1390" t="s">
        <v>2720</v>
      </c>
      <c r="E1390" t="s">
        <v>4492</v>
      </c>
      <c r="F1390" t="s">
        <v>4566</v>
      </c>
      <c r="G1390" t="s">
        <v>4573</v>
      </c>
      <c r="H1390" t="s">
        <v>4584</v>
      </c>
      <c r="I1390" t="s">
        <v>4607</v>
      </c>
      <c r="J1390">
        <v>5</v>
      </c>
      <c r="K1390">
        <v>24.46</v>
      </c>
      <c r="L1390">
        <v>0.15</v>
      </c>
      <c r="M1390">
        <v>0.8</v>
      </c>
      <c r="N1390" t="s">
        <v>5464</v>
      </c>
      <c r="O1390" t="s">
        <v>5481</v>
      </c>
      <c r="P1390" t="s">
        <v>5479</v>
      </c>
      <c r="Q1390" s="4">
        <v>103.95500000000001</v>
      </c>
    </row>
    <row r="1391" spans="1:17" x14ac:dyDescent="0.3">
      <c r="A1391" t="s">
        <v>1354</v>
      </c>
      <c r="B1391" t="s">
        <v>2575</v>
      </c>
      <c r="C1391" s="1">
        <v>45882</v>
      </c>
      <c r="D1391" t="s">
        <v>2867</v>
      </c>
      <c r="E1391" t="s">
        <v>4493</v>
      </c>
      <c r="F1391" t="s">
        <v>4549</v>
      </c>
      <c r="G1391" t="s">
        <v>4574</v>
      </c>
      <c r="H1391" t="s">
        <v>4584</v>
      </c>
      <c r="I1391" t="s">
        <v>4607</v>
      </c>
      <c r="J1391">
        <v>2</v>
      </c>
      <c r="K1391">
        <v>24.55</v>
      </c>
      <c r="L1391">
        <v>0.1</v>
      </c>
      <c r="M1391">
        <v>7.22</v>
      </c>
      <c r="N1391" t="s">
        <v>5481</v>
      </c>
      <c r="O1391" t="s">
        <v>5474</v>
      </c>
      <c r="P1391" t="s">
        <v>5477</v>
      </c>
      <c r="Q1391" s="4">
        <v>44.190000000000005</v>
      </c>
    </row>
    <row r="1392" spans="1:17" x14ac:dyDescent="0.3">
      <c r="A1392" t="s">
        <v>1355</v>
      </c>
      <c r="B1392" t="s">
        <v>1509</v>
      </c>
      <c r="C1392" s="1">
        <v>45333</v>
      </c>
      <c r="D1392" t="s">
        <v>2979</v>
      </c>
      <c r="E1392" t="s">
        <v>4494</v>
      </c>
      <c r="F1392" t="s">
        <v>4569</v>
      </c>
      <c r="G1392" t="s">
        <v>4581</v>
      </c>
      <c r="H1392" t="s">
        <v>4586</v>
      </c>
      <c r="I1392" t="s">
        <v>4599</v>
      </c>
      <c r="J1392">
        <v>1</v>
      </c>
      <c r="K1392">
        <v>249.92</v>
      </c>
      <c r="L1392">
        <v>0.05</v>
      </c>
      <c r="M1392">
        <v>5.78</v>
      </c>
      <c r="N1392" t="s">
        <v>5462</v>
      </c>
      <c r="O1392" t="s">
        <v>5471</v>
      </c>
      <c r="P1392" t="s">
        <v>5479</v>
      </c>
      <c r="Q1392" s="4">
        <v>237.42399999999998</v>
      </c>
    </row>
    <row r="1393" spans="1:17" x14ac:dyDescent="0.3">
      <c r="A1393" t="s">
        <v>1356</v>
      </c>
      <c r="B1393" t="s">
        <v>2576</v>
      </c>
      <c r="C1393" s="1">
        <v>45493</v>
      </c>
      <c r="D1393" t="s">
        <v>2841</v>
      </c>
      <c r="E1393" t="s">
        <v>4495</v>
      </c>
      <c r="F1393" t="s">
        <v>4564</v>
      </c>
      <c r="G1393" t="s">
        <v>5481</v>
      </c>
      <c r="H1393" t="s">
        <v>4586</v>
      </c>
      <c r="I1393" t="s">
        <v>4609</v>
      </c>
      <c r="J1393">
        <v>1</v>
      </c>
      <c r="K1393">
        <v>135</v>
      </c>
      <c r="L1393">
        <v>0.05</v>
      </c>
      <c r="M1393">
        <v>9.8800000000000008</v>
      </c>
      <c r="N1393" t="s">
        <v>5468</v>
      </c>
      <c r="O1393" t="s">
        <v>5470</v>
      </c>
      <c r="P1393" t="s">
        <v>5475</v>
      </c>
      <c r="Q1393" s="4">
        <v>128.25</v>
      </c>
    </row>
    <row r="1394" spans="1:17" x14ac:dyDescent="0.3">
      <c r="A1394" t="s">
        <v>1357</v>
      </c>
      <c r="B1394" t="s">
        <v>2577</v>
      </c>
      <c r="C1394" s="1">
        <v>45586</v>
      </c>
      <c r="D1394" t="s">
        <v>3023</v>
      </c>
      <c r="E1394" t="s">
        <v>4496</v>
      </c>
      <c r="F1394" t="s">
        <v>4564</v>
      </c>
      <c r="G1394" t="s">
        <v>4573</v>
      </c>
      <c r="H1394" t="s">
        <v>4585</v>
      </c>
      <c r="I1394" t="s">
        <v>4592</v>
      </c>
      <c r="J1394">
        <v>10</v>
      </c>
      <c r="K1394">
        <v>6.68</v>
      </c>
      <c r="L1394">
        <v>0</v>
      </c>
      <c r="M1394">
        <v>9.57</v>
      </c>
      <c r="N1394" t="s">
        <v>5463</v>
      </c>
      <c r="O1394" t="s">
        <v>5481</v>
      </c>
      <c r="P1394" t="s">
        <v>5477</v>
      </c>
      <c r="Q1394" s="4">
        <v>66.8</v>
      </c>
    </row>
    <row r="1395" spans="1:17" x14ac:dyDescent="0.3">
      <c r="A1395" t="s">
        <v>1358</v>
      </c>
      <c r="B1395" t="s">
        <v>2578</v>
      </c>
      <c r="C1395" s="1">
        <v>45988</v>
      </c>
      <c r="D1395" t="s">
        <v>2707</v>
      </c>
      <c r="E1395" t="s">
        <v>5481</v>
      </c>
      <c r="F1395" t="s">
        <v>4564</v>
      </c>
      <c r="G1395" t="s">
        <v>4573</v>
      </c>
      <c r="H1395" t="s">
        <v>4585</v>
      </c>
      <c r="I1395" t="s">
        <v>4598</v>
      </c>
      <c r="J1395">
        <v>2</v>
      </c>
      <c r="K1395">
        <v>3.15</v>
      </c>
      <c r="L1395">
        <v>0.1</v>
      </c>
      <c r="M1395">
        <v>6.24</v>
      </c>
      <c r="N1395" t="s">
        <v>5466</v>
      </c>
      <c r="O1395" t="s">
        <v>5471</v>
      </c>
      <c r="P1395" t="s">
        <v>5479</v>
      </c>
      <c r="Q1395" s="4">
        <v>5.67</v>
      </c>
    </row>
    <row r="1396" spans="1:17" x14ac:dyDescent="0.3">
      <c r="A1396" t="s">
        <v>1359</v>
      </c>
      <c r="B1396" t="s">
        <v>2579</v>
      </c>
      <c r="C1396" s="1">
        <v>45685</v>
      </c>
      <c r="D1396" t="s">
        <v>3145</v>
      </c>
      <c r="E1396" t="s">
        <v>4497</v>
      </c>
      <c r="F1396" t="s">
        <v>4564</v>
      </c>
      <c r="G1396" t="s">
        <v>4578</v>
      </c>
      <c r="H1396" t="s">
        <v>4583</v>
      </c>
      <c r="I1396" t="s">
        <v>4610</v>
      </c>
      <c r="J1396">
        <v>1</v>
      </c>
      <c r="K1396">
        <v>81.7</v>
      </c>
      <c r="L1396">
        <v>0.1</v>
      </c>
      <c r="M1396">
        <v>12.76</v>
      </c>
      <c r="N1396" t="s">
        <v>5462</v>
      </c>
      <c r="O1396" t="s">
        <v>5474</v>
      </c>
      <c r="P1396" t="s">
        <v>5477</v>
      </c>
      <c r="Q1396" s="4">
        <v>73.53</v>
      </c>
    </row>
    <row r="1397" spans="1:17" x14ac:dyDescent="0.3">
      <c r="A1397" t="s">
        <v>1360</v>
      </c>
      <c r="B1397" t="s">
        <v>2580</v>
      </c>
      <c r="C1397" s="1">
        <v>45612</v>
      </c>
      <c r="D1397" t="s">
        <v>3196</v>
      </c>
      <c r="E1397" t="s">
        <v>4498</v>
      </c>
      <c r="F1397" t="s">
        <v>4566</v>
      </c>
      <c r="G1397" t="s">
        <v>4573</v>
      </c>
      <c r="H1397" t="s">
        <v>4583</v>
      </c>
      <c r="I1397" t="s">
        <v>4605</v>
      </c>
      <c r="J1397">
        <v>1</v>
      </c>
      <c r="K1397">
        <v>44.27</v>
      </c>
      <c r="L1397">
        <v>0.05</v>
      </c>
      <c r="M1397">
        <v>0</v>
      </c>
      <c r="N1397" t="s">
        <v>5462</v>
      </c>
      <c r="O1397" t="s">
        <v>5471</v>
      </c>
      <c r="P1397" t="s">
        <v>5477</v>
      </c>
      <c r="Q1397" s="4">
        <v>42.0565</v>
      </c>
    </row>
    <row r="1398" spans="1:17" x14ac:dyDescent="0.3">
      <c r="A1398" t="s">
        <v>1361</v>
      </c>
      <c r="B1398" t="s">
        <v>2581</v>
      </c>
      <c r="C1398" s="1">
        <v>45333</v>
      </c>
      <c r="D1398" t="s">
        <v>2963</v>
      </c>
      <c r="E1398" t="s">
        <v>4499</v>
      </c>
      <c r="F1398" t="s">
        <v>4566</v>
      </c>
      <c r="G1398" t="s">
        <v>4582</v>
      </c>
      <c r="H1398" t="s">
        <v>4587</v>
      </c>
      <c r="I1398" t="s">
        <v>4600</v>
      </c>
      <c r="J1398">
        <v>1</v>
      </c>
      <c r="K1398">
        <v>12.78</v>
      </c>
      <c r="L1398">
        <v>0</v>
      </c>
      <c r="M1398">
        <v>12.78</v>
      </c>
      <c r="N1398" t="s">
        <v>5463</v>
      </c>
      <c r="O1398" t="s">
        <v>5471</v>
      </c>
      <c r="P1398" t="s">
        <v>5477</v>
      </c>
      <c r="Q1398" s="4">
        <v>12.78</v>
      </c>
    </row>
    <row r="1399" spans="1:17" x14ac:dyDescent="0.3">
      <c r="A1399" t="s">
        <v>1362</v>
      </c>
      <c r="B1399" t="s">
        <v>2582</v>
      </c>
      <c r="C1399" s="1">
        <v>45887</v>
      </c>
      <c r="D1399" t="s">
        <v>3013</v>
      </c>
      <c r="E1399" t="s">
        <v>4500</v>
      </c>
      <c r="F1399" t="s">
        <v>4549</v>
      </c>
      <c r="G1399" t="s">
        <v>4573</v>
      </c>
      <c r="H1399" t="s">
        <v>4584</v>
      </c>
      <c r="I1399" t="s">
        <v>4595</v>
      </c>
      <c r="J1399">
        <v>3</v>
      </c>
      <c r="K1399">
        <v>40.99</v>
      </c>
      <c r="L1399">
        <v>0</v>
      </c>
      <c r="M1399">
        <v>9.42</v>
      </c>
      <c r="N1399" t="s">
        <v>5463</v>
      </c>
      <c r="O1399" t="s">
        <v>5472</v>
      </c>
      <c r="P1399" t="s">
        <v>5479</v>
      </c>
      <c r="Q1399" s="4">
        <v>122.97</v>
      </c>
    </row>
    <row r="1400" spans="1:17" x14ac:dyDescent="0.3">
      <c r="A1400" t="s">
        <v>1363</v>
      </c>
      <c r="B1400" t="s">
        <v>2583</v>
      </c>
      <c r="C1400" s="1">
        <v>45508</v>
      </c>
      <c r="D1400" t="s">
        <v>2731</v>
      </c>
      <c r="E1400" t="s">
        <v>4501</v>
      </c>
      <c r="F1400" t="s">
        <v>4569</v>
      </c>
      <c r="G1400" t="s">
        <v>4581</v>
      </c>
      <c r="H1400" t="s">
        <v>4586</v>
      </c>
      <c r="I1400" t="s">
        <v>4593</v>
      </c>
      <c r="J1400">
        <v>1</v>
      </c>
      <c r="K1400">
        <v>108.42</v>
      </c>
      <c r="L1400">
        <v>0</v>
      </c>
      <c r="M1400">
        <v>14.36</v>
      </c>
      <c r="N1400" t="s">
        <v>5465</v>
      </c>
      <c r="O1400" t="s">
        <v>5473</v>
      </c>
      <c r="P1400" t="s">
        <v>5477</v>
      </c>
      <c r="Q1400" s="4">
        <v>108.42</v>
      </c>
    </row>
    <row r="1401" spans="1:17" x14ac:dyDescent="0.3">
      <c r="A1401" t="s">
        <v>1364</v>
      </c>
      <c r="B1401" t="s">
        <v>2584</v>
      </c>
      <c r="C1401" s="1">
        <v>45553</v>
      </c>
      <c r="D1401" t="s">
        <v>3063</v>
      </c>
      <c r="E1401" t="s">
        <v>4502</v>
      </c>
      <c r="F1401" t="s">
        <v>4565</v>
      </c>
      <c r="G1401" t="s">
        <v>4579</v>
      </c>
      <c r="H1401" t="s">
        <v>4585</v>
      </c>
      <c r="I1401" t="s">
        <v>4602</v>
      </c>
      <c r="J1401">
        <v>2</v>
      </c>
      <c r="K1401">
        <v>4.38</v>
      </c>
      <c r="L1401">
        <v>0</v>
      </c>
      <c r="M1401">
        <v>10.96</v>
      </c>
      <c r="N1401" t="s">
        <v>5464</v>
      </c>
      <c r="O1401" t="s">
        <v>5470</v>
      </c>
      <c r="P1401" t="s">
        <v>5477</v>
      </c>
      <c r="Q1401" s="4">
        <v>8.76</v>
      </c>
    </row>
    <row r="1402" spans="1:17" x14ac:dyDescent="0.3">
      <c r="A1402" t="s">
        <v>1365</v>
      </c>
      <c r="B1402" t="s">
        <v>2585</v>
      </c>
      <c r="C1402" s="1">
        <v>45586</v>
      </c>
      <c r="D1402" t="s">
        <v>2627</v>
      </c>
      <c r="E1402" t="s">
        <v>4503</v>
      </c>
      <c r="F1402" t="s">
        <v>4564</v>
      </c>
      <c r="G1402" t="s">
        <v>4578</v>
      </c>
      <c r="H1402" t="s">
        <v>4586</v>
      </c>
      <c r="I1402" t="s">
        <v>4593</v>
      </c>
      <c r="J1402">
        <v>1</v>
      </c>
      <c r="K1402">
        <v>105.61</v>
      </c>
      <c r="L1402">
        <v>0</v>
      </c>
      <c r="M1402">
        <v>13.62</v>
      </c>
      <c r="N1402" t="s">
        <v>5466</v>
      </c>
      <c r="O1402" t="s">
        <v>5471</v>
      </c>
      <c r="P1402" t="s">
        <v>5477</v>
      </c>
      <c r="Q1402" s="4">
        <v>105.61</v>
      </c>
    </row>
    <row r="1403" spans="1:17" x14ac:dyDescent="0.3">
      <c r="A1403" t="s">
        <v>1366</v>
      </c>
      <c r="B1403" t="s">
        <v>2586</v>
      </c>
      <c r="C1403" s="1">
        <v>45355</v>
      </c>
      <c r="D1403" t="s">
        <v>3009</v>
      </c>
      <c r="E1403" t="s">
        <v>4504</v>
      </c>
      <c r="F1403" t="s">
        <v>4566</v>
      </c>
      <c r="G1403" t="s">
        <v>4582</v>
      </c>
      <c r="H1403" t="s">
        <v>4584</v>
      </c>
      <c r="I1403" t="s">
        <v>4589</v>
      </c>
      <c r="J1403">
        <v>1</v>
      </c>
      <c r="K1403">
        <v>35.29</v>
      </c>
      <c r="L1403">
        <v>0.05</v>
      </c>
      <c r="M1403">
        <v>2.76</v>
      </c>
      <c r="N1403" t="s">
        <v>5465</v>
      </c>
      <c r="O1403" t="s">
        <v>5473</v>
      </c>
      <c r="P1403" t="s">
        <v>5477</v>
      </c>
      <c r="Q1403" s="4">
        <v>33.525500000000001</v>
      </c>
    </row>
    <row r="1404" spans="1:17" x14ac:dyDescent="0.3">
      <c r="A1404" t="s">
        <v>1367</v>
      </c>
      <c r="B1404" t="s">
        <v>2587</v>
      </c>
      <c r="C1404" s="1">
        <v>45505</v>
      </c>
      <c r="D1404" t="s">
        <v>3012</v>
      </c>
      <c r="E1404" t="s">
        <v>4505</v>
      </c>
      <c r="F1404" t="s">
        <v>4564</v>
      </c>
      <c r="G1404" t="s">
        <v>4573</v>
      </c>
      <c r="H1404" t="s">
        <v>4585</v>
      </c>
      <c r="I1404" t="s">
        <v>4592</v>
      </c>
      <c r="J1404">
        <v>5</v>
      </c>
      <c r="K1404">
        <v>6.34</v>
      </c>
      <c r="L1404">
        <v>0</v>
      </c>
      <c r="M1404">
        <v>1.98</v>
      </c>
      <c r="N1404" t="s">
        <v>5481</v>
      </c>
      <c r="O1404" t="s">
        <v>5470</v>
      </c>
      <c r="P1404" t="s">
        <v>5477</v>
      </c>
      <c r="Q1404" s="4">
        <v>31.7</v>
      </c>
    </row>
    <row r="1405" spans="1:17" x14ac:dyDescent="0.3">
      <c r="A1405" t="s">
        <v>1368</v>
      </c>
      <c r="B1405" t="s">
        <v>2588</v>
      </c>
      <c r="C1405" s="1">
        <v>45493</v>
      </c>
      <c r="D1405" t="s">
        <v>2832</v>
      </c>
      <c r="E1405" t="s">
        <v>5481</v>
      </c>
      <c r="F1405" t="s">
        <v>4564</v>
      </c>
      <c r="G1405" t="s">
        <v>4573</v>
      </c>
      <c r="H1405" t="s">
        <v>4583</v>
      </c>
      <c r="I1405" t="s">
        <v>4610</v>
      </c>
      <c r="J1405">
        <v>2</v>
      </c>
      <c r="K1405">
        <v>81.3</v>
      </c>
      <c r="L1405">
        <v>0.05</v>
      </c>
      <c r="M1405">
        <v>7.05</v>
      </c>
      <c r="N1405" t="s">
        <v>5463</v>
      </c>
      <c r="O1405" t="s">
        <v>5471</v>
      </c>
      <c r="P1405" t="s">
        <v>5477</v>
      </c>
      <c r="Q1405" s="4">
        <v>154.47</v>
      </c>
    </row>
    <row r="1406" spans="1:17" x14ac:dyDescent="0.3">
      <c r="A1406" t="s">
        <v>1369</v>
      </c>
      <c r="B1406" t="s">
        <v>2589</v>
      </c>
      <c r="C1406" s="1">
        <v>45303</v>
      </c>
      <c r="D1406" t="s">
        <v>2651</v>
      </c>
      <c r="E1406" t="s">
        <v>5481</v>
      </c>
      <c r="F1406" t="s">
        <v>4564</v>
      </c>
      <c r="G1406" t="s">
        <v>5481</v>
      </c>
      <c r="H1406" t="s">
        <v>4583</v>
      </c>
      <c r="I1406" t="s">
        <v>4604</v>
      </c>
      <c r="J1406">
        <v>10</v>
      </c>
      <c r="K1406">
        <v>21.54</v>
      </c>
      <c r="L1406">
        <v>0</v>
      </c>
      <c r="M1406">
        <v>0.36</v>
      </c>
      <c r="N1406" t="s">
        <v>5467</v>
      </c>
      <c r="O1406" t="s">
        <v>5469</v>
      </c>
      <c r="P1406" t="s">
        <v>5475</v>
      </c>
      <c r="Q1406" s="4">
        <v>215.39999999999998</v>
      </c>
    </row>
    <row r="1407" spans="1:17" x14ac:dyDescent="0.3">
      <c r="A1407" t="s">
        <v>1370</v>
      </c>
      <c r="B1407" t="s">
        <v>1427</v>
      </c>
      <c r="C1407" s="1">
        <v>45960</v>
      </c>
      <c r="D1407" t="s">
        <v>2688</v>
      </c>
      <c r="E1407" t="s">
        <v>4506</v>
      </c>
      <c r="F1407" t="s">
        <v>4566</v>
      </c>
      <c r="G1407" t="s">
        <v>5481</v>
      </c>
      <c r="H1407" t="s">
        <v>4584</v>
      </c>
      <c r="I1407" t="s">
        <v>4601</v>
      </c>
      <c r="J1407">
        <v>1</v>
      </c>
      <c r="K1407">
        <v>194.08</v>
      </c>
      <c r="L1407">
        <v>0</v>
      </c>
      <c r="M1407">
        <v>9.9700000000000006</v>
      </c>
      <c r="N1407" t="s">
        <v>5462</v>
      </c>
      <c r="O1407" t="s">
        <v>5474</v>
      </c>
      <c r="P1407" t="s">
        <v>5475</v>
      </c>
      <c r="Q1407" s="4">
        <v>194.08</v>
      </c>
    </row>
    <row r="1408" spans="1:17" x14ac:dyDescent="0.3">
      <c r="A1408" t="s">
        <v>1371</v>
      </c>
      <c r="B1408" t="s">
        <v>2453</v>
      </c>
      <c r="C1408" s="1">
        <v>45594</v>
      </c>
      <c r="D1408" t="s">
        <v>2705</v>
      </c>
      <c r="E1408" t="s">
        <v>4507</v>
      </c>
      <c r="F1408" t="s">
        <v>4549</v>
      </c>
      <c r="G1408" t="s">
        <v>4574</v>
      </c>
      <c r="H1408" t="s">
        <v>4583</v>
      </c>
      <c r="I1408" t="s">
        <v>4604</v>
      </c>
      <c r="J1408">
        <v>2</v>
      </c>
      <c r="K1408">
        <v>23.33</v>
      </c>
      <c r="L1408">
        <v>0</v>
      </c>
      <c r="M1408">
        <v>8.69</v>
      </c>
      <c r="N1408" t="s">
        <v>5463</v>
      </c>
      <c r="O1408" t="s">
        <v>5474</v>
      </c>
      <c r="P1408" t="s">
        <v>5475</v>
      </c>
      <c r="Q1408" s="4">
        <v>46.66</v>
      </c>
    </row>
    <row r="1409" spans="1:17" x14ac:dyDescent="0.3">
      <c r="A1409" t="s">
        <v>1372</v>
      </c>
      <c r="B1409" t="s">
        <v>2590</v>
      </c>
      <c r="C1409" s="1">
        <v>45848</v>
      </c>
      <c r="D1409" t="s">
        <v>2886</v>
      </c>
      <c r="E1409" t="s">
        <v>4508</v>
      </c>
      <c r="F1409" t="s">
        <v>4565</v>
      </c>
      <c r="G1409" t="s">
        <v>4579</v>
      </c>
      <c r="H1409" t="s">
        <v>4585</v>
      </c>
      <c r="I1409" t="s">
        <v>4598</v>
      </c>
      <c r="J1409">
        <v>10</v>
      </c>
      <c r="K1409">
        <v>3.05</v>
      </c>
      <c r="L1409">
        <v>0.05</v>
      </c>
      <c r="M1409">
        <v>6.86</v>
      </c>
      <c r="N1409" t="s">
        <v>5466</v>
      </c>
      <c r="O1409" t="s">
        <v>5469</v>
      </c>
      <c r="P1409" t="s">
        <v>5477</v>
      </c>
      <c r="Q1409" s="4">
        <v>28.974999999999998</v>
      </c>
    </row>
    <row r="1410" spans="1:17" x14ac:dyDescent="0.3">
      <c r="A1410" t="s">
        <v>32</v>
      </c>
      <c r="B1410" t="s">
        <v>1432</v>
      </c>
      <c r="C1410" s="1">
        <v>45720</v>
      </c>
      <c r="D1410" t="s">
        <v>2639</v>
      </c>
      <c r="E1410" t="s">
        <v>3279</v>
      </c>
      <c r="F1410" t="s">
        <v>4549</v>
      </c>
      <c r="G1410" t="s">
        <v>4574</v>
      </c>
      <c r="H1410" t="s">
        <v>4586</v>
      </c>
      <c r="I1410" t="s">
        <v>4599</v>
      </c>
      <c r="J1410">
        <v>1</v>
      </c>
      <c r="K1410">
        <v>251.19</v>
      </c>
      <c r="L1410">
        <v>0.15</v>
      </c>
      <c r="M1410">
        <v>11.3</v>
      </c>
      <c r="N1410" t="s">
        <v>5467</v>
      </c>
      <c r="O1410" t="s">
        <v>5474</v>
      </c>
      <c r="P1410" t="s">
        <v>5477</v>
      </c>
      <c r="Q1410" s="4">
        <v>213.51149999999998</v>
      </c>
    </row>
    <row r="1411" spans="1:17" x14ac:dyDescent="0.3">
      <c r="A1411" t="s">
        <v>1373</v>
      </c>
      <c r="B1411" t="s">
        <v>2591</v>
      </c>
      <c r="C1411" s="1">
        <v>45688</v>
      </c>
      <c r="D1411" t="s">
        <v>3159</v>
      </c>
      <c r="E1411" t="s">
        <v>4509</v>
      </c>
      <c r="F1411" t="s">
        <v>4569</v>
      </c>
      <c r="G1411" t="s">
        <v>4572</v>
      </c>
      <c r="H1411" t="s">
        <v>4586</v>
      </c>
      <c r="I1411" t="s">
        <v>4599</v>
      </c>
      <c r="J1411">
        <v>2</v>
      </c>
      <c r="K1411">
        <v>261.10000000000002</v>
      </c>
      <c r="L1411">
        <v>0</v>
      </c>
      <c r="M1411">
        <v>10.4</v>
      </c>
      <c r="N1411" t="s">
        <v>5465</v>
      </c>
      <c r="O1411" t="s">
        <v>5469</v>
      </c>
      <c r="P1411" t="s">
        <v>5477</v>
      </c>
      <c r="Q1411" s="4">
        <v>522.20000000000005</v>
      </c>
    </row>
    <row r="1412" spans="1:17" x14ac:dyDescent="0.3">
      <c r="A1412" t="s">
        <v>1374</v>
      </c>
      <c r="B1412" t="s">
        <v>2592</v>
      </c>
      <c r="C1412" s="1">
        <v>45847</v>
      </c>
      <c r="D1412" t="s">
        <v>2635</v>
      </c>
      <c r="E1412" t="s">
        <v>4510</v>
      </c>
      <c r="F1412" t="s">
        <v>4566</v>
      </c>
      <c r="G1412" t="s">
        <v>4573</v>
      </c>
      <c r="H1412" t="s">
        <v>4583</v>
      </c>
      <c r="I1412" t="s">
        <v>4604</v>
      </c>
      <c r="J1412">
        <v>2</v>
      </c>
      <c r="K1412">
        <v>23.09</v>
      </c>
      <c r="L1412">
        <v>0</v>
      </c>
      <c r="M1412">
        <v>14.58</v>
      </c>
      <c r="N1412" t="s">
        <v>5466</v>
      </c>
      <c r="O1412" t="s">
        <v>5469</v>
      </c>
      <c r="P1412" t="s">
        <v>5479</v>
      </c>
      <c r="Q1412" s="4">
        <v>46.18</v>
      </c>
    </row>
    <row r="1413" spans="1:17" x14ac:dyDescent="0.3">
      <c r="A1413" t="s">
        <v>1375</v>
      </c>
      <c r="B1413" t="s">
        <v>2593</v>
      </c>
      <c r="C1413" s="1">
        <v>45546</v>
      </c>
      <c r="D1413" t="s">
        <v>2958</v>
      </c>
      <c r="E1413" t="s">
        <v>4511</v>
      </c>
      <c r="F1413" t="s">
        <v>4566</v>
      </c>
      <c r="G1413" t="s">
        <v>4582</v>
      </c>
      <c r="H1413" t="s">
        <v>4584</v>
      </c>
      <c r="I1413" t="s">
        <v>4607</v>
      </c>
      <c r="J1413">
        <v>2</v>
      </c>
      <c r="K1413">
        <v>25.73</v>
      </c>
      <c r="L1413">
        <v>0</v>
      </c>
      <c r="M1413">
        <v>9.1199999999999992</v>
      </c>
      <c r="N1413" t="s">
        <v>5468</v>
      </c>
      <c r="O1413" t="s">
        <v>5470</v>
      </c>
      <c r="P1413" t="s">
        <v>5475</v>
      </c>
      <c r="Q1413" s="4">
        <v>51.46</v>
      </c>
    </row>
    <row r="1414" spans="1:17" x14ac:dyDescent="0.3">
      <c r="A1414" t="s">
        <v>1376</v>
      </c>
      <c r="B1414" t="s">
        <v>2594</v>
      </c>
      <c r="C1414" s="1">
        <v>45883</v>
      </c>
      <c r="D1414" t="s">
        <v>3254</v>
      </c>
      <c r="E1414" t="s">
        <v>5481</v>
      </c>
      <c r="F1414" t="s">
        <v>4549</v>
      </c>
      <c r="G1414" t="s">
        <v>4574</v>
      </c>
      <c r="H1414" t="s">
        <v>4583</v>
      </c>
      <c r="I1414" t="s">
        <v>4610</v>
      </c>
      <c r="J1414">
        <v>1</v>
      </c>
      <c r="K1414">
        <v>79.69</v>
      </c>
      <c r="L1414">
        <v>0</v>
      </c>
      <c r="M1414">
        <v>13.32</v>
      </c>
      <c r="N1414" t="s">
        <v>5465</v>
      </c>
      <c r="O1414" t="s">
        <v>5469</v>
      </c>
      <c r="P1414" t="s">
        <v>5477</v>
      </c>
      <c r="Q1414" s="4">
        <v>79.69</v>
      </c>
    </row>
    <row r="1415" spans="1:17" x14ac:dyDescent="0.3">
      <c r="A1415" t="s">
        <v>1377</v>
      </c>
      <c r="B1415" t="s">
        <v>2595</v>
      </c>
      <c r="C1415" s="1">
        <v>45808</v>
      </c>
      <c r="D1415" t="s">
        <v>2721</v>
      </c>
      <c r="E1415" t="s">
        <v>4512</v>
      </c>
      <c r="F1415" t="s">
        <v>4564</v>
      </c>
      <c r="G1415" t="s">
        <v>4578</v>
      </c>
      <c r="H1415" t="s">
        <v>4586</v>
      </c>
      <c r="I1415" t="s">
        <v>4593</v>
      </c>
      <c r="J1415">
        <v>1</v>
      </c>
      <c r="K1415">
        <v>107.3</v>
      </c>
      <c r="L1415">
        <v>0.1</v>
      </c>
      <c r="M1415">
        <v>3.64</v>
      </c>
      <c r="N1415" t="s">
        <v>5481</v>
      </c>
      <c r="O1415" t="s">
        <v>5470</v>
      </c>
      <c r="P1415" t="s">
        <v>5475</v>
      </c>
      <c r="Q1415" s="4">
        <v>96.57</v>
      </c>
    </row>
    <row r="1416" spans="1:17" x14ac:dyDescent="0.3">
      <c r="A1416" t="s">
        <v>1378</v>
      </c>
      <c r="B1416" t="s">
        <v>2596</v>
      </c>
      <c r="C1416" s="1">
        <v>45810</v>
      </c>
      <c r="D1416" t="s">
        <v>3145</v>
      </c>
      <c r="E1416" t="s">
        <v>4513</v>
      </c>
      <c r="F1416" t="s">
        <v>4569</v>
      </c>
      <c r="G1416" t="s">
        <v>4580</v>
      </c>
      <c r="H1416" t="s">
        <v>4585</v>
      </c>
      <c r="I1416" t="s">
        <v>4602</v>
      </c>
      <c r="J1416">
        <v>1</v>
      </c>
      <c r="K1416">
        <v>4.37</v>
      </c>
      <c r="L1416">
        <v>0</v>
      </c>
      <c r="M1416">
        <v>6.03</v>
      </c>
      <c r="N1416" t="s">
        <v>5462</v>
      </c>
      <c r="O1416" t="s">
        <v>5471</v>
      </c>
      <c r="P1416" t="s">
        <v>5477</v>
      </c>
      <c r="Q1416" s="4">
        <v>4.37</v>
      </c>
    </row>
    <row r="1417" spans="1:17" x14ac:dyDescent="0.3">
      <c r="A1417" t="s">
        <v>1379</v>
      </c>
      <c r="B1417" t="s">
        <v>2507</v>
      </c>
      <c r="C1417" s="1">
        <v>45903</v>
      </c>
      <c r="D1417" t="s">
        <v>3222</v>
      </c>
      <c r="E1417" t="s">
        <v>4514</v>
      </c>
      <c r="F1417" t="s">
        <v>4565</v>
      </c>
      <c r="G1417" t="s">
        <v>4579</v>
      </c>
      <c r="H1417" t="s">
        <v>4585</v>
      </c>
      <c r="I1417" t="s">
        <v>4591</v>
      </c>
      <c r="J1417">
        <v>2</v>
      </c>
      <c r="K1417">
        <v>8.15</v>
      </c>
      <c r="L1417">
        <v>0</v>
      </c>
      <c r="M1417">
        <v>13.62</v>
      </c>
      <c r="N1417" t="s">
        <v>5462</v>
      </c>
      <c r="O1417" t="s">
        <v>5469</v>
      </c>
      <c r="P1417" t="s">
        <v>5476</v>
      </c>
      <c r="Q1417" s="4">
        <v>16.3</v>
      </c>
    </row>
    <row r="1418" spans="1:17" x14ac:dyDescent="0.3">
      <c r="A1418" t="s">
        <v>1380</v>
      </c>
      <c r="B1418" t="s">
        <v>2597</v>
      </c>
      <c r="C1418" s="1">
        <v>45297</v>
      </c>
      <c r="D1418" t="s">
        <v>2999</v>
      </c>
      <c r="E1418" t="s">
        <v>4515</v>
      </c>
      <c r="F1418" t="s">
        <v>4564</v>
      </c>
      <c r="G1418" t="s">
        <v>4578</v>
      </c>
      <c r="H1418" t="s">
        <v>4584</v>
      </c>
      <c r="I1418" t="s">
        <v>4603</v>
      </c>
      <c r="J1418">
        <v>10</v>
      </c>
      <c r="K1418">
        <v>9.0299999999999994</v>
      </c>
      <c r="L1418">
        <v>0.1</v>
      </c>
      <c r="M1418">
        <v>6.18</v>
      </c>
      <c r="N1418" t="s">
        <v>5467</v>
      </c>
      <c r="O1418" t="s">
        <v>5471</v>
      </c>
      <c r="P1418" t="s">
        <v>5479</v>
      </c>
      <c r="Q1418" s="4">
        <v>81.27</v>
      </c>
    </row>
    <row r="1419" spans="1:17" x14ac:dyDescent="0.3">
      <c r="A1419" t="s">
        <v>1381</v>
      </c>
      <c r="B1419" t="s">
        <v>2598</v>
      </c>
      <c r="C1419" s="1">
        <v>45346</v>
      </c>
      <c r="D1419" t="s">
        <v>2639</v>
      </c>
      <c r="E1419" t="s">
        <v>4516</v>
      </c>
      <c r="F1419" t="s">
        <v>4565</v>
      </c>
      <c r="G1419" t="s">
        <v>4576</v>
      </c>
      <c r="H1419" t="s">
        <v>4583</v>
      </c>
      <c r="I1419" t="s">
        <v>4588</v>
      </c>
      <c r="J1419">
        <v>1</v>
      </c>
      <c r="K1419">
        <v>39.200000000000003</v>
      </c>
      <c r="L1419">
        <v>0.1</v>
      </c>
      <c r="M1419">
        <v>0</v>
      </c>
      <c r="N1419" t="s">
        <v>5465</v>
      </c>
      <c r="O1419" t="s">
        <v>5471</v>
      </c>
      <c r="P1419" t="s">
        <v>5477</v>
      </c>
      <c r="Q1419" s="4">
        <v>35.28</v>
      </c>
    </row>
    <row r="1420" spans="1:17" x14ac:dyDescent="0.3">
      <c r="A1420" t="s">
        <v>1382</v>
      </c>
      <c r="B1420" t="s">
        <v>2599</v>
      </c>
      <c r="C1420" s="1">
        <v>45561</v>
      </c>
      <c r="D1420" t="s">
        <v>2626</v>
      </c>
      <c r="E1420" t="s">
        <v>5481</v>
      </c>
      <c r="F1420" t="s">
        <v>4549</v>
      </c>
      <c r="G1420" t="s">
        <v>4573</v>
      </c>
      <c r="H1420" t="s">
        <v>4586</v>
      </c>
      <c r="I1420" t="s">
        <v>4609</v>
      </c>
      <c r="J1420">
        <v>5</v>
      </c>
      <c r="K1420">
        <v>129.72</v>
      </c>
      <c r="L1420">
        <v>0.05</v>
      </c>
      <c r="M1420">
        <v>10.119999999999999</v>
      </c>
      <c r="N1420" t="s">
        <v>5462</v>
      </c>
      <c r="O1420" t="s">
        <v>5469</v>
      </c>
      <c r="P1420" t="s">
        <v>5477</v>
      </c>
      <c r="Q1420" s="4">
        <v>616.16999999999996</v>
      </c>
    </row>
    <row r="1421" spans="1:17" x14ac:dyDescent="0.3">
      <c r="A1421" t="s">
        <v>1383</v>
      </c>
      <c r="B1421" t="s">
        <v>2600</v>
      </c>
      <c r="C1421" s="1">
        <v>45323</v>
      </c>
      <c r="D1421" t="s">
        <v>2626</v>
      </c>
      <c r="E1421" t="s">
        <v>4517</v>
      </c>
      <c r="F1421" t="s">
        <v>4569</v>
      </c>
      <c r="G1421" t="s">
        <v>4572</v>
      </c>
      <c r="H1421" t="s">
        <v>5481</v>
      </c>
      <c r="I1421" t="s">
        <v>4607</v>
      </c>
      <c r="J1421">
        <v>2</v>
      </c>
      <c r="K1421">
        <v>24.43</v>
      </c>
      <c r="L1421">
        <v>0.05</v>
      </c>
      <c r="M1421">
        <v>9.48</v>
      </c>
      <c r="N1421" t="s">
        <v>5481</v>
      </c>
      <c r="O1421" t="s">
        <v>5474</v>
      </c>
      <c r="P1421" t="s">
        <v>5477</v>
      </c>
      <c r="Q1421" s="4">
        <v>46.416999999999994</v>
      </c>
    </row>
    <row r="1422" spans="1:17" x14ac:dyDescent="0.3">
      <c r="A1422" t="s">
        <v>1384</v>
      </c>
      <c r="B1422" t="s">
        <v>1588</v>
      </c>
      <c r="C1422" s="1">
        <v>45751</v>
      </c>
      <c r="D1422" t="s">
        <v>2855</v>
      </c>
      <c r="E1422" t="s">
        <v>4518</v>
      </c>
      <c r="F1422" t="s">
        <v>4566</v>
      </c>
      <c r="G1422" t="s">
        <v>4573</v>
      </c>
      <c r="H1422" t="s">
        <v>4583</v>
      </c>
      <c r="I1422" t="s">
        <v>4588</v>
      </c>
      <c r="J1422">
        <v>1</v>
      </c>
      <c r="K1422">
        <v>38.21</v>
      </c>
      <c r="L1422">
        <v>0</v>
      </c>
      <c r="M1422">
        <v>2.56</v>
      </c>
      <c r="N1422" t="s">
        <v>5468</v>
      </c>
      <c r="O1422" t="s">
        <v>5470</v>
      </c>
      <c r="P1422" t="s">
        <v>5477</v>
      </c>
      <c r="Q1422" s="4">
        <v>38.21</v>
      </c>
    </row>
    <row r="1423" spans="1:17" x14ac:dyDescent="0.3">
      <c r="A1423" t="s">
        <v>1385</v>
      </c>
      <c r="B1423" t="s">
        <v>2601</v>
      </c>
      <c r="C1423" s="1">
        <v>45613</v>
      </c>
      <c r="D1423" t="s">
        <v>3105</v>
      </c>
      <c r="E1423" t="s">
        <v>4519</v>
      </c>
      <c r="F1423" t="s">
        <v>4566</v>
      </c>
      <c r="G1423" t="s">
        <v>4577</v>
      </c>
      <c r="H1423" t="s">
        <v>4587</v>
      </c>
      <c r="I1423" t="s">
        <v>4596</v>
      </c>
      <c r="J1423">
        <v>5</v>
      </c>
      <c r="K1423">
        <v>15.3</v>
      </c>
      <c r="L1423">
        <v>0</v>
      </c>
      <c r="N1423" t="s">
        <v>5465</v>
      </c>
      <c r="O1423" t="s">
        <v>5471</v>
      </c>
      <c r="P1423" t="s">
        <v>5479</v>
      </c>
      <c r="Q1423" s="4">
        <v>76.5</v>
      </c>
    </row>
    <row r="1424" spans="1:17" x14ac:dyDescent="0.3">
      <c r="A1424" t="s">
        <v>1386</v>
      </c>
      <c r="B1424" t="s">
        <v>2602</v>
      </c>
      <c r="C1424" s="1">
        <v>45792</v>
      </c>
      <c r="D1424" t="s">
        <v>2803</v>
      </c>
      <c r="E1424" t="s">
        <v>4520</v>
      </c>
      <c r="F1424" t="s">
        <v>4564</v>
      </c>
      <c r="G1424" t="s">
        <v>4578</v>
      </c>
      <c r="H1424" t="s">
        <v>4587</v>
      </c>
      <c r="I1424" t="s">
        <v>4606</v>
      </c>
      <c r="J1424">
        <v>2</v>
      </c>
      <c r="K1424">
        <v>30.77</v>
      </c>
      <c r="L1424">
        <v>0</v>
      </c>
      <c r="M1424">
        <v>6.94</v>
      </c>
      <c r="N1424" t="s">
        <v>5467</v>
      </c>
      <c r="O1424" t="s">
        <v>5471</v>
      </c>
      <c r="P1424" t="s">
        <v>5476</v>
      </c>
      <c r="Q1424" s="4">
        <v>61.54</v>
      </c>
    </row>
    <row r="1425" spans="1:17" x14ac:dyDescent="0.3">
      <c r="A1425" t="s">
        <v>1387</v>
      </c>
      <c r="B1425" t="s">
        <v>2603</v>
      </c>
      <c r="C1425" s="1">
        <v>45766</v>
      </c>
      <c r="D1425" t="s">
        <v>3178</v>
      </c>
      <c r="E1425" t="s">
        <v>4521</v>
      </c>
      <c r="F1425" t="s">
        <v>4564</v>
      </c>
      <c r="G1425" t="s">
        <v>4573</v>
      </c>
      <c r="H1425" t="s">
        <v>4587</v>
      </c>
      <c r="I1425" t="s">
        <v>4594</v>
      </c>
      <c r="J1425">
        <v>3</v>
      </c>
      <c r="K1425">
        <v>57.5</v>
      </c>
      <c r="L1425">
        <v>0</v>
      </c>
      <c r="M1425">
        <v>12.13</v>
      </c>
      <c r="N1425" t="s">
        <v>5466</v>
      </c>
      <c r="O1425" t="s">
        <v>5474</v>
      </c>
      <c r="P1425" t="s">
        <v>5475</v>
      </c>
      <c r="Q1425" s="4">
        <v>172.5</v>
      </c>
    </row>
    <row r="1426" spans="1:17" x14ac:dyDescent="0.3">
      <c r="A1426" t="s">
        <v>1388</v>
      </c>
      <c r="B1426" t="s">
        <v>1729</v>
      </c>
      <c r="C1426" s="1">
        <v>45588</v>
      </c>
      <c r="D1426" t="s">
        <v>2724</v>
      </c>
      <c r="E1426" t="s">
        <v>4522</v>
      </c>
      <c r="F1426" t="s">
        <v>4566</v>
      </c>
      <c r="G1426" t="s">
        <v>4577</v>
      </c>
      <c r="H1426" t="s">
        <v>4586</v>
      </c>
      <c r="I1426" t="s">
        <v>4609</v>
      </c>
      <c r="J1426">
        <v>3</v>
      </c>
      <c r="K1426">
        <v>123.24</v>
      </c>
      <c r="L1426">
        <v>0.05</v>
      </c>
      <c r="M1426">
        <v>0.24</v>
      </c>
      <c r="N1426" t="s">
        <v>5481</v>
      </c>
      <c r="O1426" t="s">
        <v>5472</v>
      </c>
      <c r="P1426" t="s">
        <v>5477</v>
      </c>
      <c r="Q1426" s="4">
        <v>351.23399999999998</v>
      </c>
    </row>
    <row r="1427" spans="1:17" x14ac:dyDescent="0.3">
      <c r="A1427" t="s">
        <v>1389</v>
      </c>
      <c r="B1427" t="s">
        <v>1807</v>
      </c>
      <c r="C1427" s="1">
        <v>45379</v>
      </c>
      <c r="D1427" t="s">
        <v>2817</v>
      </c>
      <c r="E1427" t="s">
        <v>4523</v>
      </c>
      <c r="F1427" t="s">
        <v>4549</v>
      </c>
      <c r="G1427" t="s">
        <v>4574</v>
      </c>
      <c r="H1427" t="s">
        <v>4587</v>
      </c>
      <c r="I1427" t="s">
        <v>4600</v>
      </c>
      <c r="J1427">
        <v>10</v>
      </c>
      <c r="K1427">
        <v>13.01</v>
      </c>
      <c r="L1427">
        <v>0.15</v>
      </c>
      <c r="M1427">
        <v>4.87</v>
      </c>
      <c r="N1427" t="s">
        <v>5466</v>
      </c>
      <c r="O1427" t="s">
        <v>5472</v>
      </c>
      <c r="P1427" t="s">
        <v>5477</v>
      </c>
      <c r="Q1427" s="4">
        <v>110.58499999999999</v>
      </c>
    </row>
    <row r="1428" spans="1:17" x14ac:dyDescent="0.3">
      <c r="A1428" t="s">
        <v>1390</v>
      </c>
      <c r="B1428" t="s">
        <v>2604</v>
      </c>
      <c r="C1428" s="1">
        <v>45602</v>
      </c>
      <c r="D1428" t="s">
        <v>2916</v>
      </c>
      <c r="E1428" t="s">
        <v>4524</v>
      </c>
      <c r="F1428" t="s">
        <v>4564</v>
      </c>
      <c r="G1428" t="s">
        <v>4578</v>
      </c>
      <c r="H1428" t="s">
        <v>4585</v>
      </c>
      <c r="I1428" t="s">
        <v>4591</v>
      </c>
      <c r="J1428">
        <v>1</v>
      </c>
      <c r="K1428">
        <v>8.09</v>
      </c>
      <c r="L1428">
        <v>0</v>
      </c>
      <c r="M1428">
        <v>14.07</v>
      </c>
      <c r="N1428" t="s">
        <v>5468</v>
      </c>
      <c r="O1428" t="s">
        <v>5473</v>
      </c>
      <c r="P1428" t="s">
        <v>5479</v>
      </c>
      <c r="Q1428" s="4">
        <v>8.09</v>
      </c>
    </row>
    <row r="1429" spans="1:17" x14ac:dyDescent="0.3">
      <c r="A1429" t="s">
        <v>1391</v>
      </c>
      <c r="B1429" t="s">
        <v>2605</v>
      </c>
      <c r="C1429" s="1">
        <v>45975</v>
      </c>
      <c r="D1429" t="s">
        <v>3040</v>
      </c>
      <c r="E1429" t="s">
        <v>4525</v>
      </c>
      <c r="F1429" t="s">
        <v>4565</v>
      </c>
      <c r="G1429" t="s">
        <v>4576</v>
      </c>
      <c r="H1429" t="s">
        <v>4586</v>
      </c>
      <c r="I1429" t="s">
        <v>4599</v>
      </c>
      <c r="J1429">
        <v>1</v>
      </c>
      <c r="K1429">
        <v>260.99</v>
      </c>
      <c r="L1429">
        <v>0</v>
      </c>
      <c r="M1429">
        <v>13.41</v>
      </c>
      <c r="N1429" t="s">
        <v>5462</v>
      </c>
      <c r="O1429" t="s">
        <v>5481</v>
      </c>
      <c r="P1429" t="s">
        <v>5476</v>
      </c>
      <c r="Q1429" s="4">
        <v>260.99</v>
      </c>
    </row>
    <row r="1430" spans="1:17" x14ac:dyDescent="0.3">
      <c r="A1430" t="s">
        <v>1392</v>
      </c>
      <c r="B1430" t="s">
        <v>2606</v>
      </c>
      <c r="C1430" s="1">
        <v>45752</v>
      </c>
      <c r="D1430" t="s">
        <v>2930</v>
      </c>
      <c r="E1430" t="s">
        <v>4526</v>
      </c>
      <c r="F1430" t="s">
        <v>4549</v>
      </c>
      <c r="G1430" t="s">
        <v>4573</v>
      </c>
      <c r="H1430" t="s">
        <v>5481</v>
      </c>
      <c r="I1430" t="s">
        <v>4593</v>
      </c>
      <c r="J1430">
        <v>2</v>
      </c>
      <c r="K1430">
        <v>112.37</v>
      </c>
      <c r="L1430">
        <v>0.05</v>
      </c>
      <c r="M1430">
        <v>2.14</v>
      </c>
      <c r="N1430" t="s">
        <v>5467</v>
      </c>
      <c r="O1430" t="s">
        <v>5472</v>
      </c>
      <c r="P1430" t="s">
        <v>5475</v>
      </c>
      <c r="Q1430" s="4">
        <v>213.50299999999999</v>
      </c>
    </row>
    <row r="1431" spans="1:17" x14ac:dyDescent="0.3">
      <c r="A1431" t="s">
        <v>1393</v>
      </c>
      <c r="B1431" t="s">
        <v>1778</v>
      </c>
      <c r="C1431" s="1">
        <v>45850</v>
      </c>
      <c r="D1431" t="s">
        <v>2814</v>
      </c>
      <c r="E1431" t="s">
        <v>5481</v>
      </c>
      <c r="F1431" t="s">
        <v>4569</v>
      </c>
      <c r="G1431" t="s">
        <v>4581</v>
      </c>
      <c r="H1431" t="s">
        <v>4585</v>
      </c>
      <c r="I1431" t="s">
        <v>4598</v>
      </c>
      <c r="J1431">
        <v>2</v>
      </c>
      <c r="K1431">
        <v>3.12</v>
      </c>
      <c r="L1431">
        <v>0.1</v>
      </c>
      <c r="M1431">
        <v>0</v>
      </c>
      <c r="N1431" t="s">
        <v>5462</v>
      </c>
      <c r="O1431" t="s">
        <v>5471</v>
      </c>
      <c r="P1431" t="s">
        <v>5477</v>
      </c>
      <c r="Q1431" s="4">
        <v>5.6160000000000005</v>
      </c>
    </row>
    <row r="1432" spans="1:17" x14ac:dyDescent="0.3">
      <c r="A1432" t="s">
        <v>1394</v>
      </c>
      <c r="B1432" t="s">
        <v>2607</v>
      </c>
      <c r="C1432" s="1">
        <v>46007</v>
      </c>
      <c r="D1432" t="s">
        <v>3234</v>
      </c>
      <c r="E1432" t="s">
        <v>4527</v>
      </c>
      <c r="F1432" t="s">
        <v>4566</v>
      </c>
      <c r="G1432" t="s">
        <v>4577</v>
      </c>
      <c r="H1432" t="s">
        <v>4585</v>
      </c>
      <c r="I1432" t="s">
        <v>4590</v>
      </c>
      <c r="J1432">
        <v>4</v>
      </c>
      <c r="K1432">
        <v>13.42</v>
      </c>
      <c r="L1432">
        <v>0</v>
      </c>
      <c r="M1432">
        <v>9.25</v>
      </c>
      <c r="N1432" t="s">
        <v>5466</v>
      </c>
      <c r="O1432" t="s">
        <v>5481</v>
      </c>
      <c r="P1432" t="s">
        <v>5479</v>
      </c>
      <c r="Q1432" s="4">
        <v>53.68</v>
      </c>
    </row>
    <row r="1433" spans="1:17" x14ac:dyDescent="0.3">
      <c r="A1433" t="s">
        <v>1395</v>
      </c>
      <c r="B1433" t="s">
        <v>2608</v>
      </c>
      <c r="C1433" s="1">
        <v>45349</v>
      </c>
      <c r="D1433" t="s">
        <v>2668</v>
      </c>
      <c r="E1433" t="s">
        <v>4528</v>
      </c>
      <c r="F1433" t="s">
        <v>4566</v>
      </c>
      <c r="G1433" t="s">
        <v>4573</v>
      </c>
      <c r="H1433" t="s">
        <v>4586</v>
      </c>
      <c r="I1433" t="s">
        <v>4597</v>
      </c>
      <c r="J1433">
        <v>1</v>
      </c>
      <c r="K1433">
        <v>85.36</v>
      </c>
      <c r="L1433">
        <v>0.05</v>
      </c>
      <c r="M1433">
        <v>7.45</v>
      </c>
      <c r="N1433" t="s">
        <v>5463</v>
      </c>
      <c r="O1433" t="s">
        <v>5469</v>
      </c>
      <c r="P1433" t="s">
        <v>5477</v>
      </c>
      <c r="Q1433" s="4">
        <v>81.091999999999999</v>
      </c>
    </row>
    <row r="1434" spans="1:17" x14ac:dyDescent="0.3">
      <c r="A1434" t="s">
        <v>1396</v>
      </c>
      <c r="B1434" t="s">
        <v>2609</v>
      </c>
      <c r="C1434" s="1">
        <v>45445</v>
      </c>
      <c r="D1434" t="s">
        <v>2938</v>
      </c>
      <c r="E1434" t="s">
        <v>4529</v>
      </c>
      <c r="F1434" t="s">
        <v>4564</v>
      </c>
      <c r="G1434" t="s">
        <v>4578</v>
      </c>
      <c r="H1434" t="s">
        <v>4586</v>
      </c>
      <c r="I1434" t="s">
        <v>4609</v>
      </c>
      <c r="J1434">
        <v>10</v>
      </c>
      <c r="K1434">
        <v>129.31</v>
      </c>
      <c r="L1434">
        <v>0</v>
      </c>
      <c r="M1434">
        <v>11.54</v>
      </c>
      <c r="N1434" t="s">
        <v>5467</v>
      </c>
      <c r="O1434" t="s">
        <v>5473</v>
      </c>
      <c r="P1434" t="s">
        <v>5479</v>
      </c>
      <c r="Q1434" s="4">
        <v>1293.0999999999999</v>
      </c>
    </row>
    <row r="1435" spans="1:17" x14ac:dyDescent="0.3">
      <c r="A1435" t="s">
        <v>1397</v>
      </c>
      <c r="B1435" t="s">
        <v>2610</v>
      </c>
      <c r="C1435" s="1">
        <v>45565</v>
      </c>
      <c r="D1435" t="s">
        <v>3010</v>
      </c>
      <c r="E1435" t="s">
        <v>4530</v>
      </c>
      <c r="F1435" t="s">
        <v>4549</v>
      </c>
      <c r="G1435" t="s">
        <v>4574</v>
      </c>
      <c r="H1435" t="s">
        <v>4585</v>
      </c>
      <c r="I1435" t="s">
        <v>4590</v>
      </c>
      <c r="J1435">
        <v>10</v>
      </c>
      <c r="K1435">
        <v>14.24</v>
      </c>
      <c r="L1435">
        <v>0</v>
      </c>
      <c r="M1435">
        <v>10.7</v>
      </c>
      <c r="N1435" t="s">
        <v>5462</v>
      </c>
      <c r="O1435" t="s">
        <v>5481</v>
      </c>
      <c r="P1435" t="s">
        <v>5477</v>
      </c>
      <c r="Q1435" s="4">
        <v>142.4</v>
      </c>
    </row>
    <row r="1436" spans="1:17" x14ac:dyDescent="0.3">
      <c r="A1436" t="s">
        <v>1398</v>
      </c>
      <c r="B1436" t="s">
        <v>2611</v>
      </c>
      <c r="C1436" s="1">
        <v>46007</v>
      </c>
      <c r="D1436" t="s">
        <v>2942</v>
      </c>
      <c r="E1436" t="s">
        <v>4531</v>
      </c>
      <c r="F1436" t="s">
        <v>4569</v>
      </c>
      <c r="G1436" t="s">
        <v>4581</v>
      </c>
      <c r="H1436" t="s">
        <v>4587</v>
      </c>
      <c r="I1436" t="s">
        <v>4600</v>
      </c>
      <c r="J1436">
        <v>2</v>
      </c>
      <c r="K1436">
        <v>12.71</v>
      </c>
      <c r="L1436">
        <v>0.15</v>
      </c>
      <c r="M1436">
        <v>8.61</v>
      </c>
      <c r="N1436" t="s">
        <v>5462</v>
      </c>
      <c r="O1436" t="s">
        <v>5481</v>
      </c>
      <c r="P1436" t="s">
        <v>5477</v>
      </c>
      <c r="Q1436" s="4">
        <v>21.606999999999999</v>
      </c>
    </row>
    <row r="1437" spans="1:17" x14ac:dyDescent="0.3">
      <c r="A1437" t="s">
        <v>1399</v>
      </c>
      <c r="B1437" t="s">
        <v>2612</v>
      </c>
      <c r="C1437" s="1">
        <v>45671</v>
      </c>
      <c r="D1437" t="s">
        <v>2946</v>
      </c>
      <c r="E1437" t="s">
        <v>4532</v>
      </c>
      <c r="F1437" t="s">
        <v>4549</v>
      </c>
      <c r="G1437" t="s">
        <v>5481</v>
      </c>
      <c r="H1437" t="s">
        <v>4583</v>
      </c>
      <c r="I1437" t="s">
        <v>4604</v>
      </c>
      <c r="J1437">
        <v>1</v>
      </c>
      <c r="K1437">
        <v>22.11</v>
      </c>
      <c r="L1437">
        <v>0.1</v>
      </c>
      <c r="M1437">
        <v>0</v>
      </c>
      <c r="N1437" t="s">
        <v>5466</v>
      </c>
      <c r="O1437" t="s">
        <v>5481</v>
      </c>
      <c r="P1437" t="s">
        <v>5479</v>
      </c>
      <c r="Q1437" s="4">
        <v>19.899000000000001</v>
      </c>
    </row>
    <row r="1438" spans="1:17" x14ac:dyDescent="0.3">
      <c r="A1438" t="s">
        <v>1400</v>
      </c>
      <c r="B1438" t="s">
        <v>2566</v>
      </c>
      <c r="C1438" s="1">
        <v>45717</v>
      </c>
      <c r="D1438" t="s">
        <v>2857</v>
      </c>
      <c r="E1438" t="s">
        <v>4533</v>
      </c>
      <c r="F1438" t="s">
        <v>4565</v>
      </c>
      <c r="G1438" t="s">
        <v>4576</v>
      </c>
      <c r="H1438" t="s">
        <v>4587</v>
      </c>
      <c r="I1438" t="s">
        <v>4594</v>
      </c>
      <c r="J1438">
        <v>1</v>
      </c>
      <c r="K1438">
        <v>59.77</v>
      </c>
      <c r="L1438">
        <v>0.1</v>
      </c>
      <c r="M1438">
        <v>11</v>
      </c>
      <c r="N1438" t="s">
        <v>5481</v>
      </c>
      <c r="O1438" t="s">
        <v>5473</v>
      </c>
      <c r="P1438" t="s">
        <v>5477</v>
      </c>
      <c r="Q1438" s="4">
        <v>53.793000000000006</v>
      </c>
    </row>
    <row r="1439" spans="1:17" x14ac:dyDescent="0.3">
      <c r="A1439" t="s">
        <v>1401</v>
      </c>
      <c r="B1439" t="s">
        <v>2613</v>
      </c>
      <c r="C1439" s="1">
        <v>45998</v>
      </c>
      <c r="D1439" t="s">
        <v>2853</v>
      </c>
      <c r="E1439" t="s">
        <v>4534</v>
      </c>
      <c r="F1439" t="s">
        <v>4549</v>
      </c>
      <c r="G1439" t="s">
        <v>4574</v>
      </c>
      <c r="H1439" t="s">
        <v>4585</v>
      </c>
      <c r="I1439" t="s">
        <v>4592</v>
      </c>
      <c r="J1439">
        <v>1</v>
      </c>
      <c r="K1439">
        <v>6.7</v>
      </c>
      <c r="L1439">
        <v>0</v>
      </c>
      <c r="M1439">
        <v>3.19</v>
      </c>
      <c r="N1439" t="s">
        <v>5464</v>
      </c>
      <c r="O1439" t="s">
        <v>5474</v>
      </c>
      <c r="P1439" t="s">
        <v>5476</v>
      </c>
      <c r="Q1439" s="4">
        <v>6.7</v>
      </c>
    </row>
    <row r="1440" spans="1:17" x14ac:dyDescent="0.3">
      <c r="A1440" t="s">
        <v>1402</v>
      </c>
      <c r="B1440" t="s">
        <v>2614</v>
      </c>
      <c r="C1440" s="1">
        <v>45328</v>
      </c>
      <c r="D1440" t="s">
        <v>3120</v>
      </c>
      <c r="E1440" t="s">
        <v>4535</v>
      </c>
      <c r="F1440" t="s">
        <v>4569</v>
      </c>
      <c r="G1440" t="s">
        <v>4581</v>
      </c>
      <c r="H1440" t="s">
        <v>4584</v>
      </c>
      <c r="I1440" t="s">
        <v>4601</v>
      </c>
      <c r="J1440">
        <v>1</v>
      </c>
      <c r="K1440">
        <v>187.04</v>
      </c>
      <c r="L1440">
        <v>0</v>
      </c>
      <c r="M1440">
        <v>0.92</v>
      </c>
      <c r="N1440" t="s">
        <v>5467</v>
      </c>
      <c r="O1440" t="s">
        <v>5472</v>
      </c>
      <c r="P1440" t="s">
        <v>5477</v>
      </c>
      <c r="Q1440" s="4">
        <v>187.04</v>
      </c>
    </row>
    <row r="1441" spans="1:17" x14ac:dyDescent="0.3">
      <c r="A1441" t="s">
        <v>1403</v>
      </c>
      <c r="B1441" t="s">
        <v>1974</v>
      </c>
      <c r="C1441" s="1">
        <v>45445</v>
      </c>
      <c r="D1441" t="s">
        <v>3012</v>
      </c>
      <c r="E1441" t="s">
        <v>4536</v>
      </c>
      <c r="F1441" t="s">
        <v>4564</v>
      </c>
      <c r="G1441" t="s">
        <v>4573</v>
      </c>
      <c r="H1441" t="s">
        <v>4585</v>
      </c>
      <c r="I1441" t="s">
        <v>4592</v>
      </c>
      <c r="J1441">
        <v>1</v>
      </c>
      <c r="K1441">
        <v>6.34</v>
      </c>
      <c r="L1441">
        <v>0</v>
      </c>
      <c r="M1441">
        <v>8.57</v>
      </c>
      <c r="N1441" t="s">
        <v>5468</v>
      </c>
      <c r="O1441" t="s">
        <v>5470</v>
      </c>
      <c r="P1441" t="s">
        <v>5476</v>
      </c>
      <c r="Q1441" s="4">
        <v>6.34</v>
      </c>
    </row>
    <row r="1442" spans="1:17" x14ac:dyDescent="0.3">
      <c r="A1442" t="s">
        <v>1404</v>
      </c>
      <c r="B1442" t="s">
        <v>2083</v>
      </c>
      <c r="C1442" s="1">
        <v>45551</v>
      </c>
      <c r="D1442" t="s">
        <v>2942</v>
      </c>
      <c r="E1442" t="s">
        <v>4537</v>
      </c>
      <c r="F1442" t="s">
        <v>4565</v>
      </c>
      <c r="G1442" t="s">
        <v>4579</v>
      </c>
      <c r="H1442" t="s">
        <v>4585</v>
      </c>
      <c r="I1442" t="s">
        <v>4590</v>
      </c>
      <c r="J1442">
        <v>4</v>
      </c>
      <c r="K1442">
        <v>14.5</v>
      </c>
      <c r="L1442">
        <v>0.1</v>
      </c>
      <c r="M1442">
        <v>12.22</v>
      </c>
      <c r="N1442" t="s">
        <v>5466</v>
      </c>
      <c r="O1442" t="s">
        <v>5471</v>
      </c>
      <c r="P1442" t="s">
        <v>5477</v>
      </c>
      <c r="Q1442" s="4">
        <v>52.2</v>
      </c>
    </row>
    <row r="1443" spans="1:17" x14ac:dyDescent="0.3">
      <c r="A1443" t="s">
        <v>1405</v>
      </c>
      <c r="B1443" t="s">
        <v>2615</v>
      </c>
      <c r="C1443" s="1">
        <v>45870</v>
      </c>
      <c r="D1443" t="s">
        <v>2634</v>
      </c>
      <c r="E1443" t="s">
        <v>4538</v>
      </c>
      <c r="F1443" t="s">
        <v>4564</v>
      </c>
      <c r="G1443" t="s">
        <v>4578</v>
      </c>
      <c r="H1443" t="s">
        <v>4587</v>
      </c>
      <c r="I1443" t="s">
        <v>4600</v>
      </c>
      <c r="J1443">
        <v>2</v>
      </c>
      <c r="K1443">
        <v>13.48</v>
      </c>
      <c r="L1443">
        <v>0.05</v>
      </c>
      <c r="M1443">
        <v>2.82</v>
      </c>
      <c r="N1443" t="s">
        <v>5463</v>
      </c>
      <c r="O1443" t="s">
        <v>5474</v>
      </c>
      <c r="P1443" t="s">
        <v>5479</v>
      </c>
      <c r="Q1443" s="4">
        <v>25.611999999999998</v>
      </c>
    </row>
    <row r="1444" spans="1:17" x14ac:dyDescent="0.3">
      <c r="A1444" t="s">
        <v>1406</v>
      </c>
      <c r="B1444" t="s">
        <v>2616</v>
      </c>
      <c r="C1444" s="1">
        <v>45588</v>
      </c>
      <c r="D1444" t="s">
        <v>3205</v>
      </c>
      <c r="E1444" t="s">
        <v>4539</v>
      </c>
      <c r="F1444" t="s">
        <v>4549</v>
      </c>
      <c r="G1444" t="s">
        <v>4573</v>
      </c>
      <c r="H1444" t="s">
        <v>4585</v>
      </c>
      <c r="I1444" t="s">
        <v>4598</v>
      </c>
      <c r="J1444">
        <v>2</v>
      </c>
      <c r="K1444">
        <v>3.11</v>
      </c>
      <c r="L1444">
        <v>0</v>
      </c>
      <c r="M1444">
        <v>0</v>
      </c>
      <c r="N1444" t="s">
        <v>5481</v>
      </c>
      <c r="O1444" t="s">
        <v>5472</v>
      </c>
      <c r="P1444" t="s">
        <v>5479</v>
      </c>
      <c r="Q1444" s="4">
        <v>6.22</v>
      </c>
    </row>
    <row r="1445" spans="1:17" x14ac:dyDescent="0.3">
      <c r="A1445" t="s">
        <v>1407</v>
      </c>
      <c r="B1445" t="s">
        <v>2617</v>
      </c>
      <c r="C1445" s="1">
        <v>45487</v>
      </c>
      <c r="D1445" t="s">
        <v>3129</v>
      </c>
      <c r="E1445" t="s">
        <v>4540</v>
      </c>
      <c r="F1445" t="s">
        <v>4569</v>
      </c>
      <c r="G1445" t="s">
        <v>4580</v>
      </c>
      <c r="H1445" t="s">
        <v>4585</v>
      </c>
      <c r="I1445" t="s">
        <v>4592</v>
      </c>
      <c r="J1445">
        <v>2</v>
      </c>
      <c r="K1445">
        <v>6.3</v>
      </c>
      <c r="L1445">
        <v>0</v>
      </c>
      <c r="M1445">
        <v>2.2200000000000002</v>
      </c>
      <c r="N1445" t="s">
        <v>5468</v>
      </c>
      <c r="O1445" t="s">
        <v>5469</v>
      </c>
      <c r="P1445" t="s">
        <v>5477</v>
      </c>
      <c r="Q1445" s="4">
        <v>12.6</v>
      </c>
    </row>
    <row r="1446" spans="1:17" x14ac:dyDescent="0.3">
      <c r="A1446" t="s">
        <v>440</v>
      </c>
      <c r="B1446" t="s">
        <v>1823</v>
      </c>
      <c r="C1446" s="1">
        <v>45727</v>
      </c>
      <c r="D1446" t="s">
        <v>3187</v>
      </c>
      <c r="E1446" t="s">
        <v>3658</v>
      </c>
      <c r="F1446" t="s">
        <v>4549</v>
      </c>
      <c r="G1446" t="s">
        <v>4574</v>
      </c>
      <c r="H1446" t="s">
        <v>4585</v>
      </c>
      <c r="I1446" t="s">
        <v>4592</v>
      </c>
      <c r="J1446">
        <v>2</v>
      </c>
      <c r="K1446">
        <v>6.36</v>
      </c>
      <c r="L1446">
        <v>0.1</v>
      </c>
      <c r="M1446">
        <v>4.0199999999999996</v>
      </c>
      <c r="N1446" t="s">
        <v>5463</v>
      </c>
      <c r="O1446" t="s">
        <v>5472</v>
      </c>
      <c r="P1446" t="s">
        <v>5477</v>
      </c>
      <c r="Q1446" s="4">
        <v>11.448</v>
      </c>
    </row>
    <row r="1447" spans="1:17" x14ac:dyDescent="0.3">
      <c r="A1447" t="s">
        <v>221</v>
      </c>
      <c r="B1447" t="s">
        <v>1618</v>
      </c>
      <c r="C1447" s="1">
        <v>45565</v>
      </c>
      <c r="D1447" t="s">
        <v>2798</v>
      </c>
      <c r="E1447" t="s">
        <v>3453</v>
      </c>
      <c r="F1447" t="s">
        <v>4565</v>
      </c>
      <c r="G1447" t="s">
        <v>4576</v>
      </c>
      <c r="H1447" t="s">
        <v>4586</v>
      </c>
      <c r="I1447" t="s">
        <v>4609</v>
      </c>
      <c r="J1447">
        <v>4</v>
      </c>
      <c r="K1447">
        <v>129.03</v>
      </c>
      <c r="L1447">
        <v>0</v>
      </c>
      <c r="M1447">
        <v>6.09</v>
      </c>
      <c r="N1447" t="s">
        <v>5463</v>
      </c>
      <c r="O1447" t="s">
        <v>5471</v>
      </c>
      <c r="P1447" t="s">
        <v>5477</v>
      </c>
      <c r="Q1447" s="4">
        <v>516.12</v>
      </c>
    </row>
    <row r="1448" spans="1:17" x14ac:dyDescent="0.3">
      <c r="A1448" t="s">
        <v>1408</v>
      </c>
      <c r="B1448" t="s">
        <v>2618</v>
      </c>
      <c r="C1448" s="1">
        <v>45435</v>
      </c>
      <c r="D1448" t="s">
        <v>3260</v>
      </c>
      <c r="E1448" t="s">
        <v>4541</v>
      </c>
      <c r="F1448" t="s">
        <v>4565</v>
      </c>
      <c r="G1448" t="s">
        <v>4575</v>
      </c>
      <c r="H1448" t="s">
        <v>4586</v>
      </c>
      <c r="I1448" t="s">
        <v>4599</v>
      </c>
      <c r="J1448">
        <v>4</v>
      </c>
      <c r="K1448">
        <v>252.32</v>
      </c>
      <c r="L1448">
        <v>0</v>
      </c>
      <c r="M1448">
        <v>7.8</v>
      </c>
      <c r="N1448" t="s">
        <v>5465</v>
      </c>
      <c r="O1448" t="s">
        <v>5481</v>
      </c>
      <c r="P1448" t="s">
        <v>5479</v>
      </c>
      <c r="Q1448" s="4">
        <v>1009.28</v>
      </c>
    </row>
    <row r="1449" spans="1:17" x14ac:dyDescent="0.3">
      <c r="A1449" t="s">
        <v>1409</v>
      </c>
      <c r="B1449" t="s">
        <v>2619</v>
      </c>
      <c r="C1449" s="1">
        <v>45979</v>
      </c>
      <c r="D1449" t="s">
        <v>2768</v>
      </c>
      <c r="E1449" t="s">
        <v>4542</v>
      </c>
      <c r="F1449" t="s">
        <v>4549</v>
      </c>
      <c r="G1449" t="s">
        <v>4573</v>
      </c>
      <c r="H1449" t="s">
        <v>4583</v>
      </c>
      <c r="I1449" t="s">
        <v>4604</v>
      </c>
      <c r="J1449">
        <v>1</v>
      </c>
      <c r="K1449">
        <v>21.68</v>
      </c>
      <c r="L1449">
        <v>0.1</v>
      </c>
      <c r="M1449">
        <v>0</v>
      </c>
      <c r="N1449" t="s">
        <v>5466</v>
      </c>
      <c r="O1449" t="s">
        <v>5472</v>
      </c>
      <c r="P1449" t="s">
        <v>5477</v>
      </c>
      <c r="Q1449" s="4">
        <v>19.512</v>
      </c>
    </row>
    <row r="1450" spans="1:17" x14ac:dyDescent="0.3">
      <c r="A1450" t="s">
        <v>1269</v>
      </c>
      <c r="B1450" t="s">
        <v>2431</v>
      </c>
      <c r="C1450" s="1">
        <v>45879</v>
      </c>
      <c r="D1450" t="s">
        <v>5499</v>
      </c>
      <c r="E1450" t="s">
        <v>4415</v>
      </c>
      <c r="F1450" t="s">
        <v>4569</v>
      </c>
      <c r="G1450" t="s">
        <v>4581</v>
      </c>
      <c r="H1450" t="s">
        <v>4586</v>
      </c>
      <c r="I1450" t="s">
        <v>4599</v>
      </c>
      <c r="J1450">
        <v>10</v>
      </c>
      <c r="K1450">
        <v>241.5</v>
      </c>
      <c r="L1450">
        <v>0</v>
      </c>
      <c r="M1450">
        <v>0.15</v>
      </c>
      <c r="N1450" t="s">
        <v>5467</v>
      </c>
      <c r="O1450" t="s">
        <v>5474</v>
      </c>
      <c r="P1450" t="s">
        <v>5477</v>
      </c>
      <c r="Q1450" s="4">
        <v>2415</v>
      </c>
    </row>
    <row r="1451" spans="1:17" x14ac:dyDescent="0.3">
      <c r="A1451" t="s">
        <v>1410</v>
      </c>
      <c r="B1451" t="s">
        <v>1578</v>
      </c>
      <c r="C1451" s="1">
        <v>45532</v>
      </c>
      <c r="D1451" t="s">
        <v>2861</v>
      </c>
      <c r="E1451" t="s">
        <v>4543</v>
      </c>
      <c r="F1451" t="s">
        <v>4564</v>
      </c>
      <c r="G1451" t="s">
        <v>4578</v>
      </c>
      <c r="H1451" t="s">
        <v>5481</v>
      </c>
      <c r="I1451" t="s">
        <v>4607</v>
      </c>
      <c r="J1451">
        <v>3</v>
      </c>
      <c r="K1451">
        <v>26.08</v>
      </c>
      <c r="L1451">
        <v>0.15</v>
      </c>
      <c r="M1451">
        <v>3.1</v>
      </c>
      <c r="N1451" t="s">
        <v>5463</v>
      </c>
      <c r="O1451" t="s">
        <v>5481</v>
      </c>
      <c r="P1451" t="s">
        <v>5477</v>
      </c>
      <c r="Q1451" s="4">
        <v>66.503999999999991</v>
      </c>
    </row>
    <row r="1452" spans="1:17" x14ac:dyDescent="0.3">
      <c r="A1452" t="s">
        <v>1411</v>
      </c>
      <c r="B1452" t="s">
        <v>2112</v>
      </c>
      <c r="C1452" s="1">
        <v>45958</v>
      </c>
      <c r="D1452" t="s">
        <v>2770</v>
      </c>
      <c r="E1452" t="s">
        <v>5481</v>
      </c>
      <c r="F1452" t="s">
        <v>4549</v>
      </c>
      <c r="G1452" t="s">
        <v>4573</v>
      </c>
      <c r="H1452" t="s">
        <v>4587</v>
      </c>
      <c r="I1452" t="s">
        <v>4594</v>
      </c>
      <c r="J1452">
        <v>1</v>
      </c>
      <c r="K1452">
        <v>61.87</v>
      </c>
      <c r="L1452">
        <v>0.1</v>
      </c>
      <c r="M1452">
        <v>13.62</v>
      </c>
      <c r="N1452" t="s">
        <v>5465</v>
      </c>
      <c r="O1452" t="s">
        <v>5474</v>
      </c>
      <c r="P1452" t="s">
        <v>5477</v>
      </c>
      <c r="Q1452" s="4">
        <v>55.683</v>
      </c>
    </row>
    <row r="1453" spans="1:17" x14ac:dyDescent="0.3">
      <c r="A1453" t="s">
        <v>1412</v>
      </c>
      <c r="B1453" t="s">
        <v>2620</v>
      </c>
      <c r="C1453" s="1">
        <v>45305</v>
      </c>
      <c r="D1453" t="s">
        <v>3035</v>
      </c>
      <c r="E1453" t="s">
        <v>4544</v>
      </c>
      <c r="F1453" t="s">
        <v>4565</v>
      </c>
      <c r="G1453" t="s">
        <v>4579</v>
      </c>
      <c r="H1453" t="s">
        <v>4583</v>
      </c>
      <c r="I1453" t="s">
        <v>4588</v>
      </c>
      <c r="J1453">
        <v>4</v>
      </c>
      <c r="K1453">
        <v>41.93</v>
      </c>
      <c r="L1453">
        <v>0.05</v>
      </c>
      <c r="M1453">
        <v>0</v>
      </c>
      <c r="N1453" t="s">
        <v>5466</v>
      </c>
      <c r="O1453" t="s">
        <v>5470</v>
      </c>
      <c r="P1453" t="s">
        <v>5476</v>
      </c>
      <c r="Q1453" s="4">
        <v>159.334</v>
      </c>
    </row>
    <row r="1454" spans="1:17" x14ac:dyDescent="0.3">
      <c r="A1454" t="s">
        <v>1413</v>
      </c>
      <c r="B1454" t="s">
        <v>2621</v>
      </c>
      <c r="C1454" s="1">
        <v>45720</v>
      </c>
      <c r="D1454" t="s">
        <v>2793</v>
      </c>
      <c r="E1454" t="s">
        <v>4545</v>
      </c>
      <c r="F1454" t="s">
        <v>4565</v>
      </c>
      <c r="G1454" t="s">
        <v>4575</v>
      </c>
      <c r="H1454" t="s">
        <v>4586</v>
      </c>
      <c r="I1454" t="s">
        <v>4597</v>
      </c>
      <c r="J1454">
        <v>2</v>
      </c>
      <c r="K1454">
        <v>86.8</v>
      </c>
      <c r="L1454">
        <v>0.1</v>
      </c>
      <c r="N1454" t="s">
        <v>5462</v>
      </c>
      <c r="O1454" t="s">
        <v>5470</v>
      </c>
      <c r="P1454" t="s">
        <v>5477</v>
      </c>
      <c r="Q1454" s="4">
        <v>156.24</v>
      </c>
    </row>
    <row r="1455" spans="1:17" x14ac:dyDescent="0.3">
      <c r="A1455" t="s">
        <v>1414</v>
      </c>
      <c r="B1455" t="s">
        <v>2060</v>
      </c>
      <c r="C1455" s="1">
        <v>45917</v>
      </c>
      <c r="D1455" t="s">
        <v>3196</v>
      </c>
      <c r="E1455" t="s">
        <v>4546</v>
      </c>
      <c r="F1455" t="s">
        <v>4549</v>
      </c>
      <c r="G1455" t="s">
        <v>4574</v>
      </c>
      <c r="H1455" t="s">
        <v>4585</v>
      </c>
      <c r="I1455" t="s">
        <v>4592</v>
      </c>
      <c r="J1455">
        <v>1</v>
      </c>
      <c r="K1455">
        <v>6.26</v>
      </c>
      <c r="L1455">
        <v>0</v>
      </c>
      <c r="M1455">
        <v>0.43</v>
      </c>
      <c r="N1455" t="s">
        <v>5464</v>
      </c>
      <c r="O1455" t="s">
        <v>5473</v>
      </c>
      <c r="P1455" t="s">
        <v>5477</v>
      </c>
      <c r="Q1455" s="4">
        <v>6.26</v>
      </c>
    </row>
  </sheetData>
  <pageMargins left="0.7" right="0.7" top="0.75" bottom="0.75" header="0.3" footer="0.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CACD3-D5D5-4933-90C4-F11155465024}">
  <dimension ref="A1:K46"/>
  <sheetViews>
    <sheetView topLeftCell="A16" workbookViewId="0">
      <selection activeCell="J32" sqref="J32"/>
    </sheetView>
  </sheetViews>
  <sheetFormatPr defaultRowHeight="14.4" x14ac:dyDescent="0.3"/>
  <cols>
    <col min="1" max="1" width="12.5546875" bestFit="1" customWidth="1"/>
    <col min="2" max="2" width="14.88671875" bestFit="1" customWidth="1"/>
    <col min="4" max="4" width="12.5546875" bestFit="1" customWidth="1"/>
    <col min="5" max="6" width="14.88671875" bestFit="1" customWidth="1"/>
    <col min="7" max="7" width="12.5546875" bestFit="1" customWidth="1"/>
    <col min="8" max="8" width="14.88671875" bestFit="1" customWidth="1"/>
    <col min="10" max="10" width="12.5546875" bestFit="1" customWidth="1"/>
    <col min="11" max="11" width="14.88671875" bestFit="1" customWidth="1"/>
  </cols>
  <sheetData>
    <row r="1" spans="1:11" x14ac:dyDescent="0.3">
      <c r="A1" s="2" t="s">
        <v>14</v>
      </c>
      <c r="B1" t="s">
        <v>5477</v>
      </c>
      <c r="D1" s="2" t="s">
        <v>14</v>
      </c>
      <c r="E1" t="s">
        <v>5477</v>
      </c>
      <c r="G1" s="2" t="s">
        <v>14</v>
      </c>
      <c r="H1" t="s">
        <v>5477</v>
      </c>
      <c r="J1" s="2" t="s">
        <v>14</v>
      </c>
      <c r="K1" t="s">
        <v>5477</v>
      </c>
    </row>
    <row r="3" spans="1:11" x14ac:dyDescent="0.3">
      <c r="A3" s="2" t="s">
        <v>5482</v>
      </c>
      <c r="B3" t="s">
        <v>5505</v>
      </c>
      <c r="D3" s="2" t="s">
        <v>5482</v>
      </c>
      <c r="E3" t="s">
        <v>5505</v>
      </c>
      <c r="G3" s="2" t="s">
        <v>5482</v>
      </c>
      <c r="H3" t="s">
        <v>5505</v>
      </c>
      <c r="J3" s="2" t="s">
        <v>5482</v>
      </c>
      <c r="K3" t="s">
        <v>5505</v>
      </c>
    </row>
    <row r="4" spans="1:11" x14ac:dyDescent="0.3">
      <c r="A4" s="3" t="s">
        <v>4564</v>
      </c>
      <c r="B4" s="4">
        <v>37015.494999999981</v>
      </c>
      <c r="D4" s="3" t="s">
        <v>4573</v>
      </c>
      <c r="E4" s="4">
        <v>48968.434499999959</v>
      </c>
      <c r="G4" s="3" t="s">
        <v>4586</v>
      </c>
      <c r="H4" s="4">
        <v>96047.030499999993</v>
      </c>
      <c r="J4" s="3" t="s">
        <v>4606</v>
      </c>
      <c r="K4" s="4">
        <v>3753.6699999999992</v>
      </c>
    </row>
    <row r="5" spans="1:11" x14ac:dyDescent="0.3">
      <c r="A5" s="3" t="s">
        <v>4549</v>
      </c>
      <c r="B5" s="4">
        <v>36266.089500000002</v>
      </c>
      <c r="D5" s="3" t="s">
        <v>4578</v>
      </c>
      <c r="E5" s="4">
        <v>20950.796999999999</v>
      </c>
      <c r="G5" s="3" t="s">
        <v>4584</v>
      </c>
      <c r="H5" s="4">
        <v>33509.714500000024</v>
      </c>
      <c r="J5" s="3" t="s">
        <v>4605</v>
      </c>
      <c r="K5" s="4">
        <v>4240.1965</v>
      </c>
    </row>
    <row r="6" spans="1:11" x14ac:dyDescent="0.3">
      <c r="A6" s="3" t="s">
        <v>4569</v>
      </c>
      <c r="B6" s="4">
        <v>35501.629500000032</v>
      </c>
      <c r="D6" s="3" t="s">
        <v>4574</v>
      </c>
      <c r="E6" s="4">
        <v>13572.244999999995</v>
      </c>
      <c r="G6" s="3" t="s">
        <v>4583</v>
      </c>
      <c r="H6" s="4">
        <v>19161.770000000008</v>
      </c>
      <c r="J6" s="3" t="s">
        <v>4588</v>
      </c>
      <c r="K6" s="4">
        <v>4569.2334999999994</v>
      </c>
    </row>
    <row r="7" spans="1:11" x14ac:dyDescent="0.3">
      <c r="A7" s="3" t="s">
        <v>4565</v>
      </c>
      <c r="B7" s="4">
        <v>30995.197499999991</v>
      </c>
      <c r="D7" s="3" t="s">
        <v>4581</v>
      </c>
      <c r="E7" s="4">
        <v>12964.098999999995</v>
      </c>
      <c r="G7" s="3" t="s">
        <v>4587</v>
      </c>
      <c r="H7" s="4">
        <v>14121.027999999993</v>
      </c>
      <c r="J7" s="3" t="s">
        <v>4594</v>
      </c>
      <c r="K7" s="4">
        <v>7530.7294999999976</v>
      </c>
    </row>
    <row r="8" spans="1:11" x14ac:dyDescent="0.3">
      <c r="A8" s="3" t="s">
        <v>4566</v>
      </c>
      <c r="B8" s="4">
        <v>29356.539000000008</v>
      </c>
      <c r="D8" s="3" t="s">
        <v>4576</v>
      </c>
      <c r="E8" s="4">
        <v>12721.400999999998</v>
      </c>
      <c r="G8" s="3" t="s">
        <v>4585</v>
      </c>
      <c r="H8" s="4">
        <v>4111.9534999999996</v>
      </c>
      <c r="J8" s="3" t="s">
        <v>4610</v>
      </c>
      <c r="K8" s="4">
        <v>7791.1760000000013</v>
      </c>
    </row>
    <row r="9" spans="1:11" x14ac:dyDescent="0.3">
      <c r="A9" s="3" t="s">
        <v>5483</v>
      </c>
      <c r="B9" s="4">
        <v>169134.95050000001</v>
      </c>
      <c r="D9" s="3" t="s">
        <v>4572</v>
      </c>
      <c r="E9" s="4">
        <v>11021.119000000001</v>
      </c>
      <c r="G9" s="3" t="s">
        <v>5483</v>
      </c>
      <c r="H9" s="4">
        <v>166951.49650000004</v>
      </c>
      <c r="J9" s="3" t="s">
        <v>4597</v>
      </c>
      <c r="K9" s="4">
        <v>14576.664500000006</v>
      </c>
    </row>
    <row r="10" spans="1:11" x14ac:dyDescent="0.3">
      <c r="D10" s="3" t="s">
        <v>4582</v>
      </c>
      <c r="E10" s="4">
        <v>10275.112499999999</v>
      </c>
      <c r="J10" s="3" t="s">
        <v>4609</v>
      </c>
      <c r="K10" s="4">
        <v>18331.576499999999</v>
      </c>
    </row>
    <row r="11" spans="1:11" x14ac:dyDescent="0.3">
      <c r="D11" s="3" t="s">
        <v>4579</v>
      </c>
      <c r="E11" s="4">
        <v>8633.8170000000046</v>
      </c>
      <c r="J11" s="3" t="s">
        <v>4593</v>
      </c>
      <c r="K11" s="4">
        <v>20341.721500000007</v>
      </c>
    </row>
    <row r="12" spans="1:11" x14ac:dyDescent="0.3">
      <c r="D12" s="3" t="s">
        <v>4575</v>
      </c>
      <c r="E12" s="4">
        <v>8448.4845000000005</v>
      </c>
      <c r="J12" s="3" t="s">
        <v>4601</v>
      </c>
      <c r="K12" s="4">
        <v>22679.325499999995</v>
      </c>
    </row>
    <row r="13" spans="1:11" x14ac:dyDescent="0.3">
      <c r="D13" s="3" t="s">
        <v>4577</v>
      </c>
      <c r="E13" s="4">
        <v>7726.835</v>
      </c>
      <c r="J13" s="3" t="s">
        <v>4599</v>
      </c>
      <c r="K13" s="4">
        <v>43485.014500000005</v>
      </c>
    </row>
    <row r="14" spans="1:11" x14ac:dyDescent="0.3">
      <c r="D14" s="3" t="s">
        <v>4580</v>
      </c>
      <c r="E14" s="4">
        <v>7669.8974999999982</v>
      </c>
      <c r="J14" s="3" t="s">
        <v>5483</v>
      </c>
      <c r="K14" s="4">
        <v>147299.30800000002</v>
      </c>
    </row>
    <row r="15" spans="1:11" x14ac:dyDescent="0.3">
      <c r="D15" s="3" t="s">
        <v>5483</v>
      </c>
      <c r="E15" s="4">
        <v>162952.24199999994</v>
      </c>
      <c r="G15" s="2" t="s">
        <v>14</v>
      </c>
      <c r="H15" t="s">
        <v>5477</v>
      </c>
    </row>
    <row r="17" spans="1:11" x14ac:dyDescent="0.3">
      <c r="G17" s="2" t="s">
        <v>5482</v>
      </c>
      <c r="H17" t="s">
        <v>5505</v>
      </c>
    </row>
    <row r="18" spans="1:11" x14ac:dyDescent="0.3">
      <c r="G18" s="3" t="s">
        <v>4586</v>
      </c>
      <c r="H18" s="4">
        <v>96047.030499999993</v>
      </c>
    </row>
    <row r="19" spans="1:11" x14ac:dyDescent="0.3">
      <c r="A19" s="2" t="s">
        <v>14</v>
      </c>
      <c r="B19" t="s">
        <v>5477</v>
      </c>
      <c r="D19" s="2" t="s">
        <v>14</v>
      </c>
      <c r="E19" t="s">
        <v>5477</v>
      </c>
      <c r="G19" s="3" t="s">
        <v>4584</v>
      </c>
      <c r="H19" s="4">
        <v>33509.714500000024</v>
      </c>
    </row>
    <row r="20" spans="1:11" x14ac:dyDescent="0.3">
      <c r="G20" s="3" t="s">
        <v>4583</v>
      </c>
      <c r="H20" s="4">
        <v>19161.770000000008</v>
      </c>
    </row>
    <row r="21" spans="1:11" x14ac:dyDescent="0.3">
      <c r="A21" s="2" t="s">
        <v>5482</v>
      </c>
      <c r="B21" t="s">
        <v>5505</v>
      </c>
      <c r="D21" s="2" t="s">
        <v>5482</v>
      </c>
      <c r="E21" t="s">
        <v>5505</v>
      </c>
      <c r="G21" s="3" t="s">
        <v>4587</v>
      </c>
      <c r="H21" s="4">
        <v>14121.027999999993</v>
      </c>
    </row>
    <row r="22" spans="1:11" x14ac:dyDescent="0.3">
      <c r="A22" s="3" t="s">
        <v>5485</v>
      </c>
      <c r="B22" s="4">
        <v>85055.854000000036</v>
      </c>
      <c r="D22" s="3" t="s">
        <v>5465</v>
      </c>
      <c r="E22" s="4">
        <v>18248.923000000003</v>
      </c>
      <c r="G22" s="3" t="s">
        <v>4585</v>
      </c>
      <c r="H22" s="4">
        <v>4111.9534999999996</v>
      </c>
    </row>
    <row r="23" spans="1:11" x14ac:dyDescent="0.3">
      <c r="A23" s="3" t="s">
        <v>5484</v>
      </c>
      <c r="B23" s="4">
        <v>84079.096500000029</v>
      </c>
      <c r="D23" s="3" t="s">
        <v>5463</v>
      </c>
      <c r="E23" s="4">
        <v>18369.918000000005</v>
      </c>
      <c r="G23" s="3" t="s">
        <v>5483</v>
      </c>
      <c r="H23" s="4">
        <v>166951.49650000004</v>
      </c>
    </row>
    <row r="24" spans="1:11" x14ac:dyDescent="0.3">
      <c r="A24" s="3" t="s">
        <v>5483</v>
      </c>
      <c r="B24" s="4">
        <v>169134.95050000006</v>
      </c>
      <c r="D24" s="3" t="s">
        <v>5464</v>
      </c>
      <c r="E24" s="4">
        <v>20005.999000000003</v>
      </c>
    </row>
    <row r="25" spans="1:11" x14ac:dyDescent="0.3">
      <c r="D25" s="3" t="s">
        <v>5466</v>
      </c>
      <c r="E25" s="4">
        <v>21017.120999999996</v>
      </c>
    </row>
    <row r="26" spans="1:11" x14ac:dyDescent="0.3">
      <c r="D26" s="3" t="s">
        <v>5462</v>
      </c>
      <c r="E26" s="4">
        <v>22887.103000000003</v>
      </c>
    </row>
    <row r="27" spans="1:11" x14ac:dyDescent="0.3">
      <c r="D27" s="3" t="s">
        <v>5468</v>
      </c>
      <c r="E27" s="4">
        <v>23070.085500000012</v>
      </c>
      <c r="G27" s="2" t="s">
        <v>5482</v>
      </c>
      <c r="H27" t="s">
        <v>5505</v>
      </c>
    </row>
    <row r="28" spans="1:11" x14ac:dyDescent="0.3">
      <c r="D28" s="3" t="s">
        <v>5467</v>
      </c>
      <c r="E28" s="4">
        <v>26830.64150000002</v>
      </c>
      <c r="G28" s="3" t="s">
        <v>5477</v>
      </c>
      <c r="H28" s="4">
        <v>169134.95049999995</v>
      </c>
      <c r="J28" s="2" t="s">
        <v>14</v>
      </c>
      <c r="K28" t="s">
        <v>5477</v>
      </c>
    </row>
    <row r="29" spans="1:11" x14ac:dyDescent="0.3">
      <c r="D29" s="3" t="s">
        <v>5483</v>
      </c>
      <c r="E29" s="4">
        <v>150429.79100000006</v>
      </c>
      <c r="G29" s="3" t="s">
        <v>5479</v>
      </c>
      <c r="H29" s="4">
        <v>26998.381999999998</v>
      </c>
    </row>
    <row r="30" spans="1:11" x14ac:dyDescent="0.3">
      <c r="G30" s="3" t="s">
        <v>5476</v>
      </c>
      <c r="H30" s="4">
        <v>22539.712499999998</v>
      </c>
      <c r="J30" s="2" t="s">
        <v>5482</v>
      </c>
      <c r="K30" t="s">
        <v>5505</v>
      </c>
    </row>
    <row r="31" spans="1:11" x14ac:dyDescent="0.3">
      <c r="G31" s="3" t="s">
        <v>5475</v>
      </c>
      <c r="H31" s="4">
        <v>21700.737000000012</v>
      </c>
      <c r="J31" s="3" t="s">
        <v>5499</v>
      </c>
      <c r="K31" s="4">
        <v>4830</v>
      </c>
    </row>
    <row r="32" spans="1:11" x14ac:dyDescent="0.3">
      <c r="A32" s="1" t="str">
        <f ca="1">"Last Updated: " &amp; TEXT(TODAY(), "dd-mm-yyyy")</f>
        <v>Last Updated: 02-10-2026</v>
      </c>
      <c r="G32" s="3" t="s">
        <v>5483</v>
      </c>
      <c r="H32" s="4">
        <v>240373.78199999998</v>
      </c>
      <c r="J32" s="3" t="s">
        <v>2739</v>
      </c>
      <c r="K32" s="4">
        <v>3856.7419999999997</v>
      </c>
    </row>
    <row r="33" spans="2:11" x14ac:dyDescent="0.3">
      <c r="J33" s="3" t="s">
        <v>2980</v>
      </c>
      <c r="K33" s="4">
        <v>3487.1964999999996</v>
      </c>
    </row>
    <row r="34" spans="2:11" x14ac:dyDescent="0.3">
      <c r="J34" s="3" t="s">
        <v>2761</v>
      </c>
      <c r="K34" s="4">
        <v>3296.5</v>
      </c>
    </row>
    <row r="35" spans="2:11" x14ac:dyDescent="0.3">
      <c r="J35" s="3" t="s">
        <v>3050</v>
      </c>
      <c r="K35" s="4">
        <v>3176.0535</v>
      </c>
    </row>
    <row r="36" spans="2:11" x14ac:dyDescent="0.3">
      <c r="J36" s="3" t="s">
        <v>5483</v>
      </c>
      <c r="K36" s="4">
        <v>18646.491999999998</v>
      </c>
    </row>
    <row r="37" spans="2:11" x14ac:dyDescent="0.3">
      <c r="G37" s="2" t="s">
        <v>5482</v>
      </c>
      <c r="H37" t="s">
        <v>5505</v>
      </c>
    </row>
    <row r="38" spans="2:11" x14ac:dyDescent="0.3">
      <c r="B38" s="2" t="s">
        <v>5508</v>
      </c>
      <c r="D38" s="2" t="s">
        <v>5507</v>
      </c>
      <c r="E38" s="2" t="s">
        <v>5506</v>
      </c>
      <c r="G38" s="3" t="s">
        <v>5479</v>
      </c>
      <c r="H38" s="4">
        <v>26998.382000000005</v>
      </c>
    </row>
    <row r="39" spans="2:11" x14ac:dyDescent="0.3">
      <c r="B39" s="8">
        <v>0.10946882217090069</v>
      </c>
      <c r="D39" s="7">
        <v>26998.381999999998</v>
      </c>
      <c r="E39" s="7">
        <v>169134.95049999989</v>
      </c>
    </row>
    <row r="41" spans="2:11" x14ac:dyDescent="0.3">
      <c r="G41" s="2" t="s">
        <v>5482</v>
      </c>
      <c r="H41" t="s">
        <v>5505</v>
      </c>
    </row>
    <row r="42" spans="2:11" x14ac:dyDescent="0.3">
      <c r="G42" s="3" t="s">
        <v>5477</v>
      </c>
      <c r="H42" s="4">
        <v>169134.95049999986</v>
      </c>
    </row>
    <row r="45" spans="2:11" x14ac:dyDescent="0.3">
      <c r="G45" s="2" t="s">
        <v>5482</v>
      </c>
      <c r="H45" t="s">
        <v>5505</v>
      </c>
    </row>
    <row r="46" spans="2:11" x14ac:dyDescent="0.3">
      <c r="G46" s="3" t="s">
        <v>5477</v>
      </c>
      <c r="H46">
        <v>169134.95049999986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73069-9384-42FB-91E2-5C0AB6C00AED}">
  <sheetPr>
    <pageSetUpPr fitToPage="1"/>
  </sheetPr>
  <dimension ref="A1"/>
  <sheetViews>
    <sheetView showGridLines="0" showRowColHeaders="0" zoomScale="70" zoomScaleNormal="70" workbookViewId="0">
      <selection activeCell="Z2" sqref="Z2"/>
    </sheetView>
  </sheetViews>
  <sheetFormatPr defaultRowHeight="14.4" x14ac:dyDescent="0.3"/>
  <sheetData/>
  <pageMargins left="0.7" right="0.7" top="0.75" bottom="0.75" header="0.3" footer="0.3"/>
  <pageSetup scale="35"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C9D3E980-D8DC-4D67-83A5-F7C2F4BCB419}">
  <ds:schemaRefs/>
</ds:datastoreItem>
</file>

<file path=customXml/itemProps2.xml><?xml version="1.0" encoding="utf-8"?>
<ds:datastoreItem xmlns:ds="http://schemas.openxmlformats.org/officeDocument/2006/customXml" ds:itemID="{0A53E947-4CA3-49A5-927B-5BD8AF1DAE3E}">
  <ds:schemaRefs/>
</ds:datastoreItem>
</file>

<file path=customXml/itemProps3.xml><?xml version="1.0" encoding="utf-8"?>
<ds:datastoreItem xmlns:ds="http://schemas.openxmlformats.org/officeDocument/2006/customXml" ds:itemID="{2479C463-8317-4C49-82DB-250FBEDA8E39}">
  <ds:schemaRefs/>
</ds:datastoreItem>
</file>

<file path=customXml/itemProps4.xml><?xml version="1.0" encoding="utf-8"?>
<ds:datastoreItem xmlns:ds="http://schemas.openxmlformats.org/officeDocument/2006/customXml" ds:itemID="{3541B693-23C0-43CF-B2DF-C9EC77C95D61}">
  <ds:schemaRefs/>
</ds:datastoreItem>
</file>

<file path=customXml/itemProps5.xml><?xml version="1.0" encoding="utf-8"?>
<ds:datastoreItem xmlns:ds="http://schemas.openxmlformats.org/officeDocument/2006/customXml" ds:itemID="{D0A03638-5FB8-4A29-AF2E-CAFEFF30F0D4}">
  <ds:schemaRefs/>
</ds:datastoreItem>
</file>

<file path=customXml/itemProps6.xml><?xml version="1.0" encoding="utf-8"?>
<ds:datastoreItem xmlns:ds="http://schemas.openxmlformats.org/officeDocument/2006/customXml" ds:itemID="{D6103913-2CE6-4ACD-8EC1-8ACE95F6FDC7}">
  <ds:schemaRefs/>
</ds:datastoreItem>
</file>

<file path=customXml/itemProps7.xml><?xml version="1.0" encoding="utf-8"?>
<ds:datastoreItem xmlns:ds="http://schemas.openxmlformats.org/officeDocument/2006/customXml" ds:itemID="{97AD6B14-1CD7-43F3-B2AA-891938204A4F}">
  <ds:schemaRefs/>
</ds:datastoreItem>
</file>

<file path=customXml/itemProps8.xml><?xml version="1.0" encoding="utf-8"?>
<ds:datastoreItem xmlns:ds="http://schemas.openxmlformats.org/officeDocument/2006/customXml" ds:itemID="{F01A9FE4-0579-472C-9DF1-7215694FDB5C}">
  <ds:schemaRefs/>
</ds:datastoreItem>
</file>

<file path=customXml/itemProps9.xml><?xml version="1.0" encoding="utf-8"?>
<ds:datastoreItem xmlns:ds="http://schemas.openxmlformats.org/officeDocument/2006/customXml" ds:itemID="{2EAA20C7-5269-4DCD-B076-F1F5E3FC3D2B}">
  <ds:schemaRefs/>
</ds:datastoreItem>
</file>

<file path=customXml/itemProps10.xml><?xml version="1.0" encoding="utf-8"?>
<ds:datastoreItem xmlns:ds="http://schemas.openxmlformats.org/officeDocument/2006/customXml" ds:itemID="{FBCAEC44-8BED-4DC3-AAA6-1BC87B98D84A}">
  <ds:schemaRefs/>
</ds:datastoreItem>
</file>

<file path=customXml/itemProps11.xml><?xml version="1.0" encoding="utf-8"?>
<ds:datastoreItem xmlns:ds="http://schemas.openxmlformats.org/officeDocument/2006/customXml" ds:itemID="{DBFA4DD9-12FC-4678-9899-899491356E67}">
  <ds:schemaRefs/>
</ds:datastoreItem>
</file>

<file path=customXml/itemProps12.xml><?xml version="1.0" encoding="utf-8"?>
<ds:datastoreItem xmlns:ds="http://schemas.openxmlformats.org/officeDocument/2006/customXml" ds:itemID="{01780F3A-4F86-45E4-B40D-975353470422}">
  <ds:schemaRefs/>
</ds:datastoreItem>
</file>

<file path=customXml/itemProps13.xml><?xml version="1.0" encoding="utf-8"?>
<ds:datastoreItem xmlns:ds="http://schemas.openxmlformats.org/officeDocument/2006/customXml" ds:itemID="{021CA937-E5F4-4EBB-9AF0-CCFA7FEFEFD9}">
  <ds:schemaRefs/>
</ds:datastoreItem>
</file>

<file path=customXml/itemProps14.xml><?xml version="1.0" encoding="utf-8"?>
<ds:datastoreItem xmlns:ds="http://schemas.openxmlformats.org/officeDocument/2006/customXml" ds:itemID="{EAD57865-ED10-4EE1-ABB0-EAA1C02EE7F2}">
  <ds:schemaRefs/>
</ds:datastoreItem>
</file>

<file path=customXml/itemProps15.xml><?xml version="1.0" encoding="utf-8"?>
<ds:datastoreItem xmlns:ds="http://schemas.openxmlformats.org/officeDocument/2006/customXml" ds:itemID="{1DA036E9-6310-4ED4-B580-3B69E3D12D12}">
  <ds:schemaRefs/>
</ds:datastoreItem>
</file>

<file path=customXml/itemProps16.xml><?xml version="1.0" encoding="utf-8"?>
<ds:datastoreItem xmlns:ds="http://schemas.openxmlformats.org/officeDocument/2006/customXml" ds:itemID="{AF62F357-3E0F-4EFD-B6C3-CBF3CC6B9560}">
  <ds:schemaRefs/>
</ds:datastoreItem>
</file>

<file path=customXml/itemProps17.xml><?xml version="1.0" encoding="utf-8"?>
<ds:datastoreItem xmlns:ds="http://schemas.openxmlformats.org/officeDocument/2006/customXml" ds:itemID="{36FDEB61-0195-4436-8CEE-D52D63944F8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Raw_Sales_Export</vt:lpstr>
      <vt:lpstr>Raw_Sales</vt:lpstr>
      <vt:lpstr>Pivot_Tables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Vivek Anand</dc:creator>
  <cp:lastModifiedBy>Vivek Anand</cp:lastModifiedBy>
  <cp:lastPrinted>2026-10-01T15:56:02Z</cp:lastPrinted>
  <dcterms:created xsi:type="dcterms:W3CDTF">2026-09-25T04:58:07Z</dcterms:created>
  <dcterms:modified xsi:type="dcterms:W3CDTF">2026-10-01T18:51:48Z</dcterms:modified>
</cp:coreProperties>
</file>